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I:\XED\BED-ELF\Client Prom &amp; Info Matls - Promotion et info de la clientèle\BEI\Bilateral FDI briefs\Automation project 2022\Word Automation\"/>
    </mc:Choice>
  </mc:AlternateContent>
  <bookViews>
    <workbookView xWindow="-120" yWindow="-120" windowWidth="19320" windowHeight="6590" tabRatio="708"/>
  </bookViews>
  <sheets>
    <sheet name="Details" sheetId="54" r:id="rId1"/>
    <sheet name="Graph" sheetId="52" r:id="rId2"/>
    <sheet name="Graph (2)" sheetId="91" r:id="rId3"/>
    <sheet name="Industry" sheetId="65" r:id="rId4"/>
    <sheet name="MNEs" sheetId="66" r:id="rId5"/>
    <sheet name="Data -&gt;" sheetId="55" r:id="rId6"/>
    <sheet name="FDI IIC-All" sheetId="68" r:id="rId7"/>
    <sheet name="FDI UIC-All" sheetId="69" r:id="rId8"/>
    <sheet name="CDIA IIC-All" sheetId="70" r:id="rId9"/>
    <sheet name="CDIA UIC-All" sheetId="72" r:id="rId10"/>
    <sheet name="PANEL" sheetId="58" r:id="rId11"/>
    <sheet name="Industry Data" sheetId="62" r:id="rId12"/>
    <sheet name="AMNE Data" sheetId="61" r:id="rId13"/>
    <sheet name="AMNE Enterprises" sheetId="99" r:id="rId14"/>
    <sheet name="AMNE Jobs" sheetId="100" r:id="rId15"/>
    <sheet name="AMNE GDP" sheetId="101" r:id="rId16"/>
    <sheet name="AMNE Revenues" sheetId="102" r:id="rId17"/>
    <sheet name="AMNE Imports" sheetId="103" r:id="rId18"/>
    <sheet name="AMNE Exports" sheetId="104" r:id="rId19"/>
    <sheet name="CMNE Employees" sheetId="85" r:id="rId20"/>
    <sheet name="CMNE Assets" sheetId="86" r:id="rId21"/>
    <sheet name="CMNE Liabilities" sheetId="87" r:id="rId22"/>
    <sheet name="CMNE Sales" sheetId="88" r:id="rId23"/>
    <sheet name="Countries" sheetId="59" r:id="rId24"/>
    <sheet name="Example Companies" sheetId="92" r:id="rId25"/>
  </sheets>
  <functionGroups builtInGroupCount="18"/>
  <definedNames>
    <definedName name="adjective">Details!$D$3</definedName>
    <definedName name="adjectiveFr">Details!$E$3</definedName>
    <definedName name="adjectiveFrPlural">Details!$F$3</definedName>
    <definedName name="amne">'AMNE Data'!$A$1:$R$96895</definedName>
    <definedName name="amne_col">'AMNE Data'!$A$1:$R$1</definedName>
    <definedName name="amne_row">'AMNE Data'!$A$1:$A$96895</definedName>
    <definedName name="amneEnterprises">'AMNE Enterprises'!$A$4:$P$45</definedName>
    <definedName name="amneEnterprises_col">'AMNE Enterprises'!$A$4:$P$4</definedName>
    <definedName name="amneEnterprises_row">'AMNE Enterprises'!$A$4:$A$36</definedName>
    <definedName name="amneExports">'AMNE Exports'!$A$4:$P$45</definedName>
    <definedName name="amneExports_col">'AMNE Exports'!$A$4:$P$4</definedName>
    <definedName name="amneExports_row">'AMNE Exports'!$A$4:$A$36</definedName>
    <definedName name="amneGDP">'AMNE GDP'!$A$4:$P$45</definedName>
    <definedName name="amneGDP_col">'AMNE GDP'!$A$4:$P$4</definedName>
    <definedName name="amneGDP_row">'AMNE GDP'!$A$4:$A$36</definedName>
    <definedName name="amneImports">'AMNE Imports'!$A$4:$P$45</definedName>
    <definedName name="amneImports_col">'AMNE Imports'!$A$4:$P$4</definedName>
    <definedName name="amneImports_row">'AMNE Imports'!$A$4:$A$36</definedName>
    <definedName name="amneJobs">'AMNE Jobs'!$A$4:$P$45</definedName>
    <definedName name="amneJobs_col">'AMNE Jobs'!$A$4:$P$4</definedName>
    <definedName name="amneJobs_row">'AMNE Jobs'!$A$4:$A$36</definedName>
    <definedName name="amneRevenues">'AMNE Revenues'!$A$4:$P$45</definedName>
    <definedName name="amneRevenues_col">'AMNE Revenues'!$A$4:$P$4</definedName>
    <definedName name="amneRevenues_row">'AMNE Revenues'!$A$4:$A$36</definedName>
    <definedName name="CDIA_IIC">'CDIA IIC-All'!$A$4:$P$187</definedName>
    <definedName name="CDIA_IIC_col">'CDIA IIC-All'!$A$4:$P$4</definedName>
    <definedName name="CDIA_IIC_ID">'CDIA IIC-All'!$A$4:$A$208</definedName>
    <definedName name="CDIA_IIC_row">'CDIA IIC-All'!$A$4:$A$178</definedName>
    <definedName name="CDIA_UIC">'CDIA UIC-All'!$A$4:$I$63</definedName>
    <definedName name="CDIA_UIC_col">'CDIA UIC-All'!$A$4:$I$4</definedName>
    <definedName name="CDIA_UIC_row">'CDIA UIC-All'!$A$4:$A$54</definedName>
    <definedName name="CMNEassets">'CMNE Assets'!$A$4:$O$160</definedName>
    <definedName name="CMNEassets_col">'CMNE Assets'!$A$4:$O$4</definedName>
    <definedName name="CMNEassets_row">'CMNE Assets'!$A$4:$A$151</definedName>
    <definedName name="CMNEemployees">'CMNE Employees'!$A$4:$O$160</definedName>
    <definedName name="CMNEemployees_col">'CMNE Employees'!$A$4:$O$4</definedName>
    <definedName name="CMNEemployees_row">'CMNE Employees'!$A$4:$A$151</definedName>
    <definedName name="CMNEliabilities">'CMNE Liabilities'!$A$4:$O$160</definedName>
    <definedName name="CMNEliabilities_col">'CMNE Liabilities'!$A$4:$O$4</definedName>
    <definedName name="CMNEliabilities_row">'CMNE Liabilities'!$A$4:$A$151</definedName>
    <definedName name="CMNEsales">'CMNE Sales'!$A$4:$O$160</definedName>
    <definedName name="CMNEsales_col">'CMNE Sales'!$A$4:$O$4</definedName>
    <definedName name="CMNEsales_row">'CMNE Sales'!$A$4:$A$151</definedName>
    <definedName name="continent">Details!$B$2</definedName>
    <definedName name="continentAdjective">Details!$D$2</definedName>
    <definedName name="continentAdjectiveFr">Details!$E$2</definedName>
    <definedName name="continentAdjectiveFrPlural">Details!$F$2</definedName>
    <definedName name="continentFeminin">Details!$G$2</definedName>
    <definedName name="continentFemininPlural">Details!$H$2</definedName>
    <definedName name="continentFr">Details!$C$2</definedName>
    <definedName name="countries">Countries!$A$1:$M$201</definedName>
    <definedName name="countries_col">Countries!$A$1:$M$1</definedName>
    <definedName name="countries_row">Countries!$A$1:$A$201</definedName>
    <definedName name="country">Details!$A$3</definedName>
    <definedName name="countryFr">Details!$C$3</definedName>
    <definedName name="FDI_IIC">'FDI IIC-All'!$A$4:$P$187</definedName>
    <definedName name="FDI_IIC_col">'FDI IIC-All'!$A$4:$P$4</definedName>
    <definedName name="FDI_IIC_ev">Details!$A$19:$K$23</definedName>
    <definedName name="FDI_IIC_ID">'FDI IIC-All'!$A$4:$A$208</definedName>
    <definedName name="FDI_IIC_row">'FDI IIC-All'!$A$4:$A$178</definedName>
    <definedName name="FDI_UIC">'FDI UIC-All'!$A$4:$N$62</definedName>
    <definedName name="FDI_UIC_col">'FDI UIC-All'!$A$4:$N$4</definedName>
    <definedName name="FDI_UIC_ID">'FDI UIC-All'!$A$4:$A$76</definedName>
    <definedName name="FDI_UIC_row">'FDI UIC-All'!$A$4:$A$53</definedName>
    <definedName name="feminin">Details!$G$3</definedName>
    <definedName name="femininPlural">Details!$H$3</definedName>
    <definedName name="industry">'Industry Data'!$A$1:$R$14401</definedName>
    <definedName name="industry_col">'Industry Data'!$A$1:$R$1</definedName>
    <definedName name="industry_row">'Industry Data'!$A$1:$A$14401</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"07/29/2019 16:44:50"</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maxyear">MAX(FDI_IIC_col)</definedName>
    <definedName name="maxyearAMNE">MAX(INDEX(amne,0,MATCH("year",amne_col,0)))</definedName>
    <definedName name="maxyearCMNE">MAX(CMNEemployees_col)</definedName>
    <definedName name="maxyearIndustry">MAX(INDEX(industry,0,MATCH("year",industry_col,0)))</definedName>
    <definedName name="nextReleaseDate">45078</definedName>
    <definedName name="nextReleaseDateFr">"juin 2023"</definedName>
    <definedName name="prefix">Details!$I$3</definedName>
    <definedName name="prefixContinent">Details!$I$2</definedName>
    <definedName name="prefixContinentFr">Details!$J$2</definedName>
    <definedName name="prefixContinentFr2">Details!$K$2</definedName>
    <definedName name="prefixContinentFr3">Details!$L$2</definedName>
    <definedName name="prefixFr">Details!$J$3</definedName>
    <definedName name="prefixFr2">Details!$K$3</definedName>
    <definedName name="prefixFr3">Details!$L$3</definedName>
    <definedName name="releaseDate">44927</definedName>
    <definedName name="releaseDateFr">"Janvier 2023"</definedName>
    <definedName name="retrievedDate">44866</definedName>
    <definedName name="retrievedDateFr">"novembre 2022"</definedName>
    <definedName name="twoCharts">Graph!$O$5</definedName>
  </definedNames>
  <calcPr calcId="162913"/>
</workbook>
</file>

<file path=xl/calcChain.xml><?xml version="1.0" encoding="utf-8"?>
<calcChain xmlns="http://schemas.openxmlformats.org/spreadsheetml/2006/main">
  <c r="BA66" i="54" l="1"/>
  <c r="BA65" i="54"/>
  <c r="BA64" i="54"/>
  <c r="BA63" i="54"/>
  <c r="BA62" i="54"/>
  <c r="BA61" i="54"/>
  <c r="BA60" i="54"/>
  <c r="BA59" i="54"/>
  <c r="BA58" i="54"/>
  <c r="BA42" i="54"/>
  <c r="BA41" i="54"/>
  <c r="BA40" i="54"/>
  <c r="BA39" i="54"/>
  <c r="BA38" i="54"/>
  <c r="BA37" i="54"/>
  <c r="BA36" i="54"/>
  <c r="BA35" i="54"/>
  <c r="BA34" i="54"/>
  <c r="BA16" i="54"/>
  <c r="BA15" i="54"/>
  <c r="BA14" i="54"/>
  <c r="BA13" i="54"/>
  <c r="BA12" i="54"/>
  <c r="BA11" i="54"/>
  <c r="BA10" i="54"/>
  <c r="BA9" i="54"/>
  <c r="BA8" i="54"/>
  <c r="AP49" i="54"/>
  <c r="AP48" i="54"/>
  <c r="Z28" i="54" l="1"/>
  <c r="X28" i="54"/>
  <c r="X55" i="54" l="1"/>
  <c r="X30" i="54"/>
  <c r="X5" i="54"/>
  <c r="BC32" i="54" l="1"/>
  <c r="BB32" i="54"/>
  <c r="R8" i="66" l="1"/>
  <c r="P95" i="66" l="1"/>
  <c r="AK95" i="66"/>
  <c r="H3" i="54" l="1"/>
  <c r="B30" i="58" l="1"/>
  <c r="F3" i="54"/>
  <c r="G3" i="54" l="1"/>
  <c r="Z31" i="66" l="1"/>
  <c r="E31" i="66"/>
  <c r="B31" i="66"/>
  <c r="B29" i="66"/>
  <c r="L3" i="54" l="1"/>
  <c r="K3" i="54"/>
  <c r="J3" i="54"/>
  <c r="B28" i="58" l="1"/>
  <c r="B27" i="58"/>
  <c r="I3" i="54" l="1"/>
  <c r="AC13" i="66" l="1"/>
  <c r="G6" i="66" l="1"/>
  <c r="Z6" i="66" s="1"/>
  <c r="G5" i="66"/>
  <c r="Z5" i="66" s="1"/>
  <c r="Y10" i="66"/>
  <c r="Y9" i="66"/>
  <c r="Y8" i="66"/>
  <c r="Y7" i="66"/>
  <c r="Y6" i="66"/>
  <c r="Y5" i="66"/>
  <c r="H6" i="66" l="1"/>
  <c r="H5" i="66"/>
  <c r="E3" i="54" l="1"/>
  <c r="B29" i="58" l="1"/>
  <c r="C26" i="92" l="1"/>
  <c r="C25" i="92"/>
  <c r="C24" i="92"/>
  <c r="C23" i="92"/>
  <c r="C21" i="92"/>
  <c r="C20" i="92"/>
  <c r="C19" i="92"/>
  <c r="C18" i="92"/>
  <c r="C17" i="92"/>
  <c r="C16" i="92"/>
  <c r="C15" i="92"/>
  <c r="C13" i="92"/>
  <c r="C12" i="92"/>
  <c r="C11" i="92"/>
  <c r="C10" i="92"/>
  <c r="C9" i="92"/>
  <c r="C8" i="92"/>
  <c r="C7" i="92"/>
  <c r="C6" i="92"/>
  <c r="C4" i="92"/>
  <c r="C5" i="92"/>
  <c r="C3" i="92"/>
  <c r="B2" i="92"/>
  <c r="B51" i="58" s="1"/>
  <c r="B25" i="58" l="1"/>
  <c r="BG71" i="54"/>
  <c r="BF71" i="54"/>
  <c r="BG21" i="54"/>
  <c r="BF21" i="54"/>
  <c r="BG47" i="54" l="1"/>
  <c r="BF47" i="54"/>
  <c r="AI71" i="54" l="1"/>
  <c r="AH71" i="54"/>
  <c r="AI21" i="54"/>
  <c r="AH21" i="54"/>
  <c r="B2" i="58" l="1"/>
  <c r="D3" i="54"/>
  <c r="C3" i="54"/>
  <c r="C2" i="54"/>
  <c r="B2" i="54"/>
  <c r="B26" i="58" l="1"/>
  <c r="H2" i="54"/>
  <c r="F2" i="54"/>
  <c r="G2" i="54"/>
  <c r="E2" i="54"/>
  <c r="K2" i="54"/>
  <c r="J2" i="54"/>
  <c r="I2" i="54"/>
  <c r="L2" i="54"/>
  <c r="C2" i="92"/>
  <c r="D2" i="54"/>
  <c r="C10" i="66" l="1"/>
  <c r="C9" i="66"/>
  <c r="C6" i="66"/>
  <c r="C5" i="66"/>
  <c r="B6" i="66"/>
  <c r="B8" i="66"/>
  <c r="C8" i="66"/>
  <c r="AC8" i="66"/>
  <c r="K8" i="66"/>
  <c r="AC6" i="66"/>
  <c r="K6" i="66"/>
  <c r="K10" i="66"/>
  <c r="AC9" i="66"/>
  <c r="K5" i="66"/>
  <c r="AC5" i="66"/>
  <c r="AC10" i="66"/>
  <c r="K9" i="66"/>
  <c r="AD8" i="66" l="1"/>
  <c r="AD5" i="66"/>
  <c r="AD6" i="66"/>
  <c r="AD9" i="66"/>
  <c r="AD10" i="66"/>
  <c r="L5" i="66"/>
  <c r="M5" i="66" s="1"/>
  <c r="U5" i="66" s="1"/>
  <c r="L6" i="66"/>
  <c r="AE6" i="66" s="1"/>
  <c r="L9" i="66"/>
  <c r="AE9" i="66" s="1"/>
  <c r="AM9" i="66" s="1"/>
  <c r="L8" i="66"/>
  <c r="AE8" i="66" s="1"/>
  <c r="L10" i="66"/>
  <c r="AE10" i="66" s="1"/>
  <c r="AM10" i="66" s="1"/>
  <c r="AM8" i="66" l="1"/>
  <c r="AE5" i="66"/>
  <c r="AM5" i="66" s="1"/>
  <c r="G9" i="66"/>
  <c r="G10" i="66"/>
  <c r="G8" i="66"/>
  <c r="G7" i="66"/>
  <c r="B5" i="66"/>
  <c r="Z9" i="66" l="1"/>
  <c r="AA9" i="66"/>
  <c r="Z8" i="66"/>
  <c r="AA8" i="66"/>
  <c r="Z7" i="66"/>
  <c r="AA6" i="66"/>
  <c r="AA7" i="66"/>
  <c r="AA5" i="66"/>
  <c r="Z10" i="66"/>
  <c r="AA10" i="66"/>
  <c r="H7" i="66"/>
  <c r="Y11" i="66"/>
  <c r="H8" i="66"/>
  <c r="I10" i="66"/>
  <c r="H9" i="66"/>
  <c r="I9" i="66"/>
  <c r="I8" i="66"/>
  <c r="I7" i="66"/>
  <c r="I6" i="66"/>
  <c r="I5" i="66"/>
  <c r="H10" i="66"/>
  <c r="G11" i="66"/>
  <c r="Y12" i="66" s="1"/>
  <c r="AM12" i="66" l="1"/>
  <c r="G12" i="66"/>
  <c r="U12" i="66" s="1"/>
  <c r="N32" i="54" l="1"/>
  <c r="BI48" i="54" s="1"/>
  <c r="B11" i="58" l="1"/>
  <c r="B37" i="58"/>
  <c r="AK48" i="54"/>
  <c r="R5" i="52" l="1"/>
  <c r="N57" i="54" l="1"/>
  <c r="BI72" i="54" s="1"/>
  <c r="B46" i="58" s="1"/>
  <c r="A3" i="66"/>
  <c r="C4" i="66"/>
  <c r="C3" i="66"/>
  <c r="B13" i="66"/>
  <c r="D41" i="66"/>
  <c r="D42" i="66"/>
  <c r="D43" i="66"/>
  <c r="D44" i="66"/>
  <c r="D45" i="66"/>
  <c r="D46" i="66"/>
  <c r="D47" i="66"/>
  <c r="D48" i="66"/>
  <c r="D49" i="66"/>
  <c r="D50" i="66"/>
  <c r="D51" i="66"/>
  <c r="D40" i="66"/>
  <c r="B41" i="66"/>
  <c r="B42" i="66"/>
  <c r="B43" i="66"/>
  <c r="B44" i="66"/>
  <c r="B45" i="66"/>
  <c r="B46" i="66"/>
  <c r="B47" i="66"/>
  <c r="B48" i="66"/>
  <c r="B49" i="66"/>
  <c r="B50" i="66"/>
  <c r="B51" i="66"/>
  <c r="B40" i="66"/>
  <c r="G30" i="66"/>
  <c r="F30" i="66"/>
  <c r="B30" i="66"/>
  <c r="B32" i="66"/>
  <c r="B33" i="66"/>
  <c r="B34" i="66"/>
  <c r="B25" i="66"/>
  <c r="B3" i="66"/>
  <c r="B24" i="66"/>
  <c r="C16" i="66"/>
  <c r="B16" i="66"/>
  <c r="C18" i="66"/>
  <c r="C19" i="66"/>
  <c r="C20" i="66"/>
  <c r="C21" i="66"/>
  <c r="C22" i="66"/>
  <c r="C17" i="66"/>
  <c r="B18" i="66"/>
  <c r="B19" i="66"/>
  <c r="B20" i="66"/>
  <c r="B21" i="66"/>
  <c r="B22" i="66"/>
  <c r="B17" i="66"/>
  <c r="B12" i="66"/>
  <c r="B4" i="66"/>
  <c r="C7" i="66"/>
  <c r="B7" i="66"/>
  <c r="B9" i="66"/>
  <c r="B10" i="66"/>
  <c r="K7" i="66"/>
  <c r="AC7" i="66"/>
  <c r="F25" i="66"/>
  <c r="AD14" i="66"/>
  <c r="L14" i="66"/>
  <c r="Y34" i="66" l="1"/>
  <c r="Y32" i="66"/>
  <c r="Y33" i="66"/>
  <c r="AD7" i="66"/>
  <c r="AE14" i="66"/>
  <c r="B20" i="58"/>
  <c r="AK72" i="54"/>
  <c r="G25" i="66"/>
  <c r="M14" i="66"/>
  <c r="N14" i="66" s="1"/>
  <c r="L7" i="66"/>
  <c r="AE7" i="66" s="1"/>
  <c r="D17" i="66"/>
  <c r="E17" i="66" s="1"/>
  <c r="C25" i="66"/>
  <c r="C32" i="66"/>
  <c r="C42" i="66"/>
  <c r="C41" i="66"/>
  <c r="D5" i="66"/>
  <c r="AF5" i="66" s="1"/>
  <c r="F5" i="66"/>
  <c r="C13" i="66"/>
  <c r="AI5" i="66"/>
  <c r="AB14" i="66"/>
  <c r="K14" i="66"/>
  <c r="E25" i="66"/>
  <c r="AC14" i="66"/>
  <c r="Q5" i="66"/>
  <c r="Z34" i="66" l="1"/>
  <c r="Z33" i="66"/>
  <c r="Z32" i="66"/>
  <c r="AF14" i="66"/>
  <c r="AH14" i="66"/>
  <c r="O14" i="66"/>
  <c r="P14" i="66"/>
  <c r="AG14" i="66"/>
  <c r="AG5" i="66"/>
  <c r="N5" i="66"/>
  <c r="O5" i="66"/>
  <c r="E5" i="66"/>
  <c r="AI47" i="54"/>
  <c r="AH47" i="54"/>
  <c r="P5" i="66"/>
  <c r="AI14" i="66" l="1"/>
  <c r="AM13" i="66" s="1"/>
  <c r="Q14" i="66"/>
  <c r="U14" i="66" s="1"/>
  <c r="AH5" i="66"/>
  <c r="F31" i="66" l="1"/>
  <c r="G31" i="66"/>
  <c r="M31" i="66" s="1"/>
  <c r="L31" i="66"/>
  <c r="AB31" i="66"/>
  <c r="H31" i="66" l="1"/>
  <c r="I31" i="66" s="1"/>
  <c r="K3" i="91"/>
  <c r="J3" i="91"/>
  <c r="I3" i="91"/>
  <c r="H3" i="91"/>
  <c r="G3" i="91"/>
  <c r="F3" i="91"/>
  <c r="E3" i="91"/>
  <c r="D3" i="91"/>
  <c r="C3" i="91"/>
  <c r="B3" i="91"/>
  <c r="A3" i="91"/>
  <c r="A3" i="52"/>
  <c r="Q31" i="66"/>
  <c r="J3" i="52" l="1"/>
  <c r="I3" i="52"/>
  <c r="H3" i="52"/>
  <c r="G3" i="52"/>
  <c r="F3" i="52"/>
  <c r="E3" i="52"/>
  <c r="D3" i="52"/>
  <c r="C3" i="52"/>
  <c r="B3" i="52"/>
  <c r="K3" i="52"/>
  <c r="M57" i="54"/>
  <c r="BJ72" i="54" s="1"/>
  <c r="M32" i="54"/>
  <c r="BJ48" i="54" s="1"/>
  <c r="N7" i="54"/>
  <c r="BI22" i="54" s="1"/>
  <c r="M7" i="54"/>
  <c r="BJ22" i="54" s="1"/>
  <c r="K5" i="54"/>
  <c r="K7" i="54" s="1"/>
  <c r="J5" i="54"/>
  <c r="J7" i="54" s="1"/>
  <c r="I5" i="54"/>
  <c r="I7" i="54" s="1"/>
  <c r="H5" i="54"/>
  <c r="H7" i="54" s="1"/>
  <c r="G5" i="54"/>
  <c r="G7" i="54" s="1"/>
  <c r="F5" i="54"/>
  <c r="F7" i="54" s="1"/>
  <c r="E5" i="54"/>
  <c r="E7" i="54" s="1"/>
  <c r="D5" i="54"/>
  <c r="D7" i="54" s="1"/>
  <c r="C5" i="54"/>
  <c r="C7" i="54" s="1"/>
  <c r="B5" i="54"/>
  <c r="B6" i="54" s="1"/>
  <c r="K55" i="54"/>
  <c r="J55" i="54"/>
  <c r="I55" i="54"/>
  <c r="H55" i="54"/>
  <c r="G55" i="54"/>
  <c r="F55" i="54"/>
  <c r="E55" i="54"/>
  <c r="D55" i="54"/>
  <c r="C55" i="54"/>
  <c r="B55" i="54"/>
  <c r="K30" i="54"/>
  <c r="K32" i="54" s="1"/>
  <c r="J30" i="54"/>
  <c r="J32" i="54" s="1"/>
  <c r="I30" i="54"/>
  <c r="I32" i="54" s="1"/>
  <c r="H30" i="54"/>
  <c r="H32" i="54" s="1"/>
  <c r="G30" i="54"/>
  <c r="G32" i="54" s="1"/>
  <c r="F30" i="54"/>
  <c r="F32" i="54" s="1"/>
  <c r="E30" i="54"/>
  <c r="E32" i="54" s="1"/>
  <c r="D30" i="54"/>
  <c r="D32" i="54" s="1"/>
  <c r="C30" i="54"/>
  <c r="C32" i="54" s="1"/>
  <c r="B30" i="54"/>
  <c r="A57" i="54"/>
  <c r="A32" i="54"/>
  <c r="A7" i="54"/>
  <c r="Z6" i="54"/>
  <c r="B34" i="58"/>
  <c r="AL45" i="54"/>
  <c r="AA6" i="54"/>
  <c r="AM45" i="54"/>
  <c r="B35" i="58"/>
  <c r="AV6" i="54"/>
  <c r="AL46" i="54" l="1"/>
  <c r="AM46" i="54"/>
  <c r="AS46" i="54"/>
  <c r="AB6" i="54"/>
  <c r="AH45" i="54"/>
  <c r="AI45" i="54" s="1"/>
  <c r="B8" i="58"/>
  <c r="B9" i="58"/>
  <c r="B36" i="58"/>
  <c r="B10" i="58"/>
  <c r="AL22" i="54"/>
  <c r="AL72" i="54"/>
  <c r="AK22" i="54"/>
  <c r="AW6" i="54"/>
  <c r="AL48" i="54"/>
  <c r="D10" i="54"/>
  <c r="D13" i="54" s="1"/>
  <c r="B7" i="54"/>
  <c r="K56" i="54"/>
  <c r="K57" i="54"/>
  <c r="D56" i="54"/>
  <c r="D57" i="54"/>
  <c r="J6" i="54"/>
  <c r="J16" i="54" s="1"/>
  <c r="I31" i="54"/>
  <c r="G56" i="54"/>
  <c r="G57" i="54"/>
  <c r="E6" i="54"/>
  <c r="C31" i="54"/>
  <c r="K31" i="54"/>
  <c r="I56" i="54"/>
  <c r="I57" i="54"/>
  <c r="G6" i="54"/>
  <c r="D31" i="54"/>
  <c r="B56" i="54"/>
  <c r="B57" i="54"/>
  <c r="J57" i="54"/>
  <c r="J56" i="54"/>
  <c r="H6" i="54"/>
  <c r="E31" i="54"/>
  <c r="C56" i="54"/>
  <c r="C57" i="54"/>
  <c r="I6" i="54"/>
  <c r="F31" i="54"/>
  <c r="G31" i="54"/>
  <c r="E56" i="54"/>
  <c r="E57" i="54"/>
  <c r="C6" i="54"/>
  <c r="K6" i="54"/>
  <c r="B31" i="54"/>
  <c r="B32" i="54"/>
  <c r="B44" i="54" s="1"/>
  <c r="B49" i="54" s="1"/>
  <c r="J31" i="54"/>
  <c r="H57" i="54"/>
  <c r="H56" i="54"/>
  <c r="F6" i="54"/>
  <c r="H31" i="54"/>
  <c r="F56" i="54"/>
  <c r="F57" i="54"/>
  <c r="D6" i="54"/>
  <c r="B7" i="58"/>
  <c r="B19" i="58"/>
  <c r="AJ45" i="54"/>
  <c r="BG22" i="54"/>
  <c r="BH45" i="54"/>
  <c r="B45" i="58"/>
  <c r="AO45" i="54"/>
  <c r="AA56" i="54"/>
  <c r="AI22" i="54"/>
  <c r="AV56" i="54"/>
  <c r="AB56" i="54" l="1"/>
  <c r="B69" i="54"/>
  <c r="B74" i="54" s="1"/>
  <c r="L6" i="91"/>
  <c r="M6" i="91"/>
  <c r="AW56" i="54"/>
  <c r="P2" i="91"/>
  <c r="P2" i="52"/>
  <c r="N2" i="52"/>
  <c r="N2" i="91"/>
  <c r="G69" i="54"/>
  <c r="D69" i="54"/>
  <c r="K41" i="54"/>
  <c r="K44" i="54"/>
  <c r="C44" i="54"/>
  <c r="C49" i="54" s="1"/>
  <c r="B45" i="54" s="1"/>
  <c r="B5" i="52"/>
  <c r="B5" i="91"/>
  <c r="D44" i="54"/>
  <c r="D49" i="54" s="1"/>
  <c r="C45" i="54" s="1"/>
  <c r="C5" i="52"/>
  <c r="C5" i="91"/>
  <c r="B16" i="54"/>
  <c r="B15" i="54" s="1"/>
  <c r="D16" i="54"/>
  <c r="D15" i="54" s="1"/>
  <c r="I69" i="54"/>
  <c r="F44" i="54"/>
  <c r="F69" i="54"/>
  <c r="K69" i="54"/>
  <c r="H35" i="54"/>
  <c r="H34" i="54" s="1"/>
  <c r="I44" i="54"/>
  <c r="H44" i="54"/>
  <c r="K19" i="54"/>
  <c r="E44" i="54"/>
  <c r="J66" i="54"/>
  <c r="G44" i="54"/>
  <c r="D66" i="54"/>
  <c r="D65" i="54" s="1"/>
  <c r="E69" i="54"/>
  <c r="J69" i="54"/>
  <c r="H69" i="54"/>
  <c r="C69" i="54"/>
  <c r="J44" i="54"/>
  <c r="B41" i="54"/>
  <c r="B40" i="54" s="1"/>
  <c r="I41" i="54"/>
  <c r="I40" i="54" s="1"/>
  <c r="I16" i="54"/>
  <c r="I15" i="54" s="1"/>
  <c r="J10" i="54"/>
  <c r="J9" i="54" s="1"/>
  <c r="I60" i="54"/>
  <c r="I59" i="54" s="1"/>
  <c r="G35" i="54"/>
  <c r="G34" i="54" s="1"/>
  <c r="G60" i="54"/>
  <c r="G63" i="54" s="1"/>
  <c r="G62" i="54" s="1"/>
  <c r="K60" i="54"/>
  <c r="C66" i="54"/>
  <c r="C65" i="54" s="1"/>
  <c r="B66" i="54"/>
  <c r="B65" i="54" s="1"/>
  <c r="K35" i="54"/>
  <c r="G66" i="54"/>
  <c r="G65" i="54" s="1"/>
  <c r="F66" i="54"/>
  <c r="F65" i="54" s="1"/>
  <c r="E35" i="54"/>
  <c r="E34" i="54" s="1"/>
  <c r="C41" i="54"/>
  <c r="C40" i="54" s="1"/>
  <c r="I10" i="54"/>
  <c r="I9" i="54" s="1"/>
  <c r="E16" i="54"/>
  <c r="E15" i="54" s="1"/>
  <c r="G41" i="54"/>
  <c r="G40" i="54" s="1"/>
  <c r="C35" i="54"/>
  <c r="C38" i="54" s="1"/>
  <c r="C37" i="54" s="1"/>
  <c r="H41" i="54"/>
  <c r="H40" i="54" s="1"/>
  <c r="E41" i="54"/>
  <c r="E40" i="54" s="1"/>
  <c r="J60" i="54"/>
  <c r="J59" i="54" s="1"/>
  <c r="H60" i="54"/>
  <c r="H63" i="54" s="1"/>
  <c r="H62" i="54" s="1"/>
  <c r="H10" i="54"/>
  <c r="H9" i="54" s="1"/>
  <c r="G10" i="54"/>
  <c r="G9" i="54" s="1"/>
  <c r="H16" i="54"/>
  <c r="H15" i="54" s="1"/>
  <c r="G16" i="54"/>
  <c r="G15" i="54" s="1"/>
  <c r="F16" i="54"/>
  <c r="F15" i="54" s="1"/>
  <c r="I66" i="54"/>
  <c r="I65" i="54" s="1"/>
  <c r="H66" i="54"/>
  <c r="H65" i="54" s="1"/>
  <c r="F10" i="54"/>
  <c r="F9" i="54" s="1"/>
  <c r="I35" i="54"/>
  <c r="I34" i="54" s="1"/>
  <c r="B3" i="58"/>
  <c r="D12" i="54"/>
  <c r="C60" i="54"/>
  <c r="E10" i="54"/>
  <c r="E13" i="54" s="1"/>
  <c r="E12" i="54" s="1"/>
  <c r="K66" i="54"/>
  <c r="D60" i="54"/>
  <c r="D63" i="54" s="1"/>
  <c r="D62" i="54" s="1"/>
  <c r="F35" i="54"/>
  <c r="F41" i="54"/>
  <c r="F40" i="54" s="1"/>
  <c r="E60" i="54"/>
  <c r="E66" i="54"/>
  <c r="E65" i="54" s="1"/>
  <c r="J41" i="54"/>
  <c r="J35" i="54"/>
  <c r="C16" i="54"/>
  <c r="C15" i="54" s="1"/>
  <c r="C10" i="54"/>
  <c r="C13" i="54" s="1"/>
  <c r="K16" i="54"/>
  <c r="K10" i="54"/>
  <c r="F60" i="54"/>
  <c r="D41" i="54"/>
  <c r="D40" i="54" s="1"/>
  <c r="D35" i="54"/>
  <c r="AD6" i="54"/>
  <c r="AY56" i="54"/>
  <c r="AH48" i="54"/>
  <c r="BF48" i="54"/>
  <c r="AN45" i="54"/>
  <c r="BF72" i="54"/>
  <c r="AH22" i="54"/>
  <c r="AN46" i="54"/>
  <c r="BG72" i="54"/>
  <c r="AY6" i="54"/>
  <c r="BG45" i="54"/>
  <c r="AI72" i="54"/>
  <c r="AO46" i="54"/>
  <c r="BG48" i="54"/>
  <c r="AH72" i="54"/>
  <c r="AD56" i="54"/>
  <c r="BF22" i="54"/>
  <c r="AI48" i="54"/>
  <c r="AF31" i="54" l="1"/>
  <c r="BA31" i="54"/>
  <c r="M4" i="52"/>
  <c r="M6" i="52" s="1"/>
  <c r="M4" i="91"/>
  <c r="M5" i="91" s="1"/>
  <c r="L4" i="91"/>
  <c r="L5" i="91" s="1"/>
  <c r="K5" i="91" s="1"/>
  <c r="L4" i="52"/>
  <c r="BH48" i="54"/>
  <c r="AU51" i="54" s="1"/>
  <c r="B12" i="58"/>
  <c r="B21" i="58"/>
  <c r="B38" i="58"/>
  <c r="B39" i="58"/>
  <c r="B13" i="58"/>
  <c r="B47" i="58"/>
  <c r="BH22" i="54"/>
  <c r="AU25" i="54" s="1"/>
  <c r="BH72" i="54"/>
  <c r="AU75" i="54" s="1"/>
  <c r="AJ22" i="54"/>
  <c r="Q24" i="54" s="1"/>
  <c r="AJ48" i="54"/>
  <c r="Q50" i="54" s="1"/>
  <c r="AJ72" i="54"/>
  <c r="Q74" i="54" s="1"/>
  <c r="B23" i="58" s="1"/>
  <c r="J40" i="54"/>
  <c r="K40" i="54"/>
  <c r="J6" i="91"/>
  <c r="H12" i="91"/>
  <c r="J15" i="54"/>
  <c r="K63" i="54"/>
  <c r="K38" i="54"/>
  <c r="K37" i="54" s="1"/>
  <c r="J65" i="54"/>
  <c r="K15" i="54"/>
  <c r="O5" i="52"/>
  <c r="K65" i="54"/>
  <c r="C46" i="54"/>
  <c r="H6" i="91"/>
  <c r="E6" i="91"/>
  <c r="D6" i="91"/>
  <c r="C6" i="91"/>
  <c r="K6" i="91"/>
  <c r="F6" i="91"/>
  <c r="I6" i="91"/>
  <c r="B46" i="54"/>
  <c r="G6" i="91"/>
  <c r="B6" i="91"/>
  <c r="H38" i="54"/>
  <c r="H37" i="54" s="1"/>
  <c r="C74" i="54"/>
  <c r="B70" i="54" s="1"/>
  <c r="B71" i="54"/>
  <c r="D46" i="54"/>
  <c r="G38" i="54"/>
  <c r="G37" i="54" s="1"/>
  <c r="I63" i="54"/>
  <c r="I62" i="54" s="1"/>
  <c r="G59" i="54"/>
  <c r="G13" i="54"/>
  <c r="G12" i="54" s="1"/>
  <c r="E38" i="54"/>
  <c r="E37" i="54" s="1"/>
  <c r="J13" i="54"/>
  <c r="J12" i="54" s="1"/>
  <c r="F13" i="54"/>
  <c r="F12" i="54" s="1"/>
  <c r="K59" i="54"/>
  <c r="K34" i="54"/>
  <c r="I38" i="54"/>
  <c r="I37" i="54" s="1"/>
  <c r="I13" i="54"/>
  <c r="I12" i="54" s="1"/>
  <c r="C34" i="54"/>
  <c r="J63" i="54"/>
  <c r="J62" i="54" s="1"/>
  <c r="H59" i="54"/>
  <c r="H13" i="54"/>
  <c r="H12" i="54" s="1"/>
  <c r="E9" i="54"/>
  <c r="D59" i="54"/>
  <c r="C63" i="54"/>
  <c r="C62" i="54" s="1"/>
  <c r="C59" i="54"/>
  <c r="D9" i="54"/>
  <c r="J34" i="54"/>
  <c r="J38" i="54"/>
  <c r="J37" i="54" s="1"/>
  <c r="D38" i="54"/>
  <c r="D37" i="54" s="1"/>
  <c r="D34" i="54"/>
  <c r="E63" i="54"/>
  <c r="E62" i="54" s="1"/>
  <c r="E59" i="54"/>
  <c r="C9" i="54"/>
  <c r="C12" i="54"/>
  <c r="F38" i="54"/>
  <c r="F37" i="54" s="1"/>
  <c r="F34" i="54"/>
  <c r="K13" i="54"/>
  <c r="K9" i="54"/>
  <c r="F63" i="54"/>
  <c r="F62" i="54" s="1"/>
  <c r="F59" i="54"/>
  <c r="BF45" i="54"/>
  <c r="AX56" i="54"/>
  <c r="AX6" i="54"/>
  <c r="AC56" i="54"/>
  <c r="AP45" i="54"/>
  <c r="AC6" i="54"/>
  <c r="BA6" i="54" l="1"/>
  <c r="AF6" i="54"/>
  <c r="AF56" i="54"/>
  <c r="BA56" i="54"/>
  <c r="B42" i="58"/>
  <c r="B16" i="58"/>
  <c r="D4" i="91"/>
  <c r="E4" i="91"/>
  <c r="M5" i="52"/>
  <c r="A13" i="52" s="1"/>
  <c r="B4" i="91"/>
  <c r="I4" i="91"/>
  <c r="F4" i="91"/>
  <c r="K4" i="91"/>
  <c r="R5" i="91" s="1"/>
  <c r="A12" i="91"/>
  <c r="G4" i="91"/>
  <c r="J4" i="91"/>
  <c r="C4" i="91"/>
  <c r="H4" i="91"/>
  <c r="L6" i="52"/>
  <c r="B6" i="52" s="1"/>
  <c r="L5" i="52"/>
  <c r="G5" i="52" s="1"/>
  <c r="A13" i="91"/>
  <c r="H13" i="91"/>
  <c r="B49" i="58"/>
  <c r="O29" i="54"/>
  <c r="O32" i="54" s="1"/>
  <c r="C47" i="54"/>
  <c r="G4" i="52"/>
  <c r="A12" i="52"/>
  <c r="B4" i="52"/>
  <c r="O4" i="54"/>
  <c r="D4" i="52"/>
  <c r="K4" i="52"/>
  <c r="C4" i="52"/>
  <c r="J4" i="52"/>
  <c r="F4" i="52"/>
  <c r="K62" i="54"/>
  <c r="I4" i="52"/>
  <c r="E4" i="52"/>
  <c r="H4" i="52"/>
  <c r="B47" i="54"/>
  <c r="B48" i="54" s="1"/>
  <c r="H5" i="91"/>
  <c r="I5" i="91"/>
  <c r="J5" i="91"/>
  <c r="F5" i="91"/>
  <c r="G5" i="91"/>
  <c r="D5" i="91"/>
  <c r="E5" i="91"/>
  <c r="K12" i="54"/>
  <c r="D77" i="66"/>
  <c r="E77" i="66" s="1"/>
  <c r="Y77" i="66" s="1"/>
  <c r="B77" i="66"/>
  <c r="D78" i="66"/>
  <c r="E78" i="66" s="1"/>
  <c r="Y78" i="66" s="1"/>
  <c r="B78" i="66"/>
  <c r="D76" i="66"/>
  <c r="E76" i="66" s="1"/>
  <c r="Y76" i="66" s="1"/>
  <c r="B61" i="66"/>
  <c r="D75" i="66"/>
  <c r="E75" i="66" s="1"/>
  <c r="Y75" i="66" s="1"/>
  <c r="B75" i="66"/>
  <c r="B55" i="66"/>
  <c r="Z75" i="66"/>
  <c r="G75" i="66"/>
  <c r="G76" i="66"/>
  <c r="G78" i="66"/>
  <c r="Z78" i="66"/>
  <c r="Z77" i="66"/>
  <c r="Z76" i="66"/>
  <c r="G77" i="66"/>
  <c r="BI45" i="54"/>
  <c r="AR45" i="54"/>
  <c r="BK45" i="54" l="1"/>
  <c r="AS45" i="54"/>
  <c r="AF32" i="54" s="1"/>
  <c r="F76" i="66"/>
  <c r="F78" i="66"/>
  <c r="F77" i="66"/>
  <c r="F75" i="66"/>
  <c r="O31" i="54"/>
  <c r="O6" i="54"/>
  <c r="O7" i="54"/>
  <c r="J6" i="52"/>
  <c r="C6" i="52"/>
  <c r="G6" i="52"/>
  <c r="K6" i="52"/>
  <c r="H6" i="52"/>
  <c r="E6" i="52"/>
  <c r="D6" i="52"/>
  <c r="I6" i="52"/>
  <c r="E5" i="52"/>
  <c r="F6" i="52"/>
  <c r="K5" i="52"/>
  <c r="F5" i="52"/>
  <c r="H5" i="52"/>
  <c r="J5" i="52"/>
  <c r="I5" i="52"/>
  <c r="D5" i="52"/>
  <c r="C48" i="54"/>
  <c r="C75" i="66"/>
  <c r="AA75" i="66" s="1"/>
  <c r="C78" i="66"/>
  <c r="AA78" i="66" s="1"/>
  <c r="I78" i="66"/>
  <c r="AB75" i="66"/>
  <c r="AB78" i="66"/>
  <c r="I75" i="66"/>
  <c r="H78" i="66" l="1"/>
  <c r="B74" i="66"/>
  <c r="D74" i="66"/>
  <c r="B76" i="66"/>
  <c r="C76" i="66" s="1"/>
  <c r="AA76" i="66" s="1"/>
  <c r="H75" i="66"/>
  <c r="B95" i="66"/>
  <c r="B94" i="66"/>
  <c r="B93" i="66"/>
  <c r="B92" i="66"/>
  <c r="AB76" i="66"/>
  <c r="I76" i="66"/>
  <c r="L75" i="66" l="1"/>
  <c r="L78" i="66"/>
  <c r="Y94" i="66"/>
  <c r="X94" i="66"/>
  <c r="Y93" i="66"/>
  <c r="X93" i="66"/>
  <c r="X92" i="66"/>
  <c r="Y92" i="66"/>
  <c r="X95" i="66"/>
  <c r="Y95" i="66"/>
  <c r="C93" i="66"/>
  <c r="C95" i="66"/>
  <c r="C94" i="66"/>
  <c r="C77" i="66"/>
  <c r="AA77" i="66" s="1"/>
  <c r="H76" i="66"/>
  <c r="D92" i="66"/>
  <c r="C92" i="66"/>
  <c r="D95" i="66"/>
  <c r="D94" i="66"/>
  <c r="D93" i="66"/>
  <c r="A73" i="66"/>
  <c r="AB77" i="66"/>
  <c r="I77" i="66"/>
  <c r="L76" i="66" l="1"/>
  <c r="Z95" i="66"/>
  <c r="AL92" i="66"/>
  <c r="Z92" i="66"/>
  <c r="AA92" i="66" s="1"/>
  <c r="AB92" i="66" s="1"/>
  <c r="AL95" i="66"/>
  <c r="AL94" i="66"/>
  <c r="Z94" i="66"/>
  <c r="AA94" i="66" s="1"/>
  <c r="AB94" i="66" s="1"/>
  <c r="Z93" i="66"/>
  <c r="AA93" i="66" s="1"/>
  <c r="AB93" i="66" s="1"/>
  <c r="AL93" i="66"/>
  <c r="H77" i="66"/>
  <c r="E95" i="66"/>
  <c r="L95" i="66" s="1"/>
  <c r="Q95" i="66"/>
  <c r="P94" i="66" s="1"/>
  <c r="Q92" i="66"/>
  <c r="E92" i="66"/>
  <c r="F92" i="66" s="1"/>
  <c r="J78" i="66"/>
  <c r="J77" i="66"/>
  <c r="J75" i="66"/>
  <c r="J76" i="66"/>
  <c r="Q94" i="66"/>
  <c r="J96" i="66"/>
  <c r="E93" i="66"/>
  <c r="H93" i="66" s="1"/>
  <c r="Q93" i="66"/>
  <c r="E94" i="66"/>
  <c r="F94" i="66" s="1"/>
  <c r="F29" i="66"/>
  <c r="L77" i="66" l="1"/>
  <c r="AA95" i="66"/>
  <c r="AB95" i="66" s="1"/>
  <c r="AI95" i="66"/>
  <c r="AJ95" i="66" s="1"/>
  <c r="AG94" i="66"/>
  <c r="AE95" i="66"/>
  <c r="AC94" i="66"/>
  <c r="AI93" i="66"/>
  <c r="AJ93" i="66" s="1"/>
  <c r="AE93" i="66"/>
  <c r="AI94" i="66"/>
  <c r="AJ94" i="66" s="1"/>
  <c r="AE94" i="66"/>
  <c r="AK92" i="66"/>
  <c r="AI92" i="66"/>
  <c r="AJ92" i="66" s="1"/>
  <c r="AE92" i="66"/>
  <c r="AK94" i="66"/>
  <c r="AK93" i="66"/>
  <c r="AG92" i="66"/>
  <c r="AC92" i="66"/>
  <c r="AG95" i="66"/>
  <c r="AC95" i="66"/>
  <c r="AG93" i="66"/>
  <c r="AC93" i="66"/>
  <c r="H79" i="66"/>
  <c r="I79" i="66" s="1"/>
  <c r="AA79" i="66"/>
  <c r="AC79" i="66" s="1"/>
  <c r="P92" i="66"/>
  <c r="P93" i="66"/>
  <c r="J95" i="66"/>
  <c r="F95" i="66"/>
  <c r="H95" i="66"/>
  <c r="N95" i="66"/>
  <c r="O95" i="66" s="1"/>
  <c r="H92" i="66"/>
  <c r="F93" i="66"/>
  <c r="H94" i="66"/>
  <c r="J92" i="66"/>
  <c r="N92" i="66"/>
  <c r="O92" i="66" s="1"/>
  <c r="L92" i="66"/>
  <c r="G94" i="66"/>
  <c r="N93" i="66"/>
  <c r="O93" i="66" s="1"/>
  <c r="J93" i="66"/>
  <c r="L93" i="66"/>
  <c r="N94" i="66"/>
  <c r="O94" i="66" s="1"/>
  <c r="J94" i="66"/>
  <c r="L94" i="66"/>
  <c r="AC31" i="66"/>
  <c r="AE31" i="66" s="1"/>
  <c r="M93" i="66" l="1"/>
  <c r="K95" i="66"/>
  <c r="AF93" i="66"/>
  <c r="AH92" i="66"/>
  <c r="M92" i="66"/>
  <c r="AH95" i="66"/>
  <c r="M95" i="66"/>
  <c r="AF94" i="66"/>
  <c r="M94" i="66"/>
  <c r="AD95" i="66"/>
  <c r="AD93" i="66"/>
  <c r="AH94" i="66"/>
  <c r="AD94" i="66"/>
  <c r="AF95" i="66"/>
  <c r="AH93" i="66"/>
  <c r="AD92" i="66"/>
  <c r="I92" i="66"/>
  <c r="AF92" i="66"/>
  <c r="AC78" i="66"/>
  <c r="AD78" i="66" s="1"/>
  <c r="K76" i="66"/>
  <c r="AC76" i="66"/>
  <c r="AD76" i="66" s="1"/>
  <c r="K75" i="66"/>
  <c r="AC75" i="66"/>
  <c r="AD75" i="66" s="1"/>
  <c r="AB79" i="66"/>
  <c r="AL82" i="66" s="1"/>
  <c r="K77" i="66"/>
  <c r="J79" i="66"/>
  <c r="O82" i="66" s="1"/>
  <c r="AC77" i="66"/>
  <c r="AD77" i="66" s="1"/>
  <c r="N31" i="66"/>
  <c r="U31" i="66" s="1"/>
  <c r="I94" i="66"/>
  <c r="K94" i="66"/>
  <c r="I95" i="66"/>
  <c r="K93" i="66"/>
  <c r="I93" i="66"/>
  <c r="K92" i="66"/>
  <c r="G93" i="66"/>
  <c r="G95" i="66"/>
  <c r="G92" i="66"/>
  <c r="A1" i="65"/>
  <c r="AM94" i="66" l="1"/>
  <c r="AM93" i="66"/>
  <c r="AM95" i="66"/>
  <c r="AM92" i="66"/>
  <c r="U93" i="66"/>
  <c r="Y83" i="66"/>
  <c r="Y86" i="66"/>
  <c r="Y85" i="66"/>
  <c r="Y84" i="66"/>
  <c r="F45" i="65"/>
  <c r="F37" i="65"/>
  <c r="F29" i="65"/>
  <c r="F17" i="65"/>
  <c r="F9" i="65"/>
  <c r="C47" i="65"/>
  <c r="C38" i="65"/>
  <c r="C30" i="65"/>
  <c r="C8" i="65"/>
  <c r="C16" i="65"/>
  <c r="F35" i="65"/>
  <c r="F27" i="65"/>
  <c r="F7" i="65"/>
  <c r="C36" i="65"/>
  <c r="C10" i="65"/>
  <c r="F42" i="65"/>
  <c r="F26" i="65"/>
  <c r="F6" i="65"/>
  <c r="C35" i="65"/>
  <c r="C11" i="65"/>
  <c r="F11" i="65"/>
  <c r="C32" i="65"/>
  <c r="F46" i="65"/>
  <c r="F18" i="65"/>
  <c r="C39" i="65"/>
  <c r="C15" i="65"/>
  <c r="F44" i="65"/>
  <c r="F36" i="65"/>
  <c r="F28" i="65"/>
  <c r="F16" i="65"/>
  <c r="F8" i="65"/>
  <c r="C46" i="65"/>
  <c r="C37" i="65"/>
  <c r="C29" i="65"/>
  <c r="C9" i="65"/>
  <c r="C17" i="65"/>
  <c r="F43" i="65"/>
  <c r="F15" i="65"/>
  <c r="C45" i="65"/>
  <c r="C28" i="65"/>
  <c r="C18" i="65"/>
  <c r="F34" i="65"/>
  <c r="F14" i="65"/>
  <c r="C43" i="65"/>
  <c r="C27" i="65"/>
  <c r="C19" i="65"/>
  <c r="C44" i="65"/>
  <c r="C6" i="65"/>
  <c r="F30" i="65"/>
  <c r="C48" i="65"/>
  <c r="C7" i="65"/>
  <c r="F41" i="65"/>
  <c r="F33" i="65"/>
  <c r="F25" i="65"/>
  <c r="F13" i="65"/>
  <c r="F5" i="65"/>
  <c r="C42" i="65"/>
  <c r="C34" i="65"/>
  <c r="C26" i="65"/>
  <c r="C12" i="65"/>
  <c r="C20" i="65"/>
  <c r="F48" i="65"/>
  <c r="F40" i="65"/>
  <c r="F32" i="65"/>
  <c r="F20" i="65"/>
  <c r="F12" i="65"/>
  <c r="C5" i="65"/>
  <c r="C41" i="65"/>
  <c r="C33" i="65"/>
  <c r="C25" i="65"/>
  <c r="C13" i="65"/>
  <c r="F47" i="65"/>
  <c r="F39" i="65"/>
  <c r="F31" i="65"/>
  <c r="F19" i="65"/>
  <c r="C40" i="65"/>
  <c r="C14" i="65"/>
  <c r="F38" i="65"/>
  <c r="F10" i="65"/>
  <c r="C31" i="65"/>
  <c r="U92" i="66"/>
  <c r="U94" i="66"/>
  <c r="U95" i="66"/>
  <c r="K78" i="66"/>
  <c r="X85" i="66" s="1"/>
  <c r="AI85" i="66" s="1"/>
  <c r="X86" i="66" l="1"/>
  <c r="AI86" i="66" s="1"/>
  <c r="X84" i="66"/>
  <c r="AI84" i="66" s="1"/>
  <c r="B83" i="66"/>
  <c r="X83" i="66"/>
  <c r="AI83" i="66" s="1"/>
  <c r="A85" i="66"/>
  <c r="A86" i="66"/>
  <c r="A83" i="66"/>
  <c r="M83" i="66" s="1"/>
  <c r="A84" i="66"/>
  <c r="B85" i="66"/>
  <c r="B84" i="66"/>
  <c r="B86" i="66"/>
  <c r="AH86" i="66" l="1"/>
  <c r="W86" i="66"/>
  <c r="W84" i="66"/>
  <c r="AH84" i="66"/>
  <c r="J83" i="66"/>
  <c r="K83" i="66" s="1"/>
  <c r="W85" i="66"/>
  <c r="L85" i="66"/>
  <c r="AH83" i="66"/>
  <c r="W83" i="66"/>
  <c r="AH85" i="66"/>
  <c r="L86" i="66"/>
  <c r="L84" i="66"/>
  <c r="L83" i="66"/>
  <c r="AF84" i="66"/>
  <c r="AG84" i="66" s="1"/>
  <c r="AF83" i="66"/>
  <c r="AG83" i="66" s="1"/>
  <c r="AF86" i="66"/>
  <c r="AG86" i="66" s="1"/>
  <c r="AF85" i="66"/>
  <c r="AG85" i="66" s="1"/>
  <c r="J84" i="66"/>
  <c r="K84" i="66" s="1"/>
  <c r="J86" i="66"/>
  <c r="K86" i="66" s="1"/>
  <c r="J85" i="66"/>
  <c r="K85" i="66" s="1"/>
  <c r="C84" i="66"/>
  <c r="C83" i="66"/>
  <c r="C86" i="66"/>
  <c r="C85" i="66"/>
  <c r="A29" i="66"/>
  <c r="A38" i="66"/>
  <c r="H83" i="66" l="1"/>
  <c r="I83" i="66" s="1"/>
  <c r="AD83" i="66"/>
  <c r="AB83" i="66" s="1"/>
  <c r="Z83" i="66" s="1"/>
  <c r="H85" i="66"/>
  <c r="I85" i="66" s="1"/>
  <c r="AD85" i="66"/>
  <c r="AE85" i="66" s="1"/>
  <c r="H84" i="66"/>
  <c r="I84" i="66" s="1"/>
  <c r="AD84" i="66"/>
  <c r="AE84" i="66" s="1"/>
  <c r="AD86" i="66"/>
  <c r="H86" i="66"/>
  <c r="D56" i="66"/>
  <c r="D65" i="66"/>
  <c r="B57" i="66"/>
  <c r="B65" i="66"/>
  <c r="B56" i="66"/>
  <c r="D57" i="66"/>
  <c r="D66" i="66"/>
  <c r="B58" i="66"/>
  <c r="G29" i="66"/>
  <c r="D58" i="66"/>
  <c r="D55" i="66"/>
  <c r="B59" i="66"/>
  <c r="D63" i="66"/>
  <c r="D59" i="66"/>
  <c r="B60" i="66"/>
  <c r="D62" i="66"/>
  <c r="D60" i="66"/>
  <c r="D64" i="66"/>
  <c r="D61" i="66"/>
  <c r="B62" i="66"/>
  <c r="B66" i="66"/>
  <c r="B63" i="66"/>
  <c r="B64" i="66"/>
  <c r="F83" i="66" l="1"/>
  <c r="G83" i="66" s="1"/>
  <c r="F85" i="66"/>
  <c r="AE83" i="66"/>
  <c r="AC83" i="66" s="1"/>
  <c r="AA83" i="66" s="1"/>
  <c r="AB85" i="66"/>
  <c r="AC85" i="66" s="1"/>
  <c r="I86" i="66"/>
  <c r="F86" i="66"/>
  <c r="D86" i="66" s="1"/>
  <c r="AE86" i="66"/>
  <c r="AB86" i="66"/>
  <c r="Z86" i="66" s="1"/>
  <c r="F84" i="66"/>
  <c r="AB84" i="66"/>
  <c r="Z84" i="66" s="1"/>
  <c r="E64" i="66"/>
  <c r="C64" i="66"/>
  <c r="O31" i="66"/>
  <c r="H25" i="66"/>
  <c r="F9" i="66"/>
  <c r="M9" i="66"/>
  <c r="U9" i="66" s="1"/>
  <c r="F10" i="66"/>
  <c r="M10" i="66"/>
  <c r="U10" i="66" s="1"/>
  <c r="F8" i="66"/>
  <c r="F7" i="66"/>
  <c r="M7" i="66"/>
  <c r="F6" i="66"/>
  <c r="M6" i="66"/>
  <c r="D22" i="66"/>
  <c r="E22" i="66" s="1"/>
  <c r="D18" i="66"/>
  <c r="E18" i="66" s="1"/>
  <c r="D19" i="66"/>
  <c r="E19" i="66" s="1"/>
  <c r="D20" i="66"/>
  <c r="E20" i="66" s="1"/>
  <c r="D21" i="66"/>
  <c r="E21" i="66" s="1"/>
  <c r="C63" i="66"/>
  <c r="C62" i="66"/>
  <c r="E61" i="66"/>
  <c r="E62" i="66"/>
  <c r="E59" i="66"/>
  <c r="C66" i="66"/>
  <c r="C61" i="66"/>
  <c r="C60" i="66"/>
  <c r="E66" i="66"/>
  <c r="C58" i="66"/>
  <c r="E63" i="66"/>
  <c r="E57" i="66"/>
  <c r="C59" i="66"/>
  <c r="C56" i="66"/>
  <c r="C65" i="66"/>
  <c r="E58" i="66"/>
  <c r="C57" i="66"/>
  <c r="E60" i="66"/>
  <c r="E65" i="66"/>
  <c r="E56" i="66"/>
  <c r="D6" i="66"/>
  <c r="D8" i="66"/>
  <c r="D7" i="66"/>
  <c r="D9" i="66"/>
  <c r="D10" i="66"/>
  <c r="Q9" i="66"/>
  <c r="Q7" i="66"/>
  <c r="Q8" i="66"/>
  <c r="Q6" i="66"/>
  <c r="AI7" i="66"/>
  <c r="AI10" i="66"/>
  <c r="AI6" i="66"/>
  <c r="AI8" i="66"/>
  <c r="Q10" i="66"/>
  <c r="AI9" i="66"/>
  <c r="Z85" i="66" l="1"/>
  <c r="AA85" i="66" s="1"/>
  <c r="D83" i="66"/>
  <c r="E83" i="66" s="1"/>
  <c r="N83" i="66" s="1"/>
  <c r="O83" i="66" s="1"/>
  <c r="G85" i="66"/>
  <c r="D85" i="66"/>
  <c r="G84" i="66"/>
  <c r="D84" i="66"/>
  <c r="AC84" i="66"/>
  <c r="AC86" i="66"/>
  <c r="AA86" i="66" s="1"/>
  <c r="G86" i="66"/>
  <c r="E86" i="66" s="1"/>
  <c r="M86" i="66"/>
  <c r="AJ83" i="66"/>
  <c r="AL83" i="66" s="1"/>
  <c r="N6" i="66"/>
  <c r="AF6" i="66"/>
  <c r="AG6" i="66"/>
  <c r="M84" i="66"/>
  <c r="AM7" i="66"/>
  <c r="M85" i="66"/>
  <c r="O10" i="66"/>
  <c r="AG10" i="66"/>
  <c r="AF10" i="66"/>
  <c r="AG7" i="66"/>
  <c r="AF7" i="66"/>
  <c r="AG8" i="66"/>
  <c r="AF8" i="66"/>
  <c r="O9" i="66"/>
  <c r="AG9" i="66"/>
  <c r="AF9" i="66"/>
  <c r="O6" i="66"/>
  <c r="E7" i="66"/>
  <c r="O7" i="66"/>
  <c r="N7" i="66"/>
  <c r="U7" i="66"/>
  <c r="N8" i="66"/>
  <c r="O8" i="66"/>
  <c r="N10" i="66"/>
  <c r="N9" i="66"/>
  <c r="E6" i="66"/>
  <c r="E10" i="66"/>
  <c r="E9" i="66"/>
  <c r="AH9" i="66" s="1"/>
  <c r="E8" i="66"/>
  <c r="P8" i="66" s="1"/>
  <c r="C34" i="66"/>
  <c r="C33" i="66"/>
  <c r="F56" i="66"/>
  <c r="P31" i="66"/>
  <c r="AH6" i="66"/>
  <c r="AH7" i="66"/>
  <c r="P10" i="66"/>
  <c r="AJ85" i="66" l="1"/>
  <c r="AL85" i="66" s="1"/>
  <c r="AJ7" i="66"/>
  <c r="E85" i="66"/>
  <c r="N85" i="66" s="1"/>
  <c r="O85" i="66" s="1"/>
  <c r="E84" i="66"/>
  <c r="N84" i="66" s="1"/>
  <c r="E32" i="66"/>
  <c r="AA84" i="66"/>
  <c r="AJ84" i="66" s="1"/>
  <c r="N86" i="66"/>
  <c r="O86" i="66" s="1"/>
  <c r="AJ6" i="66"/>
  <c r="AJ5" i="66"/>
  <c r="R5" i="66"/>
  <c r="R6" i="66"/>
  <c r="E34" i="66"/>
  <c r="E33" i="66"/>
  <c r="P7" i="66"/>
  <c r="AH8" i="66"/>
  <c r="P9" i="66"/>
  <c r="P6" i="66"/>
  <c r="AH10" i="66"/>
  <c r="AM6" i="66" l="1"/>
  <c r="R7" i="66"/>
  <c r="U6" i="66" s="1"/>
  <c r="R9" i="66"/>
  <c r="AJ9" i="66"/>
  <c r="AM11" i="66" s="1"/>
  <c r="R10" i="66"/>
  <c r="G32" i="66"/>
  <c r="F32" i="66"/>
  <c r="G33" i="66"/>
  <c r="F33" i="66"/>
  <c r="F34" i="66"/>
  <c r="G34" i="66"/>
  <c r="AB33" i="66"/>
  <c r="L34" i="66"/>
  <c r="AB34" i="66"/>
  <c r="L33" i="66"/>
  <c r="AB32" i="66"/>
  <c r="L32" i="66"/>
  <c r="AA34" i="66"/>
  <c r="AA32" i="66"/>
  <c r="AA33" i="66"/>
  <c r="U11" i="66" l="1"/>
  <c r="AE34" i="66"/>
  <c r="AE33" i="66" s="1"/>
  <c r="AE32" i="66" s="1"/>
  <c r="AB16" i="66"/>
  <c r="H20" i="65"/>
  <c r="H33" i="66"/>
  <c r="I33" i="66" s="1"/>
  <c r="M33" i="66"/>
  <c r="N33" i="66" s="1"/>
  <c r="H32" i="66"/>
  <c r="I32" i="66" s="1"/>
  <c r="M32" i="66"/>
  <c r="N32" i="66" s="1"/>
  <c r="H34" i="66"/>
  <c r="M34" i="66"/>
  <c r="N34" i="66" s="1"/>
  <c r="D15" i="65"/>
  <c r="F58" i="66"/>
  <c r="F61" i="66"/>
  <c r="F60" i="66"/>
  <c r="E42" i="66"/>
  <c r="F42" i="66" s="1"/>
  <c r="E43" i="66"/>
  <c r="G17" i="65"/>
  <c r="C46" i="66"/>
  <c r="C49" i="66"/>
  <c r="E49" i="66"/>
  <c r="G14" i="65"/>
  <c r="E46" i="66"/>
  <c r="E6" i="65"/>
  <c r="E47" i="66"/>
  <c r="G7" i="65"/>
  <c r="G20" i="65"/>
  <c r="E44" i="66"/>
  <c r="C50" i="66"/>
  <c r="G25" i="65"/>
  <c r="G29" i="65"/>
  <c r="G33" i="65"/>
  <c r="G37" i="65"/>
  <c r="G41" i="65"/>
  <c r="G45" i="65"/>
  <c r="C45" i="66"/>
  <c r="E50" i="66"/>
  <c r="G18" i="65"/>
  <c r="E45" i="66"/>
  <c r="C47" i="66"/>
  <c r="C51" i="66"/>
  <c r="G11" i="65"/>
  <c r="G15" i="65"/>
  <c r="E51" i="66"/>
  <c r="E41" i="66"/>
  <c r="C48" i="66"/>
  <c r="G27" i="65"/>
  <c r="G31" i="65"/>
  <c r="G35" i="65"/>
  <c r="G39" i="65"/>
  <c r="G43" i="65"/>
  <c r="E48" i="66"/>
  <c r="G19" i="65"/>
  <c r="G9" i="65"/>
  <c r="G28" i="65"/>
  <c r="G32" i="65"/>
  <c r="G36" i="65"/>
  <c r="G40" i="65"/>
  <c r="G44" i="65"/>
  <c r="G48" i="65"/>
  <c r="M8" i="66"/>
  <c r="U8" i="66" s="1"/>
  <c r="D30" i="65"/>
  <c r="D42" i="65"/>
  <c r="D46" i="65"/>
  <c r="D16" i="65"/>
  <c r="D26" i="65"/>
  <c r="D38" i="65"/>
  <c r="H8" i="65"/>
  <c r="G12" i="65"/>
  <c r="H16" i="65"/>
  <c r="D19" i="65"/>
  <c r="G26" i="65"/>
  <c r="G30" i="65"/>
  <c r="G34" i="65"/>
  <c r="G38" i="65"/>
  <c r="G42" i="65"/>
  <c r="G46" i="65"/>
  <c r="C44" i="66"/>
  <c r="H10" i="65"/>
  <c r="E8" i="65"/>
  <c r="D34" i="65"/>
  <c r="E14" i="65"/>
  <c r="E9" i="65"/>
  <c r="E13" i="65"/>
  <c r="G16" i="65"/>
  <c r="H19" i="65"/>
  <c r="D27" i="65"/>
  <c r="D31" i="65"/>
  <c r="D35" i="65"/>
  <c r="D39" i="65"/>
  <c r="D43" i="65"/>
  <c r="D47" i="65"/>
  <c r="E20" i="65"/>
  <c r="G47" i="65"/>
  <c r="C43" i="66"/>
  <c r="H13" i="65"/>
  <c r="E17" i="65"/>
  <c r="G6" i="65"/>
  <c r="E10" i="65"/>
  <c r="H17" i="65"/>
  <c r="D28" i="65"/>
  <c r="D32" i="65"/>
  <c r="D36" i="65"/>
  <c r="D40" i="65"/>
  <c r="D44" i="65"/>
  <c r="D48" i="65"/>
  <c r="E11" i="65"/>
  <c r="E15" i="65"/>
  <c r="D18" i="65"/>
  <c r="D25" i="65"/>
  <c r="D29" i="65"/>
  <c r="D33" i="65"/>
  <c r="D37" i="65"/>
  <c r="D41" i="65"/>
  <c r="D45" i="65"/>
  <c r="H15" i="65"/>
  <c r="H12" i="65"/>
  <c r="D14" i="65"/>
  <c r="D8" i="65"/>
  <c r="H9" i="65"/>
  <c r="D10" i="65"/>
  <c r="H11" i="65"/>
  <c r="D13" i="65"/>
  <c r="H6" i="65"/>
  <c r="D7" i="65"/>
  <c r="G8" i="65"/>
  <c r="G10" i="65"/>
  <c r="E12" i="65"/>
  <c r="G13" i="65"/>
  <c r="D20" i="65"/>
  <c r="D12" i="65"/>
  <c r="H14" i="65"/>
  <c r="E16" i="65"/>
  <c r="E18" i="65"/>
  <c r="E7" i="65"/>
  <c r="D9" i="65"/>
  <c r="D11" i="65"/>
  <c r="D6" i="65"/>
  <c r="D17" i="65"/>
  <c r="H18" i="65"/>
  <c r="E19" i="65"/>
  <c r="H7" i="65"/>
  <c r="Q33" i="66"/>
  <c r="K32" i="66"/>
  <c r="Q32" i="66"/>
  <c r="K33" i="66"/>
  <c r="K34" i="66"/>
  <c r="J16" i="66" l="1"/>
  <c r="AB44" i="66"/>
  <c r="B43" i="58" s="1"/>
  <c r="AC34" i="66"/>
  <c r="U34" i="66"/>
  <c r="AC32" i="66"/>
  <c r="AC33" i="66"/>
  <c r="K40" i="65"/>
  <c r="K31" i="65"/>
  <c r="K20" i="65"/>
  <c r="K11" i="65"/>
  <c r="L36" i="65"/>
  <c r="N40" i="65"/>
  <c r="L40" i="65"/>
  <c r="K16" i="65"/>
  <c r="N36" i="65"/>
  <c r="K36" i="65"/>
  <c r="N27" i="65"/>
  <c r="K27" i="65"/>
  <c r="K7" i="65"/>
  <c r="L31" i="65"/>
  <c r="L27" i="65"/>
  <c r="N31" i="65"/>
  <c r="L7" i="65"/>
  <c r="N7" i="65"/>
  <c r="J8" i="65" s="1"/>
  <c r="N16" i="65"/>
  <c r="L16" i="65"/>
  <c r="P34" i="66"/>
  <c r="I34" i="66"/>
  <c r="P32" i="66"/>
  <c r="P33" i="66"/>
  <c r="O32" i="66"/>
  <c r="O33" i="66"/>
  <c r="O34" i="66"/>
  <c r="F47" i="66"/>
  <c r="F43" i="66"/>
  <c r="F45" i="66"/>
  <c r="F51" i="66"/>
  <c r="F49" i="66"/>
  <c r="F50" i="66"/>
  <c r="F66" i="66"/>
  <c r="F62" i="66"/>
  <c r="F44" i="66"/>
  <c r="F48" i="66"/>
  <c r="F41" i="66"/>
  <c r="F57" i="66"/>
  <c r="F63" i="66"/>
  <c r="F46" i="66"/>
  <c r="F65" i="66"/>
  <c r="F64" i="66"/>
  <c r="F59" i="66"/>
  <c r="N11" i="65"/>
  <c r="O11" i="65" s="1"/>
  <c r="L20" i="65"/>
  <c r="N20" i="65"/>
  <c r="O20" i="65" s="1"/>
  <c r="L11" i="65"/>
  <c r="Q34" i="66"/>
  <c r="R40" i="65"/>
  <c r="P36" i="65"/>
  <c r="O31" i="65"/>
  <c r="O40" i="65"/>
  <c r="R31" i="65"/>
  <c r="P27" i="65"/>
  <c r="R11" i="65"/>
  <c r="R20" i="65"/>
  <c r="P7" i="65"/>
  <c r="P16" i="65"/>
  <c r="K8" i="65" l="1"/>
  <c r="L8" i="65"/>
  <c r="U33" i="66"/>
  <c r="U32" i="66" s="1"/>
  <c r="J44" i="66" s="1"/>
  <c r="B17" i="58" s="1"/>
  <c r="Y48" i="66"/>
  <c r="Y47" i="66"/>
  <c r="Y43" i="66"/>
  <c r="Y44" i="66"/>
  <c r="Y46" i="66"/>
  <c r="Y50" i="66"/>
  <c r="Y49" i="66"/>
  <c r="Y51" i="66"/>
  <c r="Y42" i="66"/>
  <c r="Y41" i="66"/>
  <c r="Y45" i="66"/>
  <c r="G42" i="66"/>
  <c r="J37" i="65"/>
  <c r="J28" i="65"/>
  <c r="J17" i="65"/>
  <c r="G63" i="66"/>
  <c r="G57" i="66"/>
  <c r="G56" i="66"/>
  <c r="G59" i="66"/>
  <c r="G58" i="66"/>
  <c r="G64" i="66"/>
  <c r="G62" i="66"/>
  <c r="G61" i="66"/>
  <c r="G65" i="66"/>
  <c r="G66" i="66"/>
  <c r="G60" i="66"/>
  <c r="G43" i="66"/>
  <c r="G49" i="66"/>
  <c r="G46" i="66"/>
  <c r="G51" i="66"/>
  <c r="G48" i="66"/>
  <c r="G50" i="66"/>
  <c r="G47" i="66"/>
  <c r="G44" i="66"/>
  <c r="G45" i="66"/>
  <c r="G41" i="66"/>
  <c r="K28" i="65" l="1"/>
  <c r="AB40" i="66"/>
  <c r="K40" i="66"/>
  <c r="L40" i="66" s="1"/>
  <c r="AB41" i="66"/>
  <c r="N28" i="65"/>
  <c r="L28" i="65"/>
  <c r="K37" i="65"/>
  <c r="N37" i="65"/>
  <c r="L37" i="65"/>
  <c r="K17" i="65"/>
  <c r="N17" i="65"/>
  <c r="L17" i="65"/>
  <c r="N8" i="65"/>
  <c r="K41" i="66"/>
  <c r="O28" i="65"/>
  <c r="O8" i="65"/>
  <c r="P8" i="65"/>
  <c r="P28" i="65"/>
  <c r="P17" i="65"/>
  <c r="P37" i="65"/>
  <c r="O37" i="65"/>
  <c r="O17" i="65"/>
  <c r="J9" i="65" l="1"/>
  <c r="J18" i="65"/>
  <c r="J19" i="65" s="1"/>
  <c r="AC41" i="66"/>
  <c r="AD41" i="66"/>
  <c r="AC40" i="66"/>
  <c r="AD40" i="66"/>
  <c r="AE40" i="66"/>
  <c r="AH40" i="66"/>
  <c r="M40" i="66"/>
  <c r="N40" i="66" s="1"/>
  <c r="AG40" i="66" s="1"/>
  <c r="P40" i="66"/>
  <c r="Q40" i="66" s="1"/>
  <c r="R40" i="66" s="1"/>
  <c r="AE41" i="66"/>
  <c r="L41" i="66"/>
  <c r="P41" i="66"/>
  <c r="M41" i="66"/>
  <c r="AH41" i="66"/>
  <c r="J38" i="65"/>
  <c r="M37" i="65" s="1"/>
  <c r="J29" i="65"/>
  <c r="M28" i="65" s="1"/>
  <c r="O7" i="65"/>
  <c r="AF41" i="66"/>
  <c r="AF40" i="66"/>
  <c r="AI40" i="66"/>
  <c r="AI41" i="66"/>
  <c r="R17" i="65"/>
  <c r="R37" i="65"/>
  <c r="R8" i="65"/>
  <c r="R28" i="65"/>
  <c r="L18" i="65" l="1"/>
  <c r="K18" i="65"/>
  <c r="S17" i="65" s="1"/>
  <c r="M17" i="65"/>
  <c r="M8" i="65"/>
  <c r="M9" i="65"/>
  <c r="M38" i="65"/>
  <c r="M36" i="65"/>
  <c r="M29" i="65"/>
  <c r="M27" i="65"/>
  <c r="M18" i="65"/>
  <c r="M16" i="65"/>
  <c r="M7" i="65"/>
  <c r="J10" i="65"/>
  <c r="K9" i="65"/>
  <c r="N18" i="65"/>
  <c r="J39" i="65"/>
  <c r="N29" i="65"/>
  <c r="N30" i="65" s="1"/>
  <c r="J30" i="65"/>
  <c r="AK39" i="66"/>
  <c r="AJ40" i="66"/>
  <c r="AK40" i="66" s="1"/>
  <c r="O40" i="66"/>
  <c r="U40" i="66" s="1"/>
  <c r="N41" i="66"/>
  <c r="AG41" i="66" s="1"/>
  <c r="Q41" i="66"/>
  <c r="R41" i="66" s="1"/>
  <c r="U39" i="66"/>
  <c r="L29" i="65"/>
  <c r="K29" i="65"/>
  <c r="S28" i="65" s="1"/>
  <c r="K38" i="65"/>
  <c r="S37" i="65" s="1"/>
  <c r="L38" i="65"/>
  <c r="N38" i="65"/>
  <c r="N9" i="65"/>
  <c r="L9" i="65"/>
  <c r="P29" i="65"/>
  <c r="O27" i="65"/>
  <c r="O29" i="65"/>
  <c r="O9" i="65"/>
  <c r="P9" i="65"/>
  <c r="P18" i="65"/>
  <c r="O18" i="65"/>
  <c r="P38" i="65"/>
  <c r="O16" i="65"/>
  <c r="O36" i="65"/>
  <c r="O38" i="65"/>
  <c r="P30" i="65"/>
  <c r="O30" i="65"/>
  <c r="R7" i="65"/>
  <c r="S16" i="65" l="1"/>
  <c r="U32" i="65"/>
  <c r="Q30" i="65"/>
  <c r="AJ41" i="66"/>
  <c r="AK41" i="66" s="1"/>
  <c r="O41" i="66"/>
  <c r="U41" i="66" s="1"/>
  <c r="J51" i="66" s="1"/>
  <c r="B18" i="58" s="1"/>
  <c r="S27" i="65"/>
  <c r="S36" i="65"/>
  <c r="L30" i="65"/>
  <c r="N39" i="65"/>
  <c r="L39" i="65"/>
  <c r="S8" i="65"/>
  <c r="S7" i="65"/>
  <c r="L10" i="65"/>
  <c r="N10" i="65"/>
  <c r="U12" i="65" s="1"/>
  <c r="L19" i="65"/>
  <c r="R18" i="65"/>
  <c r="P39" i="65"/>
  <c r="R38" i="65"/>
  <c r="R16" i="65"/>
  <c r="R19" i="65"/>
  <c r="R9" i="65"/>
  <c r="R30" i="65"/>
  <c r="R10" i="65"/>
  <c r="R36" i="65"/>
  <c r="R29" i="65"/>
  <c r="R27" i="65"/>
  <c r="P10" i="65"/>
  <c r="O39" i="65"/>
  <c r="R39" i="65"/>
  <c r="U27" i="65" l="1"/>
  <c r="Q10" i="65"/>
  <c r="Q39" i="65"/>
  <c r="U36" i="65" s="1"/>
  <c r="AB51" i="66"/>
  <c r="B44" i="58" s="1"/>
  <c r="U41" i="65"/>
  <c r="O10" i="65"/>
  <c r="N19" i="65"/>
  <c r="B19" i="54"/>
  <c r="B24" i="54" s="1"/>
  <c r="P19" i="65"/>
  <c r="U7" i="65" l="1"/>
  <c r="U21" i="65"/>
  <c r="Q19" i="65"/>
  <c r="O19" i="65"/>
  <c r="I19" i="54"/>
  <c r="H19" i="54"/>
  <c r="D19" i="54"/>
  <c r="J19" i="54"/>
  <c r="F19" i="54"/>
  <c r="G19" i="54"/>
  <c r="E19" i="54"/>
  <c r="U16" i="65" l="1"/>
  <c r="O5" i="54" l="1"/>
  <c r="C19" i="54"/>
  <c r="B21" i="54" l="1"/>
  <c r="O54" i="54"/>
  <c r="O57" i="54" l="1"/>
  <c r="O56" i="54"/>
  <c r="O30" i="54"/>
  <c r="O55" i="54"/>
  <c r="F49" i="54" l="1"/>
  <c r="E49" i="54" l="1"/>
  <c r="D45" i="54" s="1"/>
  <c r="E45" i="54" l="1"/>
  <c r="G49" i="54" l="1"/>
  <c r="F45" i="54" s="1"/>
  <c r="O84" i="66" l="1"/>
  <c r="O98" i="66" s="1"/>
  <c r="B24" i="58" l="1"/>
  <c r="AJ86" i="66"/>
  <c r="AL86" i="66" s="1"/>
  <c r="AL84" i="66" l="1"/>
  <c r="AM98" i="66" s="1"/>
  <c r="B50" i="58" l="1"/>
  <c r="H24" i="54" l="1"/>
  <c r="G24" i="54" l="1"/>
  <c r="F24" i="54" l="1"/>
  <c r="E24" i="54" l="1"/>
  <c r="F20" i="54" s="1"/>
  <c r="G20" i="54"/>
  <c r="H74" i="54"/>
  <c r="D24" i="54" l="1"/>
  <c r="E20" i="54"/>
  <c r="G74" i="54"/>
  <c r="C24" i="54" l="1"/>
  <c r="C20" i="54" s="1"/>
  <c r="F74" i="54"/>
  <c r="B20" i="54" l="1"/>
  <c r="D20" i="54"/>
  <c r="E74" i="54"/>
  <c r="G70" i="54"/>
  <c r="D74" i="54" l="1"/>
  <c r="C70" i="54" s="1"/>
  <c r="C71" i="54" s="1"/>
  <c r="B72" i="54" s="1"/>
  <c r="B73" i="54" s="1"/>
  <c r="F70" i="54"/>
  <c r="E70" i="54" l="1"/>
  <c r="D70" i="54"/>
  <c r="J49" i="54" l="1"/>
  <c r="I49" i="54" s="1"/>
  <c r="H49" i="54"/>
  <c r="G45" i="54" s="1"/>
  <c r="K49" i="54" l="1"/>
  <c r="K45" i="54" s="1"/>
  <c r="I45" i="54"/>
  <c r="H45" i="54"/>
  <c r="J45" i="54" l="1"/>
  <c r="T42" i="54" s="1"/>
  <c r="W42" i="54" s="1"/>
  <c r="T39" i="54" l="1"/>
  <c r="W39" i="54" s="1"/>
  <c r="T38" i="54"/>
  <c r="W38" i="54" s="1"/>
  <c r="T41" i="54"/>
  <c r="W41" i="54" s="1"/>
  <c r="AV42" i="54"/>
  <c r="V38" i="54"/>
  <c r="AW39" i="54"/>
  <c r="V42" i="54"/>
  <c r="AW42" i="54"/>
  <c r="T40" i="54"/>
  <c r="W40" i="54" s="1"/>
  <c r="AV38" i="54"/>
  <c r="V39" i="54" l="1"/>
  <c r="V41" i="54"/>
  <c r="AV39" i="54"/>
  <c r="AW38" i="54"/>
  <c r="AW41" i="54"/>
  <c r="AV41" i="54"/>
  <c r="AW40" i="54"/>
  <c r="V40" i="54"/>
  <c r="AV40" i="54"/>
  <c r="I74" i="54" l="1"/>
  <c r="H70" i="54" s="1"/>
  <c r="J24" i="54" l="1"/>
  <c r="I24" i="54"/>
  <c r="H20" i="54" s="1"/>
  <c r="K24" i="54"/>
  <c r="J20" i="54" l="1"/>
  <c r="I20" i="54"/>
  <c r="K20" i="54"/>
  <c r="T12" i="54" s="1"/>
  <c r="W12" i="54" s="1"/>
  <c r="T13" i="54" l="1"/>
  <c r="W13" i="54" s="1"/>
  <c r="T15" i="54"/>
  <c r="W15" i="54" s="1"/>
  <c r="T14" i="54"/>
  <c r="W14" i="54" s="1"/>
  <c r="T16" i="54"/>
  <c r="W16" i="54" s="1"/>
  <c r="AW12" i="54"/>
  <c r="AV13" i="54"/>
  <c r="V13" i="54"/>
  <c r="V12" i="54"/>
  <c r="AV12" i="54"/>
  <c r="V15" i="54"/>
  <c r="AV15" i="54"/>
  <c r="AW15" i="54"/>
  <c r="AW14" i="54" l="1"/>
  <c r="V14" i="54"/>
  <c r="AW13" i="54"/>
  <c r="AW16" i="54"/>
  <c r="AV16" i="54"/>
  <c r="V16" i="54"/>
  <c r="AV14" i="54"/>
  <c r="Y57" i="54" l="1"/>
  <c r="AA57" i="54" s="1"/>
  <c r="D21" i="54" l="1"/>
  <c r="C21" i="54" s="1"/>
  <c r="Y7" i="54"/>
  <c r="E21" i="54" l="1"/>
  <c r="F21" i="54" s="1"/>
  <c r="G21" i="54" l="1"/>
  <c r="H21" i="54" s="1"/>
  <c r="AA7" i="54"/>
  <c r="I21" i="54" l="1"/>
  <c r="J21" i="54" l="1"/>
  <c r="K21" i="54" l="1"/>
  <c r="F22" i="54" s="1"/>
  <c r="I22" i="54"/>
  <c r="I25" i="54"/>
  <c r="D22" i="54"/>
  <c r="E22" i="54"/>
  <c r="R8" i="54"/>
  <c r="F23" i="54" l="1"/>
  <c r="R10" i="54"/>
  <c r="H22" i="54"/>
  <c r="R15" i="54"/>
  <c r="U15" i="54" s="1"/>
  <c r="R16" i="54"/>
  <c r="U16" i="54" s="1"/>
  <c r="S12" i="54"/>
  <c r="Z12" i="54" s="1"/>
  <c r="S7" i="54"/>
  <c r="Z7" i="54" s="1"/>
  <c r="S8" i="54"/>
  <c r="T8" i="54" s="1"/>
  <c r="C22" i="54"/>
  <c r="S15" i="54"/>
  <c r="Z15" i="54" s="1"/>
  <c r="R7" i="54"/>
  <c r="G22" i="54"/>
  <c r="R9" i="54"/>
  <c r="U9" i="54" s="1"/>
  <c r="S11" i="54"/>
  <c r="T11" i="54" s="1"/>
  <c r="W11" i="54" s="1"/>
  <c r="R13" i="54"/>
  <c r="U13" i="54" s="1"/>
  <c r="S9" i="54"/>
  <c r="S14" i="54"/>
  <c r="Z14" i="54" s="1"/>
  <c r="S10" i="54"/>
  <c r="T10" i="54" s="1"/>
  <c r="W10" i="54" s="1"/>
  <c r="R12" i="54"/>
  <c r="T7" i="54"/>
  <c r="K22" i="54"/>
  <c r="J22" i="54"/>
  <c r="S16" i="54"/>
  <c r="Z16" i="54" s="1"/>
  <c r="R11" i="54"/>
  <c r="U11" i="54" s="1"/>
  <c r="S13" i="54"/>
  <c r="Z13" i="54" s="1"/>
  <c r="R14" i="54"/>
  <c r="U14" i="54" s="1"/>
  <c r="AU16" i="54"/>
  <c r="U8" i="54"/>
  <c r="U7" i="54"/>
  <c r="AU7" i="54"/>
  <c r="AU9" i="54"/>
  <c r="U10" i="54"/>
  <c r="AU8" i="54"/>
  <c r="AC7" i="54"/>
  <c r="Y8" i="54" l="1"/>
  <c r="Z8" i="54" s="1"/>
  <c r="AU14" i="54"/>
  <c r="AZ14" i="54" s="1"/>
  <c r="T9" i="54"/>
  <c r="W7" i="54"/>
  <c r="X7" i="54"/>
  <c r="AZ16" i="54"/>
  <c r="AA8" i="54"/>
  <c r="Y9" i="54"/>
  <c r="Z9" i="54" s="1"/>
  <c r="W8" i="54"/>
  <c r="U12" i="54"/>
  <c r="AU12" i="54"/>
  <c r="AZ12" i="54" s="1"/>
  <c r="AZ7" i="54"/>
  <c r="AC8" i="54"/>
  <c r="AZ8" i="54" l="1"/>
  <c r="AB8" i="54"/>
  <c r="W9" i="54"/>
  <c r="X8" i="54"/>
  <c r="AG7" i="54" s="1"/>
  <c r="AA9" i="54"/>
  <c r="Y10" i="54"/>
  <c r="AZ9" i="54"/>
  <c r="AE8" i="54"/>
  <c r="AD8" i="54"/>
  <c r="AC9" i="54"/>
  <c r="X9" i="54" l="1"/>
  <c r="AA10" i="54"/>
  <c r="Y11" i="54"/>
  <c r="V10" i="54"/>
  <c r="X10" i="54"/>
  <c r="Z10" i="54"/>
  <c r="AG8" i="54"/>
  <c r="AC10" i="54"/>
  <c r="Z11" i="54" l="1"/>
  <c r="V11" i="54"/>
  <c r="AG9" i="54"/>
  <c r="AH7" i="54"/>
  <c r="AE10" i="54"/>
  <c r="AB10" i="54"/>
  <c r="X11" i="54"/>
  <c r="AG10" i="54" s="1"/>
  <c r="AH9" i="54" s="1"/>
  <c r="Y12" i="54"/>
  <c r="AD10" i="54"/>
  <c r="AN9" i="54" l="1"/>
  <c r="AM9" i="54" s="1"/>
  <c r="AQ9" i="54"/>
  <c r="AI9" i="54"/>
  <c r="AK9" i="54"/>
  <c r="AS7" i="54"/>
  <c r="AK7" i="54"/>
  <c r="X12" i="54"/>
  <c r="Y13" i="54"/>
  <c r="AH8" i="54"/>
  <c r="AO9" i="54"/>
  <c r="AP9" i="54"/>
  <c r="AR9" i="54"/>
  <c r="AL9" i="54"/>
  <c r="AL7" i="54"/>
  <c r="AG11" i="54" l="1"/>
  <c r="AK8" i="54"/>
  <c r="Y14" i="54"/>
  <c r="X13" i="54"/>
  <c r="AG12" i="54" s="1"/>
  <c r="AS9" i="54"/>
  <c r="AF10" i="54"/>
  <c r="AL8" i="54"/>
  <c r="AF12" i="54" l="1"/>
  <c r="AH11" i="54"/>
  <c r="AS11" i="54" s="1"/>
  <c r="Y15" i="54"/>
  <c r="X14" i="54"/>
  <c r="AH10" i="54"/>
  <c r="AK10" i="54" l="1"/>
  <c r="Y16" i="54"/>
  <c r="X16" i="54" s="1"/>
  <c r="AG16" i="54" s="1"/>
  <c r="X15" i="54"/>
  <c r="AG13" i="54"/>
  <c r="AL10" i="54"/>
  <c r="AG15" i="54" l="1"/>
  <c r="AG14" i="54"/>
  <c r="AF13" i="54"/>
  <c r="AH12" i="54"/>
  <c r="AF16" i="54"/>
  <c r="AH16" i="54"/>
  <c r="AS16" i="54" s="1"/>
  <c r="AH15" i="54"/>
  <c r="AF15" i="54"/>
  <c r="AH14" i="54"/>
  <c r="AS15" i="54" l="1"/>
  <c r="AK15" i="54"/>
  <c r="AS12" i="54"/>
  <c r="AK12" i="54"/>
  <c r="AK16" i="54"/>
  <c r="AS14" i="54"/>
  <c r="AK14" i="54"/>
  <c r="AF14" i="54"/>
  <c r="AH13" i="54"/>
  <c r="AE7" i="54"/>
  <c r="AB7" i="54"/>
  <c r="AK11" i="54"/>
  <c r="AD7" i="54"/>
  <c r="AL15" i="54"/>
  <c r="AL16" i="54"/>
  <c r="AL12" i="54"/>
  <c r="AL11" i="54"/>
  <c r="AL14" i="54"/>
  <c r="AS13" i="54" l="1"/>
  <c r="AK13" i="54"/>
  <c r="AI7" i="54"/>
  <c r="E23" i="54"/>
  <c r="AA11" i="54"/>
  <c r="AB16" i="54"/>
  <c r="AE16" i="54"/>
  <c r="AB12" i="54"/>
  <c r="AE12" i="54"/>
  <c r="AX11" i="54"/>
  <c r="AU11" i="54"/>
  <c r="AD16" i="54"/>
  <c r="AL13" i="54"/>
  <c r="AD12" i="54"/>
  <c r="AC11" i="54"/>
  <c r="AY10" i="54"/>
  <c r="AJ7" i="54"/>
  <c r="AZ11" i="54" l="1"/>
  <c r="AB9" i="54"/>
  <c r="AX10" i="54"/>
  <c r="AU10" i="54"/>
  <c r="AD9" i="54"/>
  <c r="AZ10" i="54" l="1"/>
  <c r="AE9" i="54"/>
  <c r="AV10" i="54"/>
  <c r="AW10" i="54"/>
  <c r="AB13" i="54"/>
  <c r="AE13" i="54"/>
  <c r="AA13" i="54"/>
  <c r="AB14" i="54"/>
  <c r="AA14" i="54"/>
  <c r="AX14" i="54"/>
  <c r="AA16" i="54"/>
  <c r="D23" i="54"/>
  <c r="H23" i="54"/>
  <c r="G23" i="54"/>
  <c r="I23" i="54"/>
  <c r="AA12" i="54"/>
  <c r="AE11" i="54"/>
  <c r="AB11" i="54"/>
  <c r="AU13" i="54"/>
  <c r="AZ13" i="54" s="1"/>
  <c r="AX13" i="54"/>
  <c r="AA15" i="54"/>
  <c r="AX16" i="54"/>
  <c r="B22" i="54"/>
  <c r="C23" i="54" s="1"/>
  <c r="AR15" i="54"/>
  <c r="BD15" i="54"/>
  <c r="AN15" i="54"/>
  <c r="AQ15" i="54"/>
  <c r="BC15" i="54"/>
  <c r="BB15" i="54"/>
  <c r="AM15" i="54"/>
  <c r="AO15" i="54"/>
  <c r="AP15" i="54"/>
  <c r="AI15" i="54"/>
  <c r="AM13" i="54"/>
  <c r="AO13" i="54"/>
  <c r="AQ13" i="54"/>
  <c r="AR13" i="54"/>
  <c r="AN13" i="54"/>
  <c r="BD13" i="54"/>
  <c r="BC13" i="54"/>
  <c r="AP13" i="54"/>
  <c r="BB13" i="54"/>
  <c r="AI13" i="54"/>
  <c r="AR12" i="54"/>
  <c r="BD12" i="54"/>
  <c r="AM12" i="54"/>
  <c r="AN12" i="54"/>
  <c r="AQ12" i="54"/>
  <c r="BB12" i="54"/>
  <c r="BC12" i="54"/>
  <c r="AO12" i="54"/>
  <c r="AP12" i="54"/>
  <c r="AI12" i="54"/>
  <c r="BB11" i="54"/>
  <c r="AN11" i="54"/>
  <c r="BD11" i="54"/>
  <c r="AM11" i="54"/>
  <c r="AO11" i="54"/>
  <c r="AQ11" i="54"/>
  <c r="AP11" i="54"/>
  <c r="BC11" i="54"/>
  <c r="AR11" i="54"/>
  <c r="AI11" i="54"/>
  <c r="AB15" i="54"/>
  <c r="BC9" i="54"/>
  <c r="BB9" i="54"/>
  <c r="AD11" i="54"/>
  <c r="AY16" i="54"/>
  <c r="AC13" i="54"/>
  <c r="AY11" i="54"/>
  <c r="AY14" i="54"/>
  <c r="AY13" i="54"/>
  <c r="AC14" i="54"/>
  <c r="AC12" i="54"/>
  <c r="AC15" i="54"/>
  <c r="AD13" i="54"/>
  <c r="AC16" i="54"/>
  <c r="AY15" i="54"/>
  <c r="B23" i="54" l="1"/>
  <c r="BD9" i="54"/>
  <c r="AX15" i="54"/>
  <c r="AU15" i="54"/>
  <c r="AZ15" i="54" s="1"/>
  <c r="AX12" i="54"/>
  <c r="AE14" i="54"/>
  <c r="AE15" i="54"/>
  <c r="AQ10" i="54"/>
  <c r="AP10" i="54" s="1"/>
  <c r="AN10" i="54"/>
  <c r="AM10" i="54" s="1"/>
  <c r="AF11" i="54" s="1"/>
  <c r="AI10" i="54"/>
  <c r="AN14" i="54"/>
  <c r="BB14" i="54"/>
  <c r="AM14" i="54"/>
  <c r="AR14" i="54"/>
  <c r="BD14" i="54"/>
  <c r="BC14" i="54"/>
  <c r="AO14" i="54"/>
  <c r="AQ14" i="54"/>
  <c r="AP14" i="54"/>
  <c r="AI14" i="54"/>
  <c r="AP16" i="54"/>
  <c r="BD16" i="54"/>
  <c r="BB16" i="54"/>
  <c r="AN16" i="54"/>
  <c r="AM16" i="54"/>
  <c r="AO16" i="54"/>
  <c r="AR16" i="54"/>
  <c r="BC16" i="54"/>
  <c r="AQ16" i="54"/>
  <c r="AI16" i="54"/>
  <c r="AQ8" i="54"/>
  <c r="AP8" i="54" s="1"/>
  <c r="AN8" i="54"/>
  <c r="AO8" i="54" s="1"/>
  <c r="AM8" i="54"/>
  <c r="AI8" i="54"/>
  <c r="AR7" i="54"/>
  <c r="BB7" i="54"/>
  <c r="AP7" i="54"/>
  <c r="AN7" i="54"/>
  <c r="AM7" i="54"/>
  <c r="AO7" i="54"/>
  <c r="BC7" i="54"/>
  <c r="AQ7" i="54"/>
  <c r="BD7" i="54"/>
  <c r="AW7" i="54"/>
  <c r="AV7" i="54"/>
  <c r="V7" i="54"/>
  <c r="AF7" i="54" s="1"/>
  <c r="AR10" i="54"/>
  <c r="BC10" i="54"/>
  <c r="BB10" i="54"/>
  <c r="AR8" i="54"/>
  <c r="BC8" i="54"/>
  <c r="BB8" i="54"/>
  <c r="AX7" i="54"/>
  <c r="AD15" i="54"/>
  <c r="AY12" i="54"/>
  <c r="AD14" i="54"/>
  <c r="AY7" i="54"/>
  <c r="AJ8" i="54"/>
  <c r="BD10" i="54" l="1"/>
  <c r="AO10" i="54"/>
  <c r="AS10" i="54" s="1"/>
  <c r="BD8" i="54"/>
  <c r="AS8" i="54"/>
  <c r="BK46" i="54"/>
  <c r="BA32" i="54" s="1"/>
  <c r="BA7" i="54"/>
  <c r="AW8" i="54"/>
  <c r="V8" i="54"/>
  <c r="AF8" i="54" s="1"/>
  <c r="AV8" i="54"/>
  <c r="AX8" i="54"/>
  <c r="AY8" i="54"/>
  <c r="AJ11" i="54"/>
  <c r="AJ12" i="54"/>
  <c r="AJ16" i="54"/>
  <c r="AJ10" i="54"/>
  <c r="AJ14" i="54"/>
  <c r="AJ13" i="54"/>
  <c r="AJ9" i="54"/>
  <c r="AJ15" i="54"/>
  <c r="AW9" i="54" l="1"/>
  <c r="AV9" i="54"/>
  <c r="V9" i="54"/>
  <c r="AX9" i="54"/>
  <c r="AY9" i="54"/>
  <c r="AF9" i="54" l="1"/>
  <c r="Q19" i="54" s="1"/>
  <c r="B14" i="58" s="1"/>
  <c r="D71" i="54"/>
  <c r="J23" i="54"/>
  <c r="K23" i="54"/>
  <c r="J25" i="54"/>
  <c r="AV11" i="54"/>
  <c r="AW11" i="54"/>
  <c r="E71" i="54"/>
  <c r="F71" i="54" s="1"/>
  <c r="G71" i="54" s="1"/>
  <c r="H71" i="54" s="1"/>
  <c r="AU17" i="54" l="1"/>
  <c r="B40" i="58" s="1"/>
  <c r="E72" i="54"/>
  <c r="J74" i="54"/>
  <c r="I70" i="54" s="1"/>
  <c r="K74" i="54"/>
  <c r="J70" i="54" s="1"/>
  <c r="K70" i="54" l="1"/>
  <c r="T64" i="54" s="1"/>
  <c r="W64" i="54" s="1"/>
  <c r="I71" i="54"/>
  <c r="J71" i="54"/>
  <c r="K71" i="54" s="1"/>
  <c r="T65" i="54"/>
  <c r="W65" i="54" s="1"/>
  <c r="S63" i="54"/>
  <c r="Z63" i="54" s="1"/>
  <c r="AB63" i="54" s="1"/>
  <c r="R63" i="54"/>
  <c r="H72" i="54" l="1"/>
  <c r="S64" i="54"/>
  <c r="Z64" i="54" s="1"/>
  <c r="D72" i="54"/>
  <c r="E73" i="54" s="1"/>
  <c r="R64" i="54"/>
  <c r="U64" i="54" s="1"/>
  <c r="R65" i="54"/>
  <c r="U65" i="54" s="1"/>
  <c r="S65" i="54"/>
  <c r="Z65" i="54" s="1"/>
  <c r="T63" i="54"/>
  <c r="W63" i="54" s="1"/>
  <c r="U63" i="54"/>
  <c r="S62" i="54"/>
  <c r="Z62" i="54" s="1"/>
  <c r="AB62" i="54" s="1"/>
  <c r="R62" i="54"/>
  <c r="AD63" i="54"/>
  <c r="AD62" i="54"/>
  <c r="AE65" i="54" l="1"/>
  <c r="AE63" i="54"/>
  <c r="AB65" i="54"/>
  <c r="AB64" i="54"/>
  <c r="AE64" i="54"/>
  <c r="T62" i="54"/>
  <c r="W62" i="54" s="1"/>
  <c r="U62" i="54"/>
  <c r="I72" i="54"/>
  <c r="I73" i="54" s="1"/>
  <c r="J72" i="54"/>
  <c r="S57" i="54"/>
  <c r="T57" i="54" s="1"/>
  <c r="W57" i="54" s="1"/>
  <c r="R57" i="54"/>
  <c r="C72" i="54"/>
  <c r="S58" i="54"/>
  <c r="T58" i="54" s="1"/>
  <c r="W58" i="54" s="1"/>
  <c r="R58" i="54"/>
  <c r="F72" i="54"/>
  <c r="AD64" i="54"/>
  <c r="AD65" i="54"/>
  <c r="AE62" i="54" l="1"/>
  <c r="J73" i="54"/>
  <c r="Y58" i="54"/>
  <c r="V57" i="54"/>
  <c r="AC57" i="54"/>
  <c r="Z57" i="54" l="1"/>
  <c r="AB57" i="54" s="1"/>
  <c r="S59" i="54"/>
  <c r="T59" i="54" s="1"/>
  <c r="Y59" i="54"/>
  <c r="R59" i="54"/>
  <c r="U59" i="54" s="1"/>
  <c r="G72" i="54"/>
  <c r="U58" i="54"/>
  <c r="AD57" i="54"/>
  <c r="W59" i="54" l="1"/>
  <c r="V58" i="54"/>
  <c r="Z58" i="54"/>
  <c r="AB58" i="54" s="1"/>
  <c r="AE58" i="54" l="1"/>
  <c r="S60" i="54"/>
  <c r="T60" i="54" s="1"/>
  <c r="W60" i="54" s="1"/>
  <c r="Y60" i="54"/>
  <c r="R60" i="54"/>
  <c r="U60" i="54" s="1"/>
  <c r="K72" i="54"/>
  <c r="U57" i="54"/>
  <c r="AD58" i="54"/>
  <c r="X57" i="54" l="1"/>
  <c r="AE57" i="54"/>
  <c r="X60" i="54"/>
  <c r="V59" i="54"/>
  <c r="Z59" i="54"/>
  <c r="AB59" i="54" s="1"/>
  <c r="AD59" i="54"/>
  <c r="X58" i="54" l="1"/>
  <c r="AE59" i="54"/>
  <c r="S61" i="54"/>
  <c r="T61" i="54" s="1"/>
  <c r="W61" i="54" s="1"/>
  <c r="Y61" i="54"/>
  <c r="R61" i="54"/>
  <c r="U61" i="54" s="1"/>
  <c r="X59" i="54" l="1"/>
  <c r="AG59" i="54" s="1"/>
  <c r="AG57" i="54"/>
  <c r="AF57" i="54" s="1"/>
  <c r="X61" i="54"/>
  <c r="AG60" i="54" s="1"/>
  <c r="AH59" i="54" s="1"/>
  <c r="V60" i="54"/>
  <c r="Z60" i="54"/>
  <c r="AG58" i="54" l="1"/>
  <c r="AH58" i="54" s="1"/>
  <c r="AH57" i="54"/>
  <c r="AM59" i="54"/>
  <c r="AP59" i="54"/>
  <c r="AS59" i="54"/>
  <c r="AE60" i="54"/>
  <c r="Y62" i="54"/>
  <c r="Y63" i="54" s="1"/>
  <c r="Z61" i="54"/>
  <c r="AB61" i="54" s="1"/>
  <c r="T66" i="54"/>
  <c r="W66" i="54" s="1"/>
  <c r="S66" i="54"/>
  <c r="R66" i="54"/>
  <c r="U66" i="54" s="1"/>
  <c r="AS58" i="54" l="1"/>
  <c r="AP58" i="54"/>
  <c r="AM58" i="54"/>
  <c r="AF59" i="54" s="1"/>
  <c r="AS57" i="54"/>
  <c r="AM57" i="54"/>
  <c r="AF58" i="54" s="1"/>
  <c r="AP57" i="54"/>
  <c r="Y64" i="54"/>
  <c r="X63" i="54"/>
  <c r="X62" i="54"/>
  <c r="AE61" i="54"/>
  <c r="AU57" i="54"/>
  <c r="AD61" i="54"/>
  <c r="AG61" i="54" l="1"/>
  <c r="AG62" i="54"/>
  <c r="Y65" i="54"/>
  <c r="X64" i="54"/>
  <c r="AZ57" i="54"/>
  <c r="AU61" i="54"/>
  <c r="Y66" i="54" l="1"/>
  <c r="X66" i="54" s="1"/>
  <c r="AG66" i="54" s="1"/>
  <c r="X65" i="54"/>
  <c r="AG63" i="54"/>
  <c r="AF62" i="54"/>
  <c r="AH61" i="54"/>
  <c r="AS61" i="54" s="1"/>
  <c r="AH60" i="54"/>
  <c r="AS60" i="54" s="1"/>
  <c r="AZ61" i="54"/>
  <c r="AU62" i="54"/>
  <c r="AG65" i="54" l="1"/>
  <c r="AH62" i="54"/>
  <c r="AS62" i="54" s="1"/>
  <c r="AF63" i="54"/>
  <c r="AG64" i="54"/>
  <c r="AH64" i="54"/>
  <c r="AS64" i="54" s="1"/>
  <c r="AF65" i="54"/>
  <c r="AH65" i="54"/>
  <c r="AS65" i="54" s="1"/>
  <c r="AF66" i="54"/>
  <c r="AH66" i="54"/>
  <c r="AS66" i="54" s="1"/>
  <c r="AZ62" i="54"/>
  <c r="AU60" i="54"/>
  <c r="AH63" i="54" l="1"/>
  <c r="AS63" i="54" s="1"/>
  <c r="AF64" i="54"/>
  <c r="AZ60" i="54"/>
  <c r="AI59" i="54"/>
  <c r="AJ59" i="54"/>
  <c r="AI61" i="54" l="1"/>
  <c r="AI63" i="54"/>
  <c r="AI58" i="54"/>
  <c r="AI57" i="54"/>
  <c r="AI60" i="54"/>
  <c r="AI62" i="54"/>
  <c r="AK60" i="54"/>
  <c r="AP60" i="54"/>
  <c r="AQ60" i="54"/>
  <c r="AN60" i="54"/>
  <c r="AR60" i="54"/>
  <c r="AO60" i="54"/>
  <c r="AM60" i="54"/>
  <c r="BB60" i="54"/>
  <c r="BC60" i="54"/>
  <c r="BD60" i="54"/>
  <c r="AK63" i="54"/>
  <c r="AP63" i="54"/>
  <c r="AM63" i="54"/>
  <c r="BC63" i="54"/>
  <c r="AR63" i="54"/>
  <c r="AQ63" i="54"/>
  <c r="AO63" i="54"/>
  <c r="AN63" i="54"/>
  <c r="BB63" i="54"/>
  <c r="BD63" i="54"/>
  <c r="AK57" i="54"/>
  <c r="AR57" i="54"/>
  <c r="AO57" i="54"/>
  <c r="AN57" i="54"/>
  <c r="BB57" i="54"/>
  <c r="BC57" i="54"/>
  <c r="AQ57" i="54"/>
  <c r="BD57" i="54"/>
  <c r="AK58" i="54"/>
  <c r="BB58" i="54"/>
  <c r="AQ58" i="54"/>
  <c r="BC58" i="54"/>
  <c r="AN58" i="54"/>
  <c r="AR58" i="54"/>
  <c r="AO58" i="54"/>
  <c r="BD58" i="54"/>
  <c r="AK61" i="54"/>
  <c r="AM61" i="54"/>
  <c r="AQ61" i="54"/>
  <c r="BC61" i="54"/>
  <c r="AR61" i="54"/>
  <c r="AO61" i="54"/>
  <c r="BB61" i="54"/>
  <c r="AP61" i="54"/>
  <c r="AN61" i="54"/>
  <c r="BD61" i="54"/>
  <c r="AK62" i="54"/>
  <c r="AN62" i="54"/>
  <c r="BB62" i="54"/>
  <c r="AQ62" i="54"/>
  <c r="AM62" i="54"/>
  <c r="AP62" i="54"/>
  <c r="BC62" i="54"/>
  <c r="AO62" i="54"/>
  <c r="AR62" i="54"/>
  <c r="BD62" i="54"/>
  <c r="AA62" i="54"/>
  <c r="AX62" i="54"/>
  <c r="AK59" i="54"/>
  <c r="AR59" i="54"/>
  <c r="AO59" i="54"/>
  <c r="BD59" i="54"/>
  <c r="BC59" i="54"/>
  <c r="AQ59" i="54"/>
  <c r="BB59" i="54"/>
  <c r="AN59" i="54"/>
  <c r="AA61" i="54"/>
  <c r="AX61" i="54"/>
  <c r="AV60" i="54"/>
  <c r="AW60" i="54"/>
  <c r="AV57" i="54"/>
  <c r="AW57" i="54"/>
  <c r="AX57" i="54"/>
  <c r="AL59" i="54"/>
  <c r="AY57" i="54"/>
  <c r="AL62" i="54"/>
  <c r="AC61" i="54"/>
  <c r="AY61" i="54"/>
  <c r="AC62" i="54"/>
  <c r="AL57" i="54"/>
  <c r="AY62" i="54"/>
  <c r="AL63" i="54"/>
  <c r="AL60" i="54"/>
  <c r="AL58" i="54"/>
  <c r="AL61" i="54"/>
  <c r="AJ63" i="54"/>
  <c r="AJ58" i="54"/>
  <c r="AJ62" i="54"/>
  <c r="AJ61" i="54"/>
  <c r="AJ57" i="54"/>
  <c r="AJ60" i="54"/>
  <c r="BA57" i="54" l="1"/>
  <c r="AV58" i="54"/>
  <c r="AU58" i="54"/>
  <c r="AZ58" i="54" s="1"/>
  <c r="AW58" i="54"/>
  <c r="AV59" i="54"/>
  <c r="AU59" i="54"/>
  <c r="AZ59" i="54" s="1"/>
  <c r="AW59" i="54"/>
  <c r="BD64" i="54"/>
  <c r="BD65" i="54"/>
  <c r="BD66" i="54"/>
  <c r="AK66" i="54"/>
  <c r="AY59" i="54"/>
  <c r="AY58" i="54"/>
  <c r="AL66" i="54"/>
  <c r="AA66" i="54" l="1"/>
  <c r="AU64" i="54"/>
  <c r="AZ64" i="54" s="1"/>
  <c r="AU65" i="54"/>
  <c r="AZ65" i="54" s="1"/>
  <c r="Z66" i="54"/>
  <c r="AB66" i="54" s="1"/>
  <c r="AB60" i="54"/>
  <c r="AA60" i="54"/>
  <c r="AX60" i="54"/>
  <c r="AY60" i="54"/>
  <c r="AD60" i="54"/>
  <c r="AC60" i="54"/>
  <c r="AE66" i="54" l="1"/>
  <c r="AF60" i="54"/>
  <c r="K73" i="54"/>
  <c r="AU66" i="54"/>
  <c r="AZ66" i="54" s="1"/>
  <c r="BA53" i="54"/>
  <c r="AU63" i="54"/>
  <c r="AZ63" i="54" s="1"/>
  <c r="AA63" i="54"/>
  <c r="AD66" i="54"/>
  <c r="AC63" i="54"/>
  <c r="AY63" i="54"/>
  <c r="AX63" i="54" l="1"/>
  <c r="AI64" i="54"/>
  <c r="AI65" i="54"/>
  <c r="AI66" i="54"/>
  <c r="AN66" i="54"/>
  <c r="BC66" i="54"/>
  <c r="AR66" i="54"/>
  <c r="BB66" i="54"/>
  <c r="AO66" i="54"/>
  <c r="AM66" i="54"/>
  <c r="AQ66" i="54"/>
  <c r="AP66" i="54"/>
  <c r="AK64" i="54"/>
  <c r="BB64" i="54"/>
  <c r="AQ64" i="54"/>
  <c r="AN64" i="54"/>
  <c r="AM64" i="54"/>
  <c r="AO64" i="54"/>
  <c r="AP64" i="54"/>
  <c r="BC64" i="54"/>
  <c r="AR64" i="54"/>
  <c r="AA64" i="54"/>
  <c r="AX64" i="54"/>
  <c r="AK65" i="54"/>
  <c r="AA65" i="54"/>
  <c r="AX65" i="54"/>
  <c r="AA59" i="54"/>
  <c r="BB65" i="54"/>
  <c r="AR65" i="54"/>
  <c r="BC65" i="54"/>
  <c r="AM65" i="54"/>
  <c r="AO65" i="54"/>
  <c r="AP65" i="54"/>
  <c r="AN65" i="54"/>
  <c r="AQ65" i="54"/>
  <c r="AX66" i="54"/>
  <c r="AA58" i="54"/>
  <c r="AX59" i="54"/>
  <c r="AX58" i="54"/>
  <c r="F73" i="54"/>
  <c r="G73" i="54"/>
  <c r="D73" i="54"/>
  <c r="C73" i="54"/>
  <c r="H73" i="54"/>
  <c r="E46" i="54"/>
  <c r="F46" i="54" s="1"/>
  <c r="G46" i="54"/>
  <c r="AY64" i="54"/>
  <c r="AC58" i="54"/>
  <c r="AC66" i="54"/>
  <c r="AY65" i="54"/>
  <c r="AY66" i="54"/>
  <c r="AC65" i="54"/>
  <c r="AC59" i="54"/>
  <c r="AC64" i="54"/>
  <c r="AL65" i="54"/>
  <c r="AL64" i="54"/>
  <c r="AJ64" i="54"/>
  <c r="AJ66" i="54"/>
  <c r="AJ65" i="54"/>
  <c r="D47" i="54" l="1"/>
  <c r="Y33" i="54"/>
  <c r="E47" i="54" l="1"/>
  <c r="AA33" i="54"/>
  <c r="T37" i="54" l="1"/>
  <c r="W37" i="54" l="1"/>
  <c r="V37" i="54"/>
  <c r="AV37" i="54"/>
  <c r="E48" i="54"/>
  <c r="AW37" i="54" l="1"/>
  <c r="D48" i="54"/>
  <c r="AW66" i="54"/>
  <c r="V66" i="54"/>
  <c r="AV66" i="54"/>
  <c r="AW65" i="54"/>
  <c r="AV65" i="54"/>
  <c r="V65" i="54"/>
  <c r="V64" i="54"/>
  <c r="AW64" i="54"/>
  <c r="AV64" i="54"/>
  <c r="AW63" i="54"/>
  <c r="V63" i="54"/>
  <c r="AV63" i="54"/>
  <c r="AV62" i="54"/>
  <c r="V62" i="54"/>
  <c r="AW62" i="54"/>
  <c r="V61" i="54"/>
  <c r="AF61" i="54" s="1"/>
  <c r="Q69" i="54" s="1"/>
  <c r="B22" i="58" s="1"/>
  <c r="AV61" i="54"/>
  <c r="AW61" i="54"/>
  <c r="AU67" i="54" l="1"/>
  <c r="B48" i="58" s="1"/>
  <c r="H46" i="54"/>
  <c r="I46" i="54"/>
  <c r="J46" i="54"/>
  <c r="K46" i="54"/>
  <c r="S35" i="54" s="1"/>
  <c r="Z35" i="54" s="1"/>
  <c r="S34" i="54"/>
  <c r="S38" i="54"/>
  <c r="Z38" i="54" s="1"/>
  <c r="AB38" i="54" s="1"/>
  <c r="R38" i="54"/>
  <c r="AU38" i="54" s="1"/>
  <c r="R35" i="54"/>
  <c r="U35" i="54" s="1"/>
  <c r="H47" i="54"/>
  <c r="I48" i="54" s="1"/>
  <c r="I47" i="54"/>
  <c r="F47" i="54"/>
  <c r="G48" i="54" s="1"/>
  <c r="G47" i="54"/>
  <c r="K47" i="54"/>
  <c r="T35" i="54"/>
  <c r="V35" i="54" s="1"/>
  <c r="R39" i="54"/>
  <c r="U39" i="54" s="1"/>
  <c r="T36" i="54"/>
  <c r="V36" i="54" s="1"/>
  <c r="R36" i="54"/>
  <c r="U36" i="54" s="1"/>
  <c r="R42" i="54"/>
  <c r="AU42" i="54" s="1"/>
  <c r="T34" i="54"/>
  <c r="AW34" i="54" s="1"/>
  <c r="R34" i="54"/>
  <c r="AU34" i="54" s="1"/>
  <c r="T33" i="54"/>
  <c r="V33" i="54" s="1"/>
  <c r="R33" i="54"/>
  <c r="U33" i="54" s="1"/>
  <c r="AU36" i="54"/>
  <c r="Z34" i="54"/>
  <c r="AB34" i="54" s="1"/>
  <c r="AV35" i="54"/>
  <c r="AW35" i="54"/>
  <c r="W35" i="54"/>
  <c r="V34" i="54"/>
  <c r="AV34" i="54"/>
  <c r="W34" i="54"/>
  <c r="AC33" i="54"/>
  <c r="AD38" i="54"/>
  <c r="AD34" i="54"/>
  <c r="AU33" i="54" l="1"/>
  <c r="S36" i="54"/>
  <c r="Z36" i="54" s="1"/>
  <c r="R41" i="54"/>
  <c r="U41" i="54" s="1"/>
  <c r="AV33" i="54"/>
  <c r="AV36" i="54"/>
  <c r="U34" i="54"/>
  <c r="AE34" i="54" s="1"/>
  <c r="R37" i="54"/>
  <c r="AZ36" i="54"/>
  <c r="AZ34" i="54"/>
  <c r="R40" i="54"/>
  <c r="U40" i="54" s="1"/>
  <c r="S40" i="54"/>
  <c r="Z40" i="54" s="1"/>
  <c r="AU39" i="54"/>
  <c r="H48" i="54"/>
  <c r="S41" i="54"/>
  <c r="Z41" i="54" s="1"/>
  <c r="AB41" i="54" s="1"/>
  <c r="AZ38" i="54"/>
  <c r="W33" i="54"/>
  <c r="AW33" i="54"/>
  <c r="F48" i="54"/>
  <c r="AU35" i="54"/>
  <c r="AZ35" i="54" s="1"/>
  <c r="U38" i="54"/>
  <c r="AE38" i="54" s="1"/>
  <c r="AW36" i="54"/>
  <c r="S42" i="54"/>
  <c r="Z42" i="54" s="1"/>
  <c r="J47" i="54"/>
  <c r="K48" i="54" s="1"/>
  <c r="AE35" i="54"/>
  <c r="AB35" i="54"/>
  <c r="U42" i="54"/>
  <c r="S37" i="54"/>
  <c r="S33" i="54"/>
  <c r="X33" i="54" s="1"/>
  <c r="W36" i="54"/>
  <c r="AU40" i="54"/>
  <c r="AZ40" i="54" s="1"/>
  <c r="AU41" i="54"/>
  <c r="S39" i="54"/>
  <c r="AE36" i="54"/>
  <c r="AD41" i="54"/>
  <c r="AD35" i="54"/>
  <c r="AU37" i="54" l="1"/>
  <c r="U37" i="54"/>
  <c r="AE41" i="54"/>
  <c r="AB40" i="54"/>
  <c r="AZ41" i="54"/>
  <c r="AE40" i="54"/>
  <c r="AB36" i="54"/>
  <c r="AB42" i="54"/>
  <c r="AE42" i="54"/>
  <c r="AZ42" i="54"/>
  <c r="J48" i="54"/>
  <c r="Z37" i="54"/>
  <c r="Z39" i="54"/>
  <c r="Z33" i="54"/>
  <c r="AX33" i="54"/>
  <c r="Y34" i="54"/>
  <c r="AD36" i="54"/>
  <c r="AD40" i="54"/>
  <c r="AD42" i="54"/>
  <c r="AY34" i="54"/>
  <c r="Y35" i="54" l="1"/>
  <c r="AX34" i="54"/>
  <c r="X34" i="54"/>
  <c r="AA34" i="54"/>
  <c r="AE39" i="54"/>
  <c r="AB39" i="54"/>
  <c r="AZ39" i="54"/>
  <c r="AE33" i="54"/>
  <c r="AB33" i="54"/>
  <c r="AZ33" i="54"/>
  <c r="AE37" i="54"/>
  <c r="AB37" i="54"/>
  <c r="AZ37" i="54"/>
  <c r="AY35" i="54"/>
  <c r="AC34" i="54"/>
  <c r="AD37" i="54"/>
  <c r="AD39" i="54"/>
  <c r="AD33" i="54"/>
  <c r="AY33" i="54"/>
  <c r="AG33" i="54" l="1"/>
  <c r="AA35" i="54"/>
  <c r="AX35" i="54"/>
  <c r="Y36" i="54"/>
  <c r="X35" i="54"/>
  <c r="AC35" i="54"/>
  <c r="AY36" i="54"/>
  <c r="AA36" i="54" l="1"/>
  <c r="AX36" i="54"/>
  <c r="Y37" i="54"/>
  <c r="X36" i="54"/>
  <c r="BA33" i="54"/>
  <c r="AF33" i="54"/>
  <c r="AG34" i="54"/>
  <c r="AC36" i="54"/>
  <c r="AY37" i="54"/>
  <c r="AH33" i="54" l="1"/>
  <c r="AF34" i="54"/>
  <c r="Y38" i="54"/>
  <c r="AA37" i="54"/>
  <c r="AX37" i="54"/>
  <c r="X37" i="54"/>
  <c r="AG36" i="54" s="1"/>
  <c r="AG35" i="54"/>
  <c r="AY38" i="54"/>
  <c r="AC37" i="54"/>
  <c r="AH35" i="54" l="1"/>
  <c r="AF36" i="54"/>
  <c r="Y39" i="54"/>
  <c r="AA38" i="54"/>
  <c r="AX38" i="54"/>
  <c r="X38" i="54"/>
  <c r="AG37" i="54" s="1"/>
  <c r="BD33" i="54"/>
  <c r="AS33" i="54"/>
  <c r="AQ33" i="54"/>
  <c r="AP33" i="54"/>
  <c r="AK33" i="54"/>
  <c r="AN33" i="54"/>
  <c r="AM33" i="54"/>
  <c r="AI33" i="54"/>
  <c r="BB33" i="54"/>
  <c r="BC33" i="54"/>
  <c r="AO33" i="54"/>
  <c r="AR33" i="54"/>
  <c r="AH34" i="54"/>
  <c r="AF35" i="54"/>
  <c r="AL33" i="54"/>
  <c r="BB34" i="54"/>
  <c r="BC34" i="54"/>
  <c r="AR34" i="54"/>
  <c r="AY39" i="54"/>
  <c r="AC38" i="54"/>
  <c r="AJ33" i="54"/>
  <c r="AH36" i="54" l="1"/>
  <c r="AF37" i="54"/>
  <c r="AX39" i="54"/>
  <c r="Y40" i="54"/>
  <c r="AA39" i="54"/>
  <c r="X39" i="54"/>
  <c r="AK34" i="54"/>
  <c r="AN34" i="54"/>
  <c r="AM34" i="54" s="1"/>
  <c r="AQ34" i="54"/>
  <c r="AP34" i="54" s="1"/>
  <c r="AI34" i="54"/>
  <c r="BD34" i="54"/>
  <c r="AO34" i="54"/>
  <c r="AS34" i="54" s="1"/>
  <c r="BC35" i="54"/>
  <c r="AI35" i="54"/>
  <c r="AO35" i="54"/>
  <c r="AS35" i="54"/>
  <c r="BB35" i="54"/>
  <c r="AM35" i="54"/>
  <c r="AK35" i="54"/>
  <c r="AR35" i="54"/>
  <c r="BD35" i="54"/>
  <c r="AP35" i="54"/>
  <c r="AN35" i="54"/>
  <c r="AQ35" i="54"/>
  <c r="AL34" i="54"/>
  <c r="AL35" i="54"/>
  <c r="AY40" i="54"/>
  <c r="AC39" i="54"/>
  <c r="AJ34" i="54"/>
  <c r="AJ35" i="54"/>
  <c r="AA40" i="54" l="1"/>
  <c r="Y41" i="54"/>
  <c r="X40" i="54"/>
  <c r="AX40" i="54"/>
  <c r="AG38" i="54"/>
  <c r="BB36" i="54"/>
  <c r="AS36" i="54"/>
  <c r="AN36" i="54"/>
  <c r="BD36" i="54"/>
  <c r="BC36" i="54"/>
  <c r="AR36" i="54"/>
  <c r="AI36" i="54"/>
  <c r="AP36" i="54"/>
  <c r="AK36" i="54"/>
  <c r="AO36" i="54"/>
  <c r="AQ36" i="54"/>
  <c r="AM36" i="54"/>
  <c r="AC40" i="54"/>
  <c r="AY41" i="54"/>
  <c r="AL36" i="54"/>
  <c r="AJ36" i="54"/>
  <c r="Y42" i="54" l="1"/>
  <c r="X41" i="54"/>
  <c r="AG40" i="54" s="1"/>
  <c r="AA41" i="54"/>
  <c r="AX41" i="54"/>
  <c r="AH37" i="54"/>
  <c r="AF38" i="54"/>
  <c r="AG39" i="54"/>
  <c r="AY42" i="54"/>
  <c r="AC41" i="54"/>
  <c r="AH39" i="54" l="1"/>
  <c r="AF40" i="54"/>
  <c r="BC37" i="54"/>
  <c r="AI37" i="54"/>
  <c r="BB37" i="54"/>
  <c r="AK37" i="54"/>
  <c r="AO37" i="54"/>
  <c r="AQ37" i="54"/>
  <c r="AS37" i="54"/>
  <c r="AN37" i="54"/>
  <c r="AR37" i="54"/>
  <c r="AM37" i="54"/>
  <c r="BD37" i="54"/>
  <c r="AP37" i="54"/>
  <c r="AA42" i="54"/>
  <c r="AX42" i="54"/>
  <c r="X42" i="54"/>
  <c r="AG42" i="54" s="1"/>
  <c r="AH38" i="54"/>
  <c r="AF39" i="54"/>
  <c r="AL37" i="54"/>
  <c r="AC42" i="54"/>
  <c r="AJ37" i="54"/>
  <c r="AM38" i="54" l="1"/>
  <c r="AI38" i="54"/>
  <c r="BC38" i="54"/>
  <c r="AP38" i="54"/>
  <c r="AK38" i="54"/>
  <c r="AO38" i="54"/>
  <c r="AN38" i="54"/>
  <c r="AS38" i="54"/>
  <c r="BB38" i="54"/>
  <c r="AQ38" i="54"/>
  <c r="AR38" i="54"/>
  <c r="BD38" i="54"/>
  <c r="AH42" i="54"/>
  <c r="AH41" i="54"/>
  <c r="AF42" i="54"/>
  <c r="AG41" i="54"/>
  <c r="AP39" i="54"/>
  <c r="AI39" i="54"/>
  <c r="BC39" i="54"/>
  <c r="AQ39" i="54"/>
  <c r="BB39" i="54"/>
  <c r="AN39" i="54"/>
  <c r="AS39" i="54"/>
  <c r="AR39" i="54"/>
  <c r="AO39" i="54"/>
  <c r="BD39" i="54"/>
  <c r="AM39" i="54"/>
  <c r="AK39" i="54"/>
  <c r="AL39" i="54"/>
  <c r="AL38" i="54"/>
  <c r="AJ39" i="54"/>
  <c r="AJ38" i="54"/>
  <c r="AK41" i="54" l="1"/>
  <c r="BC41" i="54"/>
  <c r="AS41" i="54"/>
  <c r="AN41" i="54"/>
  <c r="BD41" i="54"/>
  <c r="AO41" i="54"/>
  <c r="AP41" i="54"/>
  <c r="AQ41" i="54"/>
  <c r="AR41" i="54"/>
  <c r="AI41" i="54"/>
  <c r="AM41" i="54"/>
  <c r="BB41" i="54"/>
  <c r="AF41" i="54"/>
  <c r="AH40" i="54"/>
  <c r="BB42" i="54"/>
  <c r="AS42" i="54"/>
  <c r="AQ42" i="54"/>
  <c r="BD42" i="54"/>
  <c r="AM42" i="54"/>
  <c r="AI42" i="54"/>
  <c r="AP42" i="54"/>
  <c r="AK42" i="54"/>
  <c r="AR42" i="54"/>
  <c r="BC42" i="54"/>
  <c r="AN42" i="54"/>
  <c r="AO42" i="54"/>
  <c r="AL42" i="54"/>
  <c r="AL41" i="54"/>
  <c r="AJ41" i="54"/>
  <c r="AJ42" i="54"/>
  <c r="BB40" i="54" l="1"/>
  <c r="BC40" i="54"/>
  <c r="AR40" i="54"/>
  <c r="AI40" i="54"/>
  <c r="AS40" i="54"/>
  <c r="Q45" i="54" s="1"/>
  <c r="B15" i="58" s="1"/>
  <c r="AP40" i="54"/>
  <c r="AM40" i="54"/>
  <c r="BD40" i="54"/>
  <c r="AU43" i="54" s="1"/>
  <c r="B41" i="58" s="1"/>
  <c r="AK40" i="54"/>
  <c r="AQ40" i="54"/>
  <c r="AO40" i="54"/>
  <c r="AN40" i="54"/>
  <c r="AL40" i="54"/>
  <c r="AJ40" i="54"/>
</calcChain>
</file>

<file path=xl/comments1.xml><?xml version="1.0" encoding="utf-8"?>
<comments xmlns="http://schemas.openxmlformats.org/spreadsheetml/2006/main">
  <authors>
    <author>Morency, Samuel -XEI</author>
  </authors>
  <commentList>
    <comment ref="F82" authorId="0" shapeId="0">
      <text>
        <r>
          <rPr>
            <b/>
            <sz val="9"/>
            <color indexed="81"/>
            <rFont val="Tahoma"/>
            <family val="2"/>
          </rPr>
          <t>Morency, Samuel -XEI:</t>
        </r>
        <r>
          <rPr>
            <sz val="9"/>
            <color indexed="81"/>
            <rFont val="Tahoma"/>
            <family val="2"/>
          </rPr>
          <t xml:space="preserve">
Automatically removes "held by CMNEs" if liabilities are in the same sentence</t>
        </r>
      </text>
    </comment>
    <comment ref="AB82" authorId="0" shapeId="0">
      <text>
        <r>
          <rPr>
            <b/>
            <sz val="9"/>
            <color indexed="81"/>
            <rFont val="Tahoma"/>
            <family val="2"/>
          </rPr>
          <t>Morency, Samuel -XEI:</t>
        </r>
        <r>
          <rPr>
            <sz val="9"/>
            <color indexed="81"/>
            <rFont val="Tahoma"/>
            <family val="2"/>
          </rPr>
          <t xml:space="preserve">
Automatically removes "held by CMNEs" if liabilities are in the same sentence</t>
        </r>
      </text>
    </comment>
  </commentList>
</comments>
</file>

<file path=xl/sharedStrings.xml><?xml version="1.0" encoding="utf-8"?>
<sst xmlns="http://schemas.openxmlformats.org/spreadsheetml/2006/main" count="772" uniqueCount="413">
  <si>
    <t>Table 1: FDI Stock in Canada by Immediate Investing Country and Geographic Area (millions of $C)</t>
  </si>
  <si>
    <t>Regional rank</t>
  </si>
  <si>
    <t>Global rank</t>
  </si>
  <si>
    <t>All countries</t>
  </si>
  <si>
    <t>Mexico</t>
  </si>
  <si>
    <t>United States</t>
  </si>
  <si>
    <t>Brazil</t>
  </si>
  <si>
    <t>Chile</t>
  </si>
  <si>
    <t>France</t>
  </si>
  <si>
    <t>Germany</t>
  </si>
  <si>
    <t>Ireland</t>
  </si>
  <si>
    <t>Italy</t>
  </si>
  <si>
    <t>Luxembourg</t>
  </si>
  <si>
    <t>Netherlands</t>
  </si>
  <si>
    <t>Norway</t>
  </si>
  <si>
    <t>Spain</t>
  </si>
  <si>
    <t>Sweden</t>
  </si>
  <si>
    <t>Switzerland</t>
  </si>
  <si>
    <t>United Kingdom</t>
  </si>
  <si>
    <t>Australia</t>
  </si>
  <si>
    <t>Hong Kong</t>
  </si>
  <si>
    <t>India</t>
  </si>
  <si>
    <t>Japan</t>
  </si>
  <si>
    <t>Singapore</t>
  </si>
  <si>
    <t>South Korea</t>
  </si>
  <si>
    <t>Taiwan</t>
  </si>
  <si>
    <t>United Arab Emirates</t>
  </si>
  <si>
    <t>Table 2: FDI Stock in Canada by Ultimate Investing Country and Geographic Area (millions of $C)</t>
  </si>
  <si>
    <t>China</t>
  </si>
  <si>
    <t>Table 3: CDI Stock Abroad by Geographic Area (millions of $C)</t>
  </si>
  <si>
    <t>Nominal change yoy</t>
  </si>
  <si>
    <t>Percentage change yoy</t>
  </si>
  <si>
    <t xml:space="preserve">Share (%) </t>
  </si>
  <si>
    <t>FDI stock (UIC), millions $CAD</t>
  </si>
  <si>
    <t>FDI (UIC) Stock</t>
  </si>
  <si>
    <t>FDI (IIC) Stock</t>
  </si>
  <si>
    <t>CDIA (IIC) Stock</t>
  </si>
  <si>
    <t>Value</t>
  </si>
  <si>
    <t>Share</t>
  </si>
  <si>
    <t>North America Industry Classification System (NAICS)</t>
  </si>
  <si>
    <t>Foreign direct investment in Canada - total book value</t>
  </si>
  <si>
    <t>Canadian direct investment abroad - total book value</t>
  </si>
  <si>
    <t>Total, all industries</t>
  </si>
  <si>
    <t>Agriculture, forestry, fishing and hunting [11]</t>
  </si>
  <si>
    <t>Mining, quarrying, and oil and gas extraction [21]</t>
  </si>
  <si>
    <t>Oil and gas extraction [211]</t>
  </si>
  <si>
    <t>Mining and quarrying (except oil and gas) [212]</t>
  </si>
  <si>
    <t>Support activities for mining, and oil and gas extraction [213]</t>
  </si>
  <si>
    <t>Utilities [22]</t>
  </si>
  <si>
    <t>Construction [23]</t>
  </si>
  <si>
    <t>Manufacturing [31-33]</t>
  </si>
  <si>
    <t>Food manufacturing [311]</t>
  </si>
  <si>
    <t>Beverage and tobacco product manufacturing [312]</t>
  </si>
  <si>
    <t>Textile mills [313]</t>
  </si>
  <si>
    <t>Textile product mills [314]</t>
  </si>
  <si>
    <t>Clothing manufacturing [315]</t>
  </si>
  <si>
    <t>Leather and allied product manufacturing [316]</t>
  </si>
  <si>
    <t>Wood product manufacturing [321]</t>
  </si>
  <si>
    <t>Paper manufacturing [322]</t>
  </si>
  <si>
    <t>Printing and related support activities [323]</t>
  </si>
  <si>
    <t>Petroleum and coal products manufacturing [324]</t>
  </si>
  <si>
    <t>Chemical manufacturing [325]</t>
  </si>
  <si>
    <t>Plastics and rubber products manufacturing [326]</t>
  </si>
  <si>
    <t>Non-metallic mineral product manufacturing [327]</t>
  </si>
  <si>
    <t>Primary metal manufacturing [331]</t>
  </si>
  <si>
    <t>Fabricated metal product manufacturing [332]</t>
  </si>
  <si>
    <t>Machinery manufacturing [333]</t>
  </si>
  <si>
    <t>Computer and electronic product manufacturing [334]</t>
  </si>
  <si>
    <t>Electrical equipment, appliance and component manufacturing [335]</t>
  </si>
  <si>
    <t>Transportation equipment manufacturing [336]</t>
  </si>
  <si>
    <t>Furniture and related product manufacturing [337]</t>
  </si>
  <si>
    <t>Miscellaneous manufacturing [339]</t>
  </si>
  <si>
    <t>Wholesale trade [41]</t>
  </si>
  <si>
    <t>Retail trade [44-45]</t>
  </si>
  <si>
    <t>Transportation and warehousing [48-49]</t>
  </si>
  <si>
    <t>Information and cultural industries [51]</t>
  </si>
  <si>
    <t>Finance and insurance [52]</t>
  </si>
  <si>
    <t>Real estate and rental and leasing [53]</t>
  </si>
  <si>
    <t>Professional, scientific and technical services [54]</t>
  </si>
  <si>
    <t>Management of companies and enterprises [55]</t>
  </si>
  <si>
    <t>Accommodation and food services [72]</t>
  </si>
  <si>
    <t>All other industries</t>
  </si>
  <si>
    <t>Placeholder</t>
  </si>
  <si>
    <t>country</t>
  </si>
  <si>
    <t>date</t>
  </si>
  <si>
    <t>year10</t>
  </si>
  <si>
    <t>FDIU_G_rank</t>
  </si>
  <si>
    <t>FDII_G_rank</t>
  </si>
  <si>
    <t>FDII_share</t>
  </si>
  <si>
    <t>FDIU_share</t>
  </si>
  <si>
    <t>FDII</t>
  </si>
  <si>
    <t>FDIU</t>
  </si>
  <si>
    <t>Event CAGR</t>
  </si>
  <si>
    <t>Event YoY</t>
  </si>
  <si>
    <t>Event sensibility:</t>
  </si>
  <si>
    <t>end</t>
  </si>
  <si>
    <t>Event number</t>
  </si>
  <si>
    <t>Date min</t>
  </si>
  <si>
    <t>Date max</t>
  </si>
  <si>
    <t xml:space="preserve">Events </t>
  </si>
  <si>
    <t>Event (GAGR/YOY)</t>
  </si>
  <si>
    <t>Sentence</t>
  </si>
  <si>
    <t>Value A</t>
  </si>
  <si>
    <t>Value B</t>
  </si>
  <si>
    <t>%</t>
  </si>
  <si>
    <t>Rank</t>
  </si>
  <si>
    <t>$</t>
  </si>
  <si>
    <t>Industries</t>
  </si>
  <si>
    <t>%rounded</t>
  </si>
  <si>
    <t>Lowest</t>
  </si>
  <si>
    <t>FDI</t>
  </si>
  <si>
    <t>CDIA</t>
  </si>
  <si>
    <t>NAICS</t>
  </si>
  <si>
    <t>FDI Share</t>
  </si>
  <si>
    <t>FDI Rank</t>
  </si>
  <si>
    <t>CDIA Share</t>
  </si>
  <si>
    <t>CDIA Rank</t>
  </si>
  <si>
    <t>Event count</t>
  </si>
  <si>
    <t>Event Length</t>
  </si>
  <si>
    <t>RT_FDI_IIC</t>
  </si>
  <si>
    <t>RT_FDI_UIC</t>
  </si>
  <si>
    <t>RT_CDIA_IIC</t>
  </si>
  <si>
    <t>CDIAI</t>
  </si>
  <si>
    <t>CDIAI_G_rank</t>
  </si>
  <si>
    <t>CDIAI_share</t>
  </si>
  <si>
    <t>SR_FDI_UIC</t>
  </si>
  <si>
    <t>SR_CDIA_IIC</t>
  </si>
  <si>
    <t>Number of enterprises</t>
  </si>
  <si>
    <t>Total number of jobs</t>
  </si>
  <si>
    <t>Operating revenues</t>
  </si>
  <si>
    <t>Gross domestic product at basic prices (value added)</t>
  </si>
  <si>
    <t>Merchandise imports</t>
  </si>
  <si>
    <t>Merchandise exports</t>
  </si>
  <si>
    <t>Gross fixed capital formation</t>
  </si>
  <si>
    <t>diff</t>
  </si>
  <si>
    <t>%total</t>
  </si>
  <si>
    <t>All industries</t>
  </si>
  <si>
    <t>AMNEs</t>
  </si>
  <si>
    <t>CMNEs</t>
  </si>
  <si>
    <t>Value of sales in dollars</t>
  </si>
  <si>
    <t>Number of employees</t>
  </si>
  <si>
    <t>Total Assets</t>
  </si>
  <si>
    <t>Total Liabilities</t>
  </si>
  <si>
    <t>Mining, Quarrying, and Oil and Gas Extraction [21]</t>
  </si>
  <si>
    <t>Wholesale Trade [41]</t>
  </si>
  <si>
    <t>Retail Trade [44-45]</t>
  </si>
  <si>
    <t>Transportation and Warehousing [48-49]</t>
  </si>
  <si>
    <t>Finance and Insurance [52]</t>
  </si>
  <si>
    <t>Real Estate and Rental and Leasing [53]</t>
  </si>
  <si>
    <t>Professional, Scientific and Technical Services [54]</t>
  </si>
  <si>
    <t>Management of Companies and Enterprises [55]</t>
  </si>
  <si>
    <t>Administrative and Support, Waste Management and Remediation Services [56]</t>
  </si>
  <si>
    <t>GDP</t>
  </si>
  <si>
    <t>Employment</t>
  </si>
  <si>
    <t>Avg Share</t>
  </si>
  <si>
    <t>Formatted</t>
  </si>
  <si>
    <t>Sectors</t>
  </si>
  <si>
    <t>Sector 1:</t>
  </si>
  <si>
    <t>Sector 2:</t>
  </si>
  <si>
    <t>AMNE</t>
  </si>
  <si>
    <t>CMNE</t>
  </si>
  <si>
    <t>% rounded</t>
  </si>
  <si>
    <t>NAICS 3-digit list (excl. From the analysis)</t>
  </si>
  <si>
    <t>Variable</t>
  </si>
  <si>
    <t>Event</t>
  </si>
  <si>
    <t>Diff</t>
  </si>
  <si>
    <t>Research and development personnel</t>
  </si>
  <si>
    <t>Share of world</t>
  </si>
  <si>
    <t>% diff</t>
  </si>
  <si>
    <t>vs world</t>
  </si>
  <si>
    <t>Table 4: CDI Stock Abroad by Ultimate Investor Country and Geographic Area (millions of $C)</t>
  </si>
  <si>
    <t>Sorted:</t>
  </si>
  <si>
    <t>Positive count:</t>
  </si>
  <si>
    <t>retrieved</t>
  </si>
  <si>
    <t>Regional Rank</t>
  </si>
  <si>
    <t>CMNE Number of Employees</t>
  </si>
  <si>
    <t>CMNE Value of Sales in Dollars</t>
  </si>
  <si>
    <t>CMNE Total Assets</t>
  </si>
  <si>
    <t>CMNE Total Liabilities</t>
  </si>
  <si>
    <t>count</t>
  </si>
  <si>
    <t>Order EQ</t>
  </si>
  <si>
    <t>Employees</t>
  </si>
  <si>
    <t>Assets</t>
  </si>
  <si>
    <t>Liabilities</t>
  </si>
  <si>
    <t>Sales</t>
  </si>
  <si>
    <t>Rank EQ</t>
  </si>
  <si>
    <t>Formatted %</t>
  </si>
  <si>
    <t>***I need to format it this way because INDEX(MATCH(),MATCH()) breaks when two variables share the same rank.</t>
  </si>
  <si>
    <t>Change</t>
  </si>
  <si>
    <t>Rounded %</t>
  </si>
  <si>
    <t>% Change</t>
  </si>
  <si>
    <t>value of sales</t>
  </si>
  <si>
    <t>value of assets held by CMNEs</t>
  </si>
  <si>
    <t>number of employees</t>
  </si>
  <si>
    <t>value of liabilities held by CMNEs</t>
  </si>
  <si>
    <t>French</t>
  </si>
  <si>
    <t>Non-residential construction</t>
  </si>
  <si>
    <t>Machinery and equipment</t>
  </si>
  <si>
    <t>Intellectual property</t>
  </si>
  <si>
    <t>country_adj</t>
  </si>
  <si>
    <t>minyear:</t>
  </si>
  <si>
    <t>Magnitude</t>
  </si>
  <si>
    <t>Two charts needed</t>
  </si>
  <si>
    <t>Direction</t>
  </si>
  <si>
    <t>Share of GDP</t>
  </si>
  <si>
    <t>Share of Employment</t>
  </si>
  <si>
    <t>GDP Share</t>
  </si>
  <si>
    <t>Employment Share</t>
  </si>
  <si>
    <t>rounded</t>
  </si>
  <si>
    <t>Do not touch (updates graph):</t>
  </si>
  <si>
    <t>Max number of values on Y-axis</t>
  </si>
  <si>
    <t>Country</t>
  </si>
  <si>
    <t>CSL Biotech Australia uses funds from CSL USA to invest in CSL Canada</t>
  </si>
  <si>
    <t>Example</t>
  </si>
  <si>
    <t>Vale Mining Brazil uses funds from Vale Mining USA to invest in Vale Mining Canada</t>
  </si>
  <si>
    <t>Sociedad Punta del Cobre Chile uses funds from Sociedad Punta del Cobre USA to invest in Sociedad Punta del Cobre Canada</t>
  </si>
  <si>
    <t>Bank of China in China uses funds from Bank of China USA to invest in Bank of China Canada</t>
  </si>
  <si>
    <t>Michelin France uses funds from Michelin USA to invest in Michelin Canada</t>
  </si>
  <si>
    <t>Adidas Germany uses funds from Adidas USA to invest in Adidas Canada</t>
  </si>
  <si>
    <t>Bank of China Hong Kong uses funds from Bank of China USA to invest in Bank of China Canada</t>
  </si>
  <si>
    <t>ICICI Bank India uses funds from ICICI Bank USA to invest in ICICI Bank Canada</t>
  </si>
  <si>
    <t>Klir Ireland uses funds from Klir USA to invest in Klir Canada</t>
  </si>
  <si>
    <t>Ferrero Italy uses funds from Ferrero USA to invest in Ferrero Canada</t>
  </si>
  <si>
    <t>Toyota Japan uses funds from Toyota USA to invest in Toyota Canada</t>
  </si>
  <si>
    <t>ArcelorMittal Luxembourg uses funds from ArcelorMittal USA to invest in ArcelorMittal Canada</t>
  </si>
  <si>
    <t>Industrias CH Mexico uses funds from Industrias CH USA to invest in Industrias CH Canada</t>
  </si>
  <si>
    <t>Heineken Netherlands uses funds from Heineken USA to invest in Heineken Canada</t>
  </si>
  <si>
    <t>Skaland Graphite AS Norway uses funds from Skaland Graphite AS USA to invest in Skaland Graphite AS Canada</t>
  </si>
  <si>
    <t>United Overseas Bank [UOB] in Singapore uses funds from UOB in the United States to invest in UOB in Canada</t>
  </si>
  <si>
    <t>Hyundai South Korea uses funds from Hyundai USA to invest in Hyundai Canada</t>
  </si>
  <si>
    <t>Ferrovial Spain uses funds from Ferrovial USA to invest in Ferrovial Canada</t>
  </si>
  <si>
    <t>H&amp;M Sweden uses funds from H&amp;M USA to invest in H&amp;M Canada</t>
  </si>
  <si>
    <t>Nestlé Switzerland uses funds from Nestlé USA to invest in Nestlé Canada</t>
  </si>
  <si>
    <t>Taiwan-based Wistron of China uses funds from Wistron USA to invest in Wistron Canada</t>
  </si>
  <si>
    <t>Emirates Group in the U.A.E. uses funds from Emirates Group USA to invest in Emirates Group Canada</t>
  </si>
  <si>
    <t>BP UK uses funds from BP USA to invest in BP Canada</t>
  </si>
  <si>
    <t>Ford USA uses funds from Ford Mexico to invest in Ford Canada</t>
  </si>
  <si>
    <t>Generic</t>
  </si>
  <si>
    <t>companyExample</t>
  </si>
  <si>
    <t>Max FDI:</t>
  </si>
  <si>
    <t>Max CDIA:</t>
  </si>
  <si>
    <t>Min FDI:</t>
  </si>
  <si>
    <t>Min CDIA:</t>
  </si>
  <si>
    <t>Raw A</t>
  </si>
  <si>
    <t>Raw B</t>
  </si>
  <si>
    <t>Threshold</t>
  </si>
  <si>
    <t>nextrelease</t>
  </si>
  <si>
    <t>January 2023</t>
  </si>
  <si>
    <t>End</t>
  </si>
  <si>
    <t>Fluctuation</t>
  </si>
  <si>
    <t>Low year</t>
  </si>
  <si>
    <t>Low value</t>
  </si>
  <si>
    <t>High year</t>
  </si>
  <si>
    <t>High value</t>
  </si>
  <si>
    <t>End value</t>
  </si>
  <si>
    <t>Start year</t>
  </si>
  <si>
    <t>Start value</t>
  </si>
  <si>
    <t>End year</t>
  </si>
  <si>
    <t>FDI stock (IIC), millions $CAD</t>
  </si>
  <si>
    <t>CDIA stock (IIC), millions $CAD</t>
  </si>
  <si>
    <t>AMNE Enterprises</t>
  </si>
  <si>
    <t>AMNE Jobs</t>
  </si>
  <si>
    <t>AMNE GDP</t>
  </si>
  <si>
    <t>AMNE Revenues</t>
  </si>
  <si>
    <t>AMNE Imports</t>
  </si>
  <si>
    <t>AMNE Exports</t>
  </si>
  <si>
    <t>Global</t>
  </si>
  <si>
    <t xml:space="preserve">**** Please change the language and country name in the yellow drop down lists below. </t>
  </si>
  <si>
    <t>Sentence (fluctuation)</t>
  </si>
  <si>
    <t>Regional</t>
  </si>
  <si>
    <t>Rounded</t>
  </si>
  <si>
    <t>Round %</t>
  </si>
  <si>
    <t>rnd</t>
  </si>
  <si>
    <t>Compare</t>
  </si>
  <si>
    <t>Sentences</t>
  </si>
  <si>
    <t>Start</t>
  </si>
  <si>
    <t>No code</t>
  </si>
  <si>
    <t>num of 1st ranks:</t>
  </si>
  <si>
    <t>Form Diff</t>
  </si>
  <si>
    <t>Form Share</t>
  </si>
  <si>
    <t>Rnd %</t>
  </si>
  <si>
    <t>1st in region</t>
  </si>
  <si>
    <t>Connector</t>
  </si>
  <si>
    <t>English</t>
  </si>
  <si>
    <t>Formatted Low Value</t>
  </si>
  <si>
    <t>Formatted High Value</t>
  </si>
  <si>
    <t>Total, toutes les industries</t>
  </si>
  <si>
    <t>Toutes les autres industries</t>
  </si>
  <si>
    <t>Extraction de pétrole et de gaz [211]</t>
  </si>
  <si>
    <t>Extraction minière et extraction en carrière (sauf pétrole et gaz) [212]</t>
  </si>
  <si>
    <t>Fabrication d'aliments [311]</t>
  </si>
  <si>
    <t>Fabrication de boissons et de produits du tabac [312]</t>
  </si>
  <si>
    <t>Usines de textiles [313]</t>
  </si>
  <si>
    <t>Usines de produits textiles [314]</t>
  </si>
  <si>
    <t>Fabrication de vêtements [315]</t>
  </si>
  <si>
    <t>Fabrication de produits en cuir et de produits analogues [316]</t>
  </si>
  <si>
    <t>Fabrication de produits en bois [321]</t>
  </si>
  <si>
    <t>Fabrication de papier [322]</t>
  </si>
  <si>
    <t>Impression et activités connexes de soutien [323]</t>
  </si>
  <si>
    <t>Fabrication de produits chimiques [325]</t>
  </si>
  <si>
    <t>Première transformation des métaux [331]</t>
  </si>
  <si>
    <t>Fabrication de produits métalliques [332]</t>
  </si>
  <si>
    <t>Fabrication de machines [333]</t>
  </si>
  <si>
    <t>Fabrication de produits informatiques et électroniques [334]</t>
  </si>
  <si>
    <t>Fabrication de matériel, d'appareils et de composants électriques [335]</t>
  </si>
  <si>
    <t>Fabrication de matériel de transport [336]</t>
  </si>
  <si>
    <t>Fabrication de meubles et de produits connexes [337]</t>
  </si>
  <si>
    <t>Fabrication de produits divers [339]</t>
  </si>
  <si>
    <t>Activités de soutien à l'extraction minière, pétrolière et gazière [213]</t>
  </si>
  <si>
    <t>Fabrication de produits du pétrole et du charbon [324]</t>
  </si>
  <si>
    <t>Fabrication de produits en plastique et en caoutchouc [326]</t>
  </si>
  <si>
    <t>Fabrication de produits minéraux non métalliques [327]</t>
  </si>
  <si>
    <t>La fabrication [31-33]</t>
  </si>
  <si>
    <t>La finance et les assurances [52]</t>
  </si>
  <si>
    <t>L’extraction minière, l’exploitation de carrières et l’extraction de pétrole et de gaz [21]</t>
  </si>
  <si>
    <t>Le commerce de gros [41]</t>
  </si>
  <si>
    <t>Le commerce de détail [44-45]</t>
  </si>
  <si>
    <t>L'agriculture, la sylviculture, la pêche et la chasse [11]</t>
  </si>
  <si>
    <t>Les services publics [22]</t>
  </si>
  <si>
    <t>La construction [23]</t>
  </si>
  <si>
    <t>Le transport et l'entreposage [48-49]</t>
  </si>
  <si>
    <t>Les industries de l'information et de la culture [51]</t>
  </si>
  <si>
    <t>L'immobilier, la location et le crédit-bail [53]</t>
  </si>
  <si>
    <t>Les services professionnels, scientifiques et techniques [54]</t>
  </si>
  <si>
    <t>La gestion des sociétés et des entreprises [55]</t>
  </si>
  <si>
    <t>L'hébergement et la restauration [72]</t>
  </si>
  <si>
    <t>country_Fr</t>
  </si>
  <si>
    <t>country_adj_Fr</t>
  </si>
  <si>
    <t>date_Fr</t>
  </si>
  <si>
    <t>retrieved_Fr</t>
  </si>
  <si>
    <t>nextrelease_Fr</t>
  </si>
  <si>
    <t>FDII_Fr</t>
  </si>
  <si>
    <t>FDIU_Fr</t>
  </si>
  <si>
    <t>FDII_G_rank_Fr</t>
  </si>
  <si>
    <t>FDIU_G_rank_Fr</t>
  </si>
  <si>
    <t>FDII_share_Fr</t>
  </si>
  <si>
    <t>FDIU_share_Fr</t>
  </si>
  <si>
    <t>RT_FDI_IIC_Fr</t>
  </si>
  <si>
    <t>RT_FDI_UIC_Fr</t>
  </si>
  <si>
    <t>SR_FDI_UIC_Fr</t>
  </si>
  <si>
    <t>AMNE_Fr</t>
  </si>
  <si>
    <t>CDIAI_Fr</t>
  </si>
  <si>
    <t>CDIAI_G_rank_Fr</t>
  </si>
  <si>
    <t>CDIAI_share_Fr</t>
  </si>
  <si>
    <t>RT_CDIA_IIC_Fr</t>
  </si>
  <si>
    <t>SR_CDIA_IIC_Fr</t>
  </si>
  <si>
    <t>CMNE_Fr</t>
  </si>
  <si>
    <t>companyExample_Fr</t>
  </si>
  <si>
    <t>"ArcelorMittal"&amp;CHAR(160)&amp;"Luxembourg utilise des fonds d’ArcelorMittal"&amp;CHAR(160)&amp;"USA pour investir dans ArcelorMittal"&amp;CHAR(160)&amp;"Canada"</t>
  </si>
  <si>
    <t>"Nestlé"&amp;CHAR(160)&amp;"Suisse utilise des fonds de Nestlé"&amp;CHAR(160)&amp;"É.-U. pour investir dans Nestlé"&amp;CHAR(160)&amp;"Canada"</t>
  </si>
  <si>
    <t>June 2023</t>
  </si>
  <si>
    <t>World</t>
  </si>
  <si>
    <t>Les services administratifs et de soutien, de gestion des déchets et d'assainissement [56]</t>
  </si>
  <si>
    <t>La valeur des passifs détenus par les EMNC</t>
  </si>
  <si>
    <t>La valeur des actifs détenus par les EMNC</t>
  </si>
  <si>
    <t>Le nombre d’employés</t>
  </si>
  <si>
    <t>La valeur des ventes</t>
  </si>
  <si>
    <t>t</t>
  </si>
  <si>
    <t>Units</t>
  </si>
  <si>
    <t>Units Fr</t>
  </si>
  <si>
    <t>juin 2023</t>
  </si>
  <si>
    <t>feminine_plural</t>
  </si>
  <si>
    <t>article</t>
  </si>
  <si>
    <t>AMNE2</t>
  </si>
  <si>
    <t>AMNE_Fr2</t>
  </si>
  <si>
    <t>article2</t>
  </si>
  <si>
    <t>feminine</t>
  </si>
  <si>
    <t>Gender</t>
  </si>
  <si>
    <t>masculine</t>
  </si>
  <si>
    <t>More/Less</t>
  </si>
  <si>
    <t>More/less</t>
  </si>
  <si>
    <t>Language</t>
  </si>
  <si>
    <t xml:space="preserve"> pour s’établir à </t>
  </si>
  <si>
    <t xml:space="preserve"> pour atteindre </t>
  </si>
  <si>
    <t xml:space="preserve"> et a atteint </t>
  </si>
  <si>
    <t xml:space="preserve"> à </t>
  </si>
  <si>
    <t>Num</t>
  </si>
  <si>
    <t>Text</t>
  </si>
  <si>
    <t>Rnd diff</t>
  </si>
  <si>
    <t>Form diff</t>
  </si>
  <si>
    <t>Form %</t>
  </si>
  <si>
    <t>List format</t>
  </si>
  <si>
    <t xml:space="preserve"> en construction non résidentielle</t>
  </si>
  <si>
    <t xml:space="preserve"> dans la machinerie et l’équipement</t>
  </si>
  <si>
    <t xml:space="preserve"> en propriété intellectuelle</t>
  </si>
  <si>
    <t>Janvier 2023</t>
  </si>
  <si>
    <t>Event Significance Threshold (first 7 years):</t>
  </si>
  <si>
    <t>Event Significance Threshold (last 3 years):</t>
  </si>
  <si>
    <t>Event length to be excluded from fluctuation:</t>
  </si>
  <si>
    <t>&lt;-- 4</t>
  </si>
  <si>
    <t>Decimals:</t>
  </si>
  <si>
    <t>IIC</t>
  </si>
  <si>
    <t>UIC</t>
  </si>
  <si>
    <t>New IIC</t>
  </si>
  <si>
    <t>New UIC</t>
  </si>
  <si>
    <t>Form IIC</t>
  </si>
  <si>
    <t>Form UIC</t>
  </si>
  <si>
    <t>IF(twoCharts," (voir la figure"&amp;CHAR(160)&amp;"2)"," (voir la figure"&amp;CHAR(160)&amp;"1)")</t>
  </si>
  <si>
    <t>IF(twoCharts," (see Chart 2)"," (see Chart 1)")</t>
  </si>
  <si>
    <t>LOWER(LEFT($AV33,1))&amp;RIGHT($AV33,LEN($AV33)-1)</t>
  </si>
  <si>
    <t>IF(AND($T62="",$Q61&lt;&gt;1),</t>
  </si>
  <si>
    <t>* CETA partners include: Austria, Belgium, Bulgaria, Croatia, Cyprus, Czech Republic, Denmark, Estonia, Finland, France, Germany, Greece, Hungary, Ireland, Italy, Latvia, Lithuania, Luxembourg, Malta, Netherlands, Poland, Portugal, Romania, Slovakia, Slovenia, Spain and Sweden.</t>
  </si>
  <si>
    <t>** CPTPP partners include: Australia, Japan, Mexico, New Zealand, Peru, Singapore and Vietnam.</t>
  </si>
  <si>
    <t>*** EFTA partners include: Iceland, Liechtenstein, Norway and Switzerland.</t>
  </si>
  <si>
    <t>**** NAFTA / CUSMA partners include Mexico and the United States.</t>
  </si>
  <si>
    <t>***** CARICOM members include: Antigua and Barbuda, Bahamas, Barbados, Belize, Dominica, Grenada, Guyana, Haiti, Jamaica, Montserrat, Saint Kitts and Nevis, Saint Lucia, Saint Vincent and the Grenadines, Suriname, and Trinidad and Tobago.</t>
  </si>
  <si>
    <t>****** CARICOM associate members include: Anguilla, Bermuda, British Virgin Islands, Cayman Islands, and Turks &amp; Caicos.</t>
  </si>
  <si>
    <t>******* MENA partners include Algeria, Bahrain, Egypt, Iran, Iraq, Israel, Jordan, Kuwait, Lebanon, Libya, Morocco, Oman, Qatar, Saudi Arabia, Syria, Tunisia, United Arab Emirates, West Bank and Gaza, and Yemen. Average annual growth rate was calculated for 2012-2020.</t>
  </si>
  <si>
    <t>******** ASEAN members include: Brunei Darussalam, Cambodia, Indonesia, Lao PDR, Malaysia, Myanmar, Philippines, Singapore, Thailand, Vietnam.</t>
  </si>
  <si>
    <t>November 2022</t>
  </si>
  <si>
    <t>novembre 2022</t>
  </si>
  <si>
    <t>Measure IIC</t>
  </si>
  <si>
    <t>Measure UIC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</si>
</sst>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0%"/>
    <numFmt numFmtId="165" formatCode="_-* #,##0_-;\-* #,##0_-;_-* &quot;-&quot;??_-;_-@_-"/>
    <numFmt numFmtId="166" formatCode="&quot;$&quot;#,##0"/>
    <numFmt numFmtId="167" formatCode="0.0"/>
    <numFmt numFmtId="168" formatCode="[&lt;10]0.0;[&gt;=10]0"/>
    <numFmt numFmtId="169" formatCode="[&lt;10]0.0;0"/>
    <numFmt numFmtId="170" formatCode="0.0000000%"/>
  </numFmts>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color theme="1"/>
      <name val="Calibri"/>
      <family val="2"/>
      <scheme val="minor"/>
    </font>
    <font>
      <sz val="10"/>
      <name val="Arial"/>
      <family val="2"/>
    </font>
    <font>
      <b/>
      <sz val="10"/>
      <color theme="1"/>
      <name val="Arial"/>
      <family val="2"/>
    </font>
    <font>
      <b/>
      <sz val="10"/>
      <name val="Arial"/>
      <family val="2"/>
    </font>
    <font>
      <b/>
      <sz val="10"/>
      <color theme="0"/>
      <name val="Arial"/>
      <family val="2"/>
    </font>
    <font>
      <sz val="10"/>
      <color rgb="FFFF0000"/>
      <name val="Arial"/>
      <family val="2"/>
    </font>
    <font>
      <sz val="12"/>
      <name val="Calibri"/>
      <family val="2"/>
    </font>
    <font>
      <sz val="10"/>
      <color theme="2"/>
      <name val="Arial"/>
      <family val="2"/>
    </font>
    <font>
      <b/>
      <sz val="11"/>
      <color theme="0"/>
      <name val="Calibri"/>
      <family val="2"/>
      <scheme val="minor"/>
    </font>
    <font>
      <sz val="10"/>
      <color theme="1"/>
      <name val="Arial"/>
      <family val="2"/>
    </font>
    <font>
      <b/>
      <sz val="14"/>
      <color theme="1"/>
      <name val="Calibri"/>
      <family val="2"/>
      <scheme val="minor"/>
    </font>
    <font>
      <b/>
      <sz val="9"/>
      <color indexed="81"/>
      <name val="Tahoma"/>
      <family val="2"/>
    </font>
    <font>
      <sz val="9"/>
      <color indexed="81"/>
      <name val="Tahoma"/>
      <family val="2"/>
    </font>
    <font>
      <sz val="10"/>
      <color rgb="FF103A5F"/>
      <name val="Calibri"/>
      <family val="2"/>
      <scheme val="minor"/>
    </font>
    <font>
      <sz val="10"/>
      <color theme="4" tint="-0.249977111117893"/>
      <name val="Arial"/>
      <family val="2"/>
    </font>
    <font>
      <sz val="10"/>
      <color theme="2" tint="-0.249977111117893"/>
      <name val="Arial"/>
      <family val="2"/>
    </font>
    <font>
      <sz val="10"/>
      <color theme="0"/>
      <name val="Arial"/>
      <family val="2"/>
    </font>
    <font>
      <sz val="10"/>
      <color theme="3" tint="0.59999389629810485"/>
      <name val="Arial"/>
      <family val="2"/>
    </font>
    <font>
      <b/>
      <sz val="10"/>
      <color rgb="FF103A5F"/>
      <name val="Calibri"/>
      <family val="2"/>
      <scheme val="minor"/>
    </font>
  </fonts>
  <fills count="8">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3" tint="0.79998168889431442"/>
        <bgColor indexed="64"/>
      </patternFill>
    </fill>
    <fill>
      <patternFill patternType="solid">
        <fgColor rgb="FFD6DCE4"/>
        <bgColor indexed="64"/>
      </patternFill>
    </fill>
  </fills>
  <borders count="5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thin">
        <color theme="0" tint="-0.24994659260841701"/>
      </left>
      <right style="thin">
        <color theme="0" tint="-0.24994659260841701"/>
      </right>
      <top/>
      <bottom style="thin">
        <color theme="0" tint="-0.24994659260841701"/>
      </bottom>
      <diagonal/>
    </border>
    <border>
      <left style="thin">
        <color theme="0"/>
      </left>
      <right style="thin">
        <color theme="0"/>
      </right>
      <top style="thin">
        <color theme="0"/>
      </top>
      <bottom/>
      <diagonal/>
    </border>
    <border>
      <left/>
      <right/>
      <top/>
      <bottom style="double">
        <color indexed="64"/>
      </bottom>
      <diagonal/>
    </border>
    <border>
      <left style="thin">
        <color theme="0"/>
      </left>
      <right style="thin">
        <color theme="0"/>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right>
      <top/>
      <bottom/>
      <diagonal/>
    </border>
    <border>
      <left style="thin">
        <color theme="0"/>
      </left>
      <right/>
      <top/>
      <bottom/>
      <diagonal/>
    </border>
    <border>
      <left style="thin">
        <color theme="0"/>
      </left>
      <right style="thin">
        <color theme="0"/>
      </right>
      <top/>
      <bottom style="thin">
        <color theme="0"/>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0"/>
      </left>
      <right/>
      <top style="thin">
        <color theme="0"/>
      </top>
      <bottom/>
      <diagonal/>
    </border>
    <border>
      <left style="thin">
        <color theme="2" tint="-9.9978637043366805E-2"/>
      </left>
      <right/>
      <top style="thin">
        <color theme="2" tint="-9.9978637043366805E-2"/>
      </top>
      <bottom style="thin">
        <color theme="2" tint="-9.9978637043366805E-2"/>
      </bottom>
      <diagonal/>
    </border>
    <border>
      <left/>
      <right style="thin">
        <color theme="0"/>
      </right>
      <top style="thin">
        <color theme="0"/>
      </top>
      <bottom style="thin">
        <color theme="0"/>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style="thin">
        <color theme="2" tint="-9.9978637043366805E-2"/>
      </right>
      <top/>
      <bottom style="thin">
        <color theme="2" tint="-9.9978637043366805E-2"/>
      </bottom>
      <diagonal/>
    </border>
    <border>
      <left style="thin">
        <color theme="0"/>
      </left>
      <right style="thin">
        <color theme="0"/>
      </right>
      <top style="thin">
        <color theme="2" tint="-9.9978637043366805E-2"/>
      </top>
      <bottom style="thin">
        <color theme="2" tint="-9.9978637043366805E-2"/>
      </bottom>
      <diagonal/>
    </border>
    <border>
      <left/>
      <right style="thin">
        <color theme="0"/>
      </right>
      <top style="thin">
        <color theme="2" tint="-9.9978637043366805E-2"/>
      </top>
      <bottom style="thin">
        <color theme="2" tint="-9.9978637043366805E-2"/>
      </bottom>
      <diagonal/>
    </border>
    <border>
      <left style="thin">
        <color theme="2" tint="-9.9978637043366805E-2"/>
      </left>
      <right style="thin">
        <color theme="2" tint="-9.9978637043366805E-2"/>
      </right>
      <top/>
      <bottom style="thin">
        <color theme="2" tint="-9.9978637043366805E-2"/>
      </bottom>
      <diagonal/>
    </border>
    <border>
      <left/>
      <right/>
      <top style="thin">
        <color theme="0"/>
      </top>
      <bottom style="thin">
        <color theme="0"/>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style="thin">
        <color theme="0" tint="-0.34998626667073579"/>
      </left>
      <right style="thin">
        <color theme="0" tint="-0.34998626667073579"/>
      </right>
      <top style="thin">
        <color theme="0" tint="-0.34998626667073579"/>
      </top>
      <bottom/>
      <diagonal/>
    </border>
    <border>
      <left/>
      <right/>
      <top style="thin">
        <color theme="2" tint="-0.249977111117893"/>
      </top>
      <bottom style="thin">
        <color theme="0" tint="-0.34998626667073579"/>
      </bottom>
      <diagonal/>
    </border>
    <border>
      <left/>
      <right style="thin">
        <color theme="2" tint="-0.249977111117893"/>
      </right>
      <top/>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5">
    <xf numFmtId="0" fontId="0" fillId="0" borderId="0"/>
    <xf numFmtId="3"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4" fillId="0" borderId="0"/>
    <xf numFmtId="0" fontId="17" fillId="0" borderId="0"/>
    <xf numFmtId="43" fontId="15" fillId="0" borderId="0" applyFont="0" applyFill="0" applyBorder="0" applyAlignment="0" applyProtection="0"/>
    <xf numFmtId="9" fontId="15" fillId="0" borderId="0" applyFont="0" applyFill="0" applyBorder="0" applyAlignment="0" applyProtection="0"/>
    <xf numFmtId="0" fontId="15" fillId="0" borderId="0"/>
    <xf numFmtId="0" fontId="13" fillId="0" borderId="0"/>
    <xf numFmtId="0" fontId="12" fillId="0" borderId="0"/>
    <xf numFmtId="0" fontId="11" fillId="0" borderId="0"/>
    <xf numFmtId="0" fontId="15" fillId="0" borderId="0"/>
    <xf numFmtId="0" fontId="10" fillId="0" borderId="0"/>
    <xf numFmtId="0" fontId="8" fillId="0" borderId="0"/>
  </cellStyleXfs>
  <cellXfs count="267">
    <xf numFmtId="0" fontId="0" fillId="0" borderId="0" xfId="0"/>
    <xf numFmtId="0" fontId="15" fillId="0" borderId="0" xfId="0" applyFont="1"/>
    <xf numFmtId="1" fontId="0" fillId="0" borderId="0" xfId="0" applyNumberFormat="1"/>
    <xf numFmtId="164" fontId="15" fillId="0" borderId="0" xfId="0" applyNumberFormat="1" applyFont="1"/>
    <xf numFmtId="0" fontId="15" fillId="0" borderId="0" xfId="0" applyFont="1" applyFill="1"/>
    <xf numFmtId="0" fontId="18" fillId="0" borderId="0" xfId="0" applyFont="1" applyFill="1" applyBorder="1" applyAlignment="1">
      <alignment horizontal="right"/>
    </xf>
    <xf numFmtId="164" fontId="15" fillId="0" borderId="0" xfId="3" applyNumberFormat="1" applyFont="1"/>
    <xf numFmtId="0" fontId="19" fillId="0" borderId="0" xfId="0" applyFont="1"/>
    <xf numFmtId="165" fontId="15" fillId="3" borderId="1" xfId="2" applyNumberFormat="1" applyFont="1" applyFill="1" applyBorder="1" applyAlignment="1">
      <alignment horizontal="right" vertical="center"/>
    </xf>
    <xf numFmtId="165" fontId="15" fillId="3" borderId="3" xfId="2" applyNumberFormat="1" applyFont="1" applyFill="1" applyBorder="1" applyAlignment="1">
      <alignment horizontal="right" vertical="center"/>
    </xf>
    <xf numFmtId="0" fontId="20" fillId="5" borderId="2" xfId="0" applyFont="1" applyFill="1" applyBorder="1" applyAlignment="1">
      <alignment horizontal="left"/>
    </xf>
    <xf numFmtId="0" fontId="20" fillId="5" borderId="2" xfId="0" applyFont="1" applyFill="1" applyBorder="1" applyAlignment="1">
      <alignment horizontal="center" vertical="center"/>
    </xf>
    <xf numFmtId="0" fontId="20" fillId="5" borderId="4" xfId="0" applyFont="1" applyFill="1" applyBorder="1" applyAlignment="1">
      <alignment horizontal="center" vertical="center"/>
    </xf>
    <xf numFmtId="0" fontId="15" fillId="0" borderId="1" xfId="0" applyFont="1" applyBorder="1"/>
    <xf numFmtId="166" fontId="15" fillId="0" borderId="1" xfId="0" applyNumberFormat="1" applyFont="1" applyFill="1" applyBorder="1"/>
    <xf numFmtId="0" fontId="19" fillId="3" borderId="3" xfId="0" applyFont="1" applyFill="1" applyBorder="1" applyAlignment="1">
      <alignment horizontal="left"/>
    </xf>
    <xf numFmtId="165" fontId="19" fillId="3" borderId="1" xfId="2" applyNumberFormat="1" applyFont="1" applyFill="1" applyBorder="1" applyAlignment="1">
      <alignment horizontal="left" vertical="center"/>
    </xf>
    <xf numFmtId="0" fontId="15" fillId="4" borderId="0" xfId="0" applyFont="1" applyFill="1"/>
    <xf numFmtId="164" fontId="15" fillId="0" borderId="1" xfId="3" applyNumberFormat="1" applyFont="1" applyFill="1" applyBorder="1"/>
    <xf numFmtId="0" fontId="15" fillId="0" borderId="5" xfId="0" applyFont="1" applyBorder="1"/>
    <xf numFmtId="0" fontId="15" fillId="0" borderId="0" xfId="0" applyFont="1" applyBorder="1"/>
    <xf numFmtId="164" fontId="15" fillId="3" borderId="3" xfId="2" applyNumberFormat="1" applyFont="1" applyFill="1" applyBorder="1" applyAlignment="1">
      <alignment horizontal="right" vertical="center"/>
    </xf>
    <xf numFmtId="0" fontId="21" fillId="0" borderId="0" xfId="0" applyFont="1"/>
    <xf numFmtId="0" fontId="20" fillId="5" borderId="2" xfId="0" applyFont="1" applyFill="1" applyBorder="1" applyAlignment="1">
      <alignment horizontal="center" vertical="center" wrapText="1"/>
    </xf>
    <xf numFmtId="165" fontId="15" fillId="3" borderId="1" xfId="2" applyNumberFormat="1" applyFont="1" applyFill="1" applyBorder="1" applyAlignment="1">
      <alignment horizontal="center" vertical="center"/>
    </xf>
    <xf numFmtId="165" fontId="15" fillId="0" borderId="0" xfId="0" applyNumberFormat="1" applyFont="1"/>
    <xf numFmtId="49" fontId="0" fillId="0" borderId="0" xfId="0" applyNumberFormat="1"/>
    <xf numFmtId="2" fontId="15" fillId="0" borderId="0" xfId="0" applyNumberFormat="1" applyFont="1"/>
    <xf numFmtId="2" fontId="0" fillId="0" borderId="0" xfId="0" applyNumberFormat="1"/>
    <xf numFmtId="167" fontId="0" fillId="0" borderId="0" xfId="3" applyNumberFormat="1" applyFont="1"/>
    <xf numFmtId="49" fontId="0" fillId="0" borderId="0" xfId="3" applyNumberFormat="1" applyFont="1"/>
    <xf numFmtId="0" fontId="0" fillId="0" borderId="0" xfId="3" applyNumberFormat="1" applyFont="1"/>
    <xf numFmtId="2" fontId="15" fillId="0" borderId="0" xfId="3" applyNumberFormat="1" applyFont="1"/>
    <xf numFmtId="1" fontId="15" fillId="0" borderId="0" xfId="3" applyNumberFormat="1" applyFont="1"/>
    <xf numFmtId="2" fontId="15" fillId="4" borderId="0" xfId="3" applyNumberFormat="1" applyFont="1" applyFill="1"/>
    <xf numFmtId="0" fontId="22" fillId="0" borderId="0" xfId="0" applyFont="1"/>
    <xf numFmtId="0" fontId="20" fillId="5" borderId="6" xfId="0" applyFont="1" applyFill="1" applyBorder="1" applyAlignment="1">
      <alignment horizontal="center" vertical="center" wrapText="1"/>
    </xf>
    <xf numFmtId="0" fontId="20" fillId="5" borderId="4" xfId="0" applyFont="1" applyFill="1" applyBorder="1" applyAlignment="1">
      <alignment horizontal="center" vertical="center" wrapText="1"/>
    </xf>
    <xf numFmtId="0" fontId="0" fillId="0" borderId="7" xfId="0" applyBorder="1"/>
    <xf numFmtId="0" fontId="15" fillId="0" borderId="7" xfId="0" applyFont="1" applyBorder="1"/>
    <xf numFmtId="0" fontId="15" fillId="0" borderId="7" xfId="0" quotePrefix="1" applyFont="1" applyBorder="1"/>
    <xf numFmtId="10" fontId="15" fillId="0" borderId="7" xfId="0" applyNumberFormat="1" applyFont="1" applyBorder="1"/>
    <xf numFmtId="0" fontId="0" fillId="0" borderId="0" xfId="0" applyBorder="1"/>
    <xf numFmtId="10" fontId="15" fillId="0" borderId="0" xfId="0" applyNumberFormat="1" applyFont="1" applyBorder="1"/>
    <xf numFmtId="0" fontId="15" fillId="0" borderId="0" xfId="0" quotePrefix="1" applyFont="1" applyBorder="1"/>
    <xf numFmtId="10" fontId="15" fillId="0" borderId="0" xfId="0" applyNumberFormat="1" applyFont="1" applyFill="1" applyBorder="1"/>
    <xf numFmtId="10" fontId="0" fillId="0" borderId="0" xfId="0" applyNumberFormat="1" applyBorder="1"/>
    <xf numFmtId="164" fontId="15" fillId="0" borderId="1" xfId="3" applyNumberFormat="1" applyFont="1" applyBorder="1"/>
    <xf numFmtId="0" fontId="15" fillId="0" borderId="0" xfId="0" applyNumberFormat="1" applyFont="1"/>
    <xf numFmtId="0" fontId="15" fillId="0" borderId="0" xfId="0" applyFont="1" applyAlignment="1">
      <alignment vertical="top" wrapText="1"/>
    </xf>
    <xf numFmtId="0" fontId="15" fillId="0" borderId="0" xfId="0" applyFont="1" applyAlignment="1">
      <alignment vertical="top"/>
    </xf>
    <xf numFmtId="10" fontId="15" fillId="0" borderId="0" xfId="3" applyNumberFormat="1" applyFont="1"/>
    <xf numFmtId="0" fontId="12" fillId="0" borderId="0" xfId="10"/>
    <xf numFmtId="0" fontId="12" fillId="0" borderId="0" xfId="10" applyFont="1"/>
    <xf numFmtId="0" fontId="24" fillId="5" borderId="8" xfId="10" applyFont="1" applyFill="1" applyBorder="1" applyAlignment="1">
      <alignment horizontal="center" vertical="center" wrapText="1"/>
    </xf>
    <xf numFmtId="0" fontId="24" fillId="5" borderId="6" xfId="10" applyFont="1" applyFill="1" applyBorder="1" applyAlignment="1">
      <alignment horizontal="center" vertical="center" wrapText="1"/>
    </xf>
    <xf numFmtId="0" fontId="24" fillId="5" borderId="9" xfId="10" applyFont="1" applyFill="1" applyBorder="1" applyAlignment="1">
      <alignment horizontal="center" vertical="center" wrapText="1"/>
    </xf>
    <xf numFmtId="0" fontId="12" fillId="0" borderId="7" xfId="10" applyNumberFormat="1" applyBorder="1"/>
    <xf numFmtId="0" fontId="12" fillId="0" borderId="7" xfId="10" applyBorder="1"/>
    <xf numFmtId="10" fontId="12" fillId="0" borderId="7" xfId="10" applyNumberFormat="1" applyBorder="1"/>
    <xf numFmtId="0" fontId="15" fillId="0" borderId="7" xfId="0" applyNumberFormat="1" applyFont="1" applyBorder="1"/>
    <xf numFmtId="9" fontId="15" fillId="0" borderId="7" xfId="3" applyFont="1" applyBorder="1"/>
    <xf numFmtId="9" fontId="0" fillId="0" borderId="7" xfId="3" applyFont="1" applyBorder="1"/>
    <xf numFmtId="0" fontId="0" fillId="0" borderId="7" xfId="0" applyFill="1" applyBorder="1"/>
    <xf numFmtId="0" fontId="0" fillId="0" borderId="7" xfId="0" applyFont="1" applyFill="1" applyBorder="1"/>
    <xf numFmtId="0" fontId="26" fillId="0" borderId="0" xfId="10" applyFont="1"/>
    <xf numFmtId="43" fontId="20" fillId="5" borderId="8" xfId="2" applyFont="1" applyFill="1" applyBorder="1"/>
    <xf numFmtId="43" fontId="20" fillId="5" borderId="9" xfId="2" applyFont="1" applyFill="1" applyBorder="1" applyAlignment="1">
      <alignment horizontal="center"/>
    </xf>
    <xf numFmtId="0" fontId="25" fillId="0" borderId="7" xfId="0" applyFont="1" applyBorder="1"/>
    <xf numFmtId="9" fontId="0" fillId="0" borderId="7" xfId="0" applyNumberFormat="1" applyBorder="1"/>
    <xf numFmtId="0" fontId="15" fillId="0" borderId="0" xfId="0" applyFont="1" applyAlignment="1">
      <alignment horizontal="left" vertical="top" wrapText="1"/>
    </xf>
    <xf numFmtId="0" fontId="20" fillId="5" borderId="0" xfId="0" applyFont="1" applyFill="1" applyBorder="1" applyAlignment="1">
      <alignment horizontal="center" vertical="center"/>
    </xf>
    <xf numFmtId="10" fontId="15" fillId="0" borderId="7" xfId="3" applyNumberFormat="1" applyFont="1" applyBorder="1"/>
    <xf numFmtId="0" fontId="0" fillId="0" borderId="0" xfId="0" applyAlignment="1"/>
    <xf numFmtId="43" fontId="20" fillId="5" borderId="0" xfId="2" applyFont="1" applyFill="1" applyBorder="1" applyAlignment="1">
      <alignment horizontal="center"/>
    </xf>
    <xf numFmtId="0" fontId="16" fillId="2" borderId="0" xfId="11" applyFont="1" applyFill="1" applyBorder="1" applyAlignment="1">
      <alignment horizontal="left"/>
    </xf>
    <xf numFmtId="0" fontId="11" fillId="0" borderId="0" xfId="11"/>
    <xf numFmtId="0" fontId="16" fillId="2" borderId="0" xfId="12" applyFont="1" applyFill="1" applyBorder="1" applyAlignment="1">
      <alignment horizontal="left"/>
    </xf>
    <xf numFmtId="0" fontId="16" fillId="2" borderId="0" xfId="8" applyFont="1" applyFill="1" applyBorder="1" applyAlignment="1">
      <alignment horizontal="left"/>
    </xf>
    <xf numFmtId="0" fontId="0" fillId="0" borderId="0" xfId="0" applyFill="1" applyBorder="1"/>
    <xf numFmtId="10" fontId="0" fillId="0" borderId="0" xfId="3" applyNumberFormat="1" applyFont="1" applyFill="1" applyBorder="1"/>
    <xf numFmtId="0" fontId="10" fillId="0" borderId="0" xfId="13"/>
    <xf numFmtId="0" fontId="29" fillId="0" borderId="0" xfId="13" applyFont="1" applyBorder="1"/>
    <xf numFmtId="3" fontId="29" fillId="0" borderId="0" xfId="13" applyNumberFormat="1" applyFont="1" applyBorder="1"/>
    <xf numFmtId="0" fontId="29" fillId="0" borderId="0" xfId="11" applyFont="1" applyBorder="1"/>
    <xf numFmtId="3" fontId="29" fillId="0" borderId="0" xfId="11" applyNumberFormat="1" applyFont="1" applyBorder="1"/>
    <xf numFmtId="164" fontId="29" fillId="0" borderId="0" xfId="11" applyNumberFormat="1" applyFont="1" applyBorder="1"/>
    <xf numFmtId="0" fontId="0" fillId="0" borderId="0" xfId="0" applyAlignment="1">
      <alignment horizontal="left" wrapText="1"/>
    </xf>
    <xf numFmtId="0" fontId="16" fillId="2" borderId="0" xfId="14" applyFont="1" applyFill="1" applyBorder="1" applyAlignment="1">
      <alignment horizontal="left"/>
    </xf>
    <xf numFmtId="0" fontId="8" fillId="0" borderId="0" xfId="14"/>
    <xf numFmtId="0" fontId="29" fillId="0" borderId="0" xfId="14" applyFont="1" applyBorder="1"/>
    <xf numFmtId="3" fontId="29" fillId="0" borderId="0" xfId="14" applyNumberFormat="1" applyFont="1" applyBorder="1"/>
    <xf numFmtId="0" fontId="8" fillId="0" borderId="0" xfId="14" applyFont="1"/>
    <xf numFmtId="0" fontId="7" fillId="0" borderId="0" xfId="14" applyFont="1" applyBorder="1"/>
    <xf numFmtId="164" fontId="29" fillId="0" borderId="0" xfId="14" applyNumberFormat="1" applyFont="1" applyBorder="1"/>
    <xf numFmtId="0" fontId="0" fillId="0" borderId="0" xfId="0" applyAlignment="1"/>
    <xf numFmtId="0" fontId="30" fillId="0" borderId="0" xfId="0" applyFont="1"/>
    <xf numFmtId="0" fontId="15" fillId="0" borderId="0" xfId="0" applyFont="1" applyFill="1" applyBorder="1"/>
    <xf numFmtId="0" fontId="6" fillId="0" borderId="0" xfId="11" applyFont="1" applyBorder="1"/>
    <xf numFmtId="0" fontId="6" fillId="0" borderId="0" xfId="13" applyFont="1" applyBorder="1"/>
    <xf numFmtId="164" fontId="29" fillId="0" borderId="0" xfId="13" applyNumberFormat="1" applyFont="1" applyBorder="1"/>
    <xf numFmtId="0" fontId="6" fillId="0" borderId="0" xfId="14" applyFont="1" applyBorder="1"/>
    <xf numFmtId="0" fontId="5" fillId="0" borderId="0" xfId="10" applyFont="1"/>
    <xf numFmtId="168" fontId="0" fillId="0" borderId="0" xfId="0" applyNumberFormat="1"/>
    <xf numFmtId="0" fontId="20" fillId="5" borderId="10" xfId="0" applyFont="1" applyFill="1" applyBorder="1" applyAlignment="1">
      <alignment horizontal="center" vertical="center"/>
    </xf>
    <xf numFmtId="0" fontId="0" fillId="0" borderId="4" xfId="0" applyBorder="1"/>
    <xf numFmtId="0" fontId="0" fillId="0" borderId="10" xfId="0" applyBorder="1"/>
    <xf numFmtId="0" fontId="0" fillId="0" borderId="2" xfId="0" applyBorder="1"/>
    <xf numFmtId="168" fontId="0" fillId="0" borderId="2" xfId="0" applyNumberFormat="1" applyBorder="1"/>
    <xf numFmtId="0" fontId="20" fillId="5" borderId="12" xfId="0" applyFont="1" applyFill="1" applyBorder="1" applyAlignment="1">
      <alignment horizontal="center" vertical="center"/>
    </xf>
    <xf numFmtId="168" fontId="0" fillId="0" borderId="13" xfId="0" applyNumberFormat="1" applyBorder="1"/>
    <xf numFmtId="0" fontId="0" fillId="0" borderId="14" xfId="0" applyBorder="1"/>
    <xf numFmtId="0" fontId="20" fillId="5" borderId="9" xfId="0" applyFont="1" applyFill="1" applyBorder="1" applyAlignment="1">
      <alignment horizontal="center" vertical="center"/>
    </xf>
    <xf numFmtId="1" fontId="0" fillId="0" borderId="15" xfId="0" applyNumberFormat="1" applyBorder="1"/>
    <xf numFmtId="1" fontId="0" fillId="0" borderId="16" xfId="0" applyNumberFormat="1" applyBorder="1"/>
    <xf numFmtId="1" fontId="0" fillId="0" borderId="11" xfId="0" applyNumberFormat="1" applyBorder="1"/>
    <xf numFmtId="1" fontId="0" fillId="0" borderId="17" xfId="0" applyNumberFormat="1" applyBorder="1"/>
    <xf numFmtId="1" fontId="0" fillId="0" borderId="19" xfId="0" applyNumberFormat="1" applyBorder="1"/>
    <xf numFmtId="0" fontId="20" fillId="5" borderId="20" xfId="0" applyFont="1" applyFill="1" applyBorder="1" applyAlignment="1">
      <alignment horizontal="center" vertical="center"/>
    </xf>
    <xf numFmtId="0" fontId="20" fillId="5" borderId="21" xfId="0" applyFont="1" applyFill="1" applyBorder="1" applyAlignment="1">
      <alignment horizontal="center" vertical="center"/>
    </xf>
    <xf numFmtId="0" fontId="20" fillId="5" borderId="11" xfId="0" applyFont="1" applyFill="1" applyBorder="1" applyAlignment="1">
      <alignment horizontal="center" vertical="center"/>
    </xf>
    <xf numFmtId="0" fontId="20" fillId="5" borderId="16" xfId="0" applyFont="1" applyFill="1" applyBorder="1" applyAlignment="1">
      <alignment horizontal="center" vertical="center"/>
    </xf>
    <xf numFmtId="0" fontId="20" fillId="5" borderId="22" xfId="0" applyFont="1" applyFill="1" applyBorder="1" applyAlignment="1">
      <alignment horizontal="center" vertical="center"/>
    </xf>
    <xf numFmtId="168" fontId="0" fillId="0" borderId="14" xfId="0" applyNumberFormat="1" applyBorder="1"/>
    <xf numFmtId="0" fontId="15" fillId="0" borderId="4" xfId="0" applyFont="1" applyBorder="1"/>
    <xf numFmtId="167" fontId="15" fillId="4" borderId="11" xfId="3" applyNumberFormat="1" applyFont="1" applyFill="1" applyBorder="1"/>
    <xf numFmtId="0" fontId="0" fillId="0" borderId="11" xfId="0" applyBorder="1"/>
    <xf numFmtId="0" fontId="20" fillId="5" borderId="2" xfId="0" applyFont="1" applyFill="1" applyBorder="1" applyAlignment="1">
      <alignment horizontal="right" vertical="center"/>
    </xf>
    <xf numFmtId="169" fontId="0" fillId="0" borderId="0" xfId="0" applyNumberFormat="1" applyBorder="1"/>
    <xf numFmtId="169" fontId="0" fillId="0" borderId="18" xfId="0" applyNumberFormat="1" applyBorder="1"/>
    <xf numFmtId="0" fontId="15" fillId="0" borderId="0" xfId="3" applyNumberFormat="1" applyFont="1"/>
    <xf numFmtId="0" fontId="23" fillId="0" borderId="2" xfId="0" applyFont="1" applyBorder="1"/>
    <xf numFmtId="0" fontId="15" fillId="0" borderId="0" xfId="0" applyFont="1" applyAlignment="1">
      <alignment horizontal="left" vertical="top" wrapText="1"/>
    </xf>
    <xf numFmtId="9" fontId="15" fillId="4" borderId="11" xfId="3" applyFont="1" applyFill="1" applyBorder="1" applyAlignment="1">
      <alignment horizontal="center" vertical="center"/>
    </xf>
    <xf numFmtId="0" fontId="15" fillId="0" borderId="0" xfId="0" applyNumberFormat="1" applyFont="1" applyBorder="1"/>
    <xf numFmtId="170" fontId="15" fillId="0" borderId="0" xfId="3" applyNumberFormat="1" applyFont="1"/>
    <xf numFmtId="0" fontId="15" fillId="0" borderId="0" xfId="0" applyNumberFormat="1" applyFont="1" applyFill="1" applyBorder="1"/>
    <xf numFmtId="0" fontId="4" fillId="0" borderId="0" xfId="11" applyFont="1" applyBorder="1"/>
    <xf numFmtId="0" fontId="4" fillId="0" borderId="0" xfId="13" applyFont="1" applyBorder="1"/>
    <xf numFmtId="0" fontId="31" fillId="0" borderId="7" xfId="0" quotePrefix="1" applyFont="1" applyBorder="1"/>
    <xf numFmtId="0" fontId="31" fillId="0" borderId="7" xfId="0" applyFont="1" applyBorder="1"/>
    <xf numFmtId="165" fontId="0" fillId="0" borderId="7" xfId="0" applyNumberFormat="1" applyBorder="1"/>
    <xf numFmtId="165" fontId="15" fillId="3" borderId="35" xfId="2" applyNumberFormat="1" applyFont="1" applyFill="1" applyBorder="1" applyAlignment="1">
      <alignment horizontal="right" vertical="center"/>
    </xf>
    <xf numFmtId="1" fontId="15" fillId="0" borderId="7" xfId="3" applyNumberFormat="1" applyFont="1" applyBorder="1"/>
    <xf numFmtId="0" fontId="15" fillId="0" borderId="35" xfId="0" applyFont="1" applyBorder="1"/>
    <xf numFmtId="0" fontId="20" fillId="5" borderId="10" xfId="0" applyFont="1" applyFill="1" applyBorder="1" applyAlignment="1">
      <alignment horizontal="center" vertical="center" wrapText="1"/>
    </xf>
    <xf numFmtId="0" fontId="20" fillId="5" borderId="10" xfId="0" applyFont="1" applyFill="1" applyBorder="1" applyAlignment="1">
      <alignment wrapText="1"/>
    </xf>
    <xf numFmtId="0" fontId="15" fillId="0" borderId="24" xfId="0" applyFont="1" applyBorder="1"/>
    <xf numFmtId="0" fontId="15" fillId="0" borderId="34" xfId="0" applyFont="1" applyBorder="1"/>
    <xf numFmtId="0" fontId="32" fillId="5" borderId="6" xfId="0" applyFont="1" applyFill="1" applyBorder="1" applyAlignment="1">
      <alignment horizontal="center" vertical="center"/>
    </xf>
    <xf numFmtId="0" fontId="32" fillId="5" borderId="6" xfId="0" applyFont="1" applyFill="1" applyBorder="1" applyAlignment="1">
      <alignment horizontal="center" vertical="center" wrapText="1"/>
    </xf>
    <xf numFmtId="43" fontId="20" fillId="5" borderId="8" xfId="2" applyFont="1" applyFill="1" applyBorder="1" applyAlignment="1"/>
    <xf numFmtId="0" fontId="0" fillId="0" borderId="7" xfId="0" applyBorder="1" applyAlignment="1"/>
    <xf numFmtId="10" fontId="0" fillId="0" borderId="7" xfId="0" applyNumberFormat="1" applyBorder="1"/>
    <xf numFmtId="0" fontId="15" fillId="0" borderId="7" xfId="0" applyFont="1" applyBorder="1" applyAlignment="1">
      <alignment horizontal="right"/>
    </xf>
    <xf numFmtId="0" fontId="0" fillId="0" borderId="36" xfId="0" applyBorder="1"/>
    <xf numFmtId="0" fontId="20" fillId="5" borderId="4" xfId="0" applyFont="1" applyFill="1" applyBorder="1" applyAlignment="1">
      <alignment horizontal="right" vertical="center"/>
    </xf>
    <xf numFmtId="0" fontId="15" fillId="4" borderId="15" xfId="3" applyNumberFormat="1" applyFont="1" applyFill="1" applyBorder="1"/>
    <xf numFmtId="0" fontId="23" fillId="0" borderId="7" xfId="0" applyFont="1" applyBorder="1"/>
    <xf numFmtId="168" fontId="0" fillId="0" borderId="23" xfId="0" applyNumberFormat="1" applyBorder="1"/>
    <xf numFmtId="0" fontId="15" fillId="0" borderId="7" xfId="0" quotePrefix="1" applyNumberFormat="1" applyFont="1" applyBorder="1"/>
    <xf numFmtId="0" fontId="15" fillId="0" borderId="0" xfId="0" applyFont="1" applyBorder="1" applyAlignment="1"/>
    <xf numFmtId="0" fontId="15" fillId="0" borderId="0" xfId="0" applyFont="1" applyBorder="1" applyAlignment="1">
      <alignment vertical="top"/>
    </xf>
    <xf numFmtId="0" fontId="15" fillId="0" borderId="0" xfId="0" applyFont="1" applyBorder="1" applyAlignment="1">
      <alignment vertical="top" wrapText="1"/>
    </xf>
    <xf numFmtId="0" fontId="3" fillId="0" borderId="7" xfId="10" applyNumberFormat="1" applyFont="1" applyBorder="1"/>
    <xf numFmtId="0" fontId="3" fillId="0" borderId="0" xfId="10" applyFont="1"/>
    <xf numFmtId="0" fontId="12" fillId="0" borderId="0" xfId="10" applyBorder="1"/>
    <xf numFmtId="0" fontId="33" fillId="0" borderId="24" xfId="0" applyFont="1" applyBorder="1"/>
    <xf numFmtId="0" fontId="33" fillId="0" borderId="33" xfId="0" applyFont="1" applyBorder="1"/>
    <xf numFmtId="0" fontId="33" fillId="0" borderId="34" xfId="0" applyFont="1" applyBorder="1"/>
    <xf numFmtId="0" fontId="0" fillId="0" borderId="37" xfId="0" applyBorder="1"/>
    <xf numFmtId="0" fontId="0" fillId="0" borderId="38" xfId="0" applyBorder="1"/>
    <xf numFmtId="0" fontId="0" fillId="0" borderId="39" xfId="0" applyBorder="1"/>
    <xf numFmtId="0" fontId="2" fillId="0" borderId="7" xfId="10" applyNumberFormat="1" applyFont="1" applyBorder="1"/>
    <xf numFmtId="43" fontId="15" fillId="0" borderId="7" xfId="0" applyNumberFormat="1" applyFont="1" applyBorder="1"/>
    <xf numFmtId="0" fontId="0" fillId="0" borderId="42" xfId="0" applyBorder="1"/>
    <xf numFmtId="0" fontId="0" fillId="0" borderId="0" xfId="0" applyBorder="1" applyAlignment="1"/>
    <xf numFmtId="0" fontId="0" fillId="0" borderId="43" xfId="0" applyBorder="1" applyAlignment="1">
      <alignment horizontal="left" wrapText="1"/>
    </xf>
    <xf numFmtId="0" fontId="0" fillId="0" borderId="43" xfId="0" applyBorder="1"/>
    <xf numFmtId="0" fontId="0" fillId="0" borderId="43" xfId="0" applyBorder="1" applyAlignment="1"/>
    <xf numFmtId="43" fontId="20" fillId="5" borderId="0" xfId="2" applyFont="1" applyFill="1" applyBorder="1"/>
    <xf numFmtId="0" fontId="0" fillId="0" borderId="24" xfId="0" applyBorder="1"/>
    <xf numFmtId="0" fontId="0" fillId="0" borderId="34" xfId="0" applyBorder="1"/>
    <xf numFmtId="43" fontId="20" fillId="5" borderId="42" xfId="2" applyFont="1" applyFill="1" applyBorder="1"/>
    <xf numFmtId="9" fontId="15" fillId="0" borderId="7" xfId="3" applyNumberFormat="1" applyFont="1" applyBorder="1"/>
    <xf numFmtId="0" fontId="15" fillId="0" borderId="0" xfId="0" applyFont="1" applyAlignment="1">
      <alignment horizontal="right"/>
    </xf>
    <xf numFmtId="10" fontId="15" fillId="0" borderId="0" xfId="0" applyNumberFormat="1" applyFont="1"/>
    <xf numFmtId="9" fontId="15" fillId="0" borderId="0" xfId="0" applyNumberFormat="1" applyFont="1"/>
    <xf numFmtId="0" fontId="0" fillId="4" borderId="7" xfId="0" applyFill="1" applyBorder="1"/>
    <xf numFmtId="0" fontId="0" fillId="0" borderId="0" xfId="0" applyFont="1" applyFill="1" applyBorder="1"/>
    <xf numFmtId="0" fontId="1" fillId="0" borderId="0" xfId="11" applyFont="1" applyBorder="1"/>
    <xf numFmtId="0" fontId="11" fillId="0" borderId="0" xfId="11" applyBorder="1"/>
    <xf numFmtId="0" fontId="9" fillId="0" borderId="0" xfId="11" applyFont="1" applyBorder="1"/>
    <xf numFmtId="164" fontId="15" fillId="4" borderId="0" xfId="3" applyNumberFormat="1" applyFont="1" applyFill="1"/>
    <xf numFmtId="1" fontId="15" fillId="4" borderId="0" xfId="3" applyNumberFormat="1" applyFont="1" applyFill="1"/>
    <xf numFmtId="0" fontId="32" fillId="5" borderId="6" xfId="0" applyFont="1" applyFill="1" applyBorder="1" applyAlignment="1">
      <alignment horizontal="left" vertical="center"/>
    </xf>
    <xf numFmtId="0" fontId="34" fillId="0" borderId="0" xfId="11" applyFont="1" applyBorder="1"/>
    <xf numFmtId="164" fontId="34" fillId="0" borderId="0" xfId="11" applyNumberFormat="1" applyFont="1" applyBorder="1"/>
    <xf numFmtId="3" fontId="34" fillId="0" borderId="0" xfId="11" applyNumberFormat="1" applyFont="1" applyBorder="1"/>
    <xf numFmtId="0" fontId="34" fillId="0" borderId="44" xfId="11" applyFont="1" applyBorder="1"/>
    <xf numFmtId="3" fontId="34" fillId="0" borderId="44" xfId="11" applyNumberFormat="1" applyFont="1" applyBorder="1"/>
    <xf numFmtId="164" fontId="34" fillId="0" borderId="44" xfId="11" applyNumberFormat="1" applyFont="1" applyBorder="1"/>
    <xf numFmtId="0" fontId="29" fillId="0" borderId="44" xfId="11" applyFont="1" applyBorder="1"/>
    <xf numFmtId="3" fontId="29" fillId="0" borderId="44" xfId="11" applyNumberFormat="1" applyFont="1" applyBorder="1"/>
    <xf numFmtId="0" fontId="34" fillId="0" borderId="0" xfId="13" applyFont="1" applyBorder="1"/>
    <xf numFmtId="164" fontId="34" fillId="0" borderId="0" xfId="13" applyNumberFormat="1" applyFont="1" applyBorder="1"/>
    <xf numFmtId="3" fontId="34" fillId="0" borderId="0" xfId="13" applyNumberFormat="1" applyFont="1" applyBorder="1"/>
    <xf numFmtId="0" fontId="34" fillId="0" borderId="44" xfId="13" applyFont="1" applyBorder="1"/>
    <xf numFmtId="3" fontId="34" fillId="0" borderId="44" xfId="13" applyNumberFormat="1" applyFont="1" applyBorder="1"/>
    <xf numFmtId="164" fontId="34" fillId="0" borderId="44" xfId="13" applyNumberFormat="1" applyFont="1" applyBorder="1"/>
    <xf numFmtId="0" fontId="29" fillId="0" borderId="44" xfId="13" applyFont="1" applyBorder="1"/>
    <xf numFmtId="3" fontId="29" fillId="0" borderId="44" xfId="13" applyNumberFormat="1" applyFont="1" applyBorder="1"/>
    <xf numFmtId="0" fontId="34" fillId="0" borderId="0" xfId="14" applyFont="1" applyBorder="1"/>
    <xf numFmtId="164" fontId="34" fillId="0" borderId="0" xfId="14" applyNumberFormat="1" applyFont="1" applyBorder="1"/>
    <xf numFmtId="3" fontId="34" fillId="0" borderId="0" xfId="14" applyNumberFormat="1" applyFont="1" applyBorder="1"/>
    <xf numFmtId="0" fontId="34" fillId="0" borderId="44" xfId="14" applyFont="1" applyBorder="1"/>
    <xf numFmtId="3" fontId="34" fillId="0" borderId="44" xfId="14" applyNumberFormat="1" applyFont="1" applyBorder="1"/>
    <xf numFmtId="164" fontId="34" fillId="0" borderId="44" xfId="14" applyNumberFormat="1" applyFont="1" applyBorder="1"/>
    <xf numFmtId="0" fontId="29" fillId="0" borderId="44" xfId="14" applyFont="1" applyBorder="1"/>
    <xf numFmtId="3" fontId="29" fillId="0" borderId="44" xfId="14" applyNumberFormat="1" applyFont="1" applyBorder="1"/>
    <xf numFmtId="0" fontId="15" fillId="6" borderId="24" xfId="0" applyFont="1" applyFill="1" applyBorder="1" applyAlignment="1">
      <alignment horizontal="left"/>
    </xf>
    <xf numFmtId="0" fontId="15" fillId="6" borderId="33" xfId="0" applyFont="1" applyFill="1" applyBorder="1" applyAlignment="1">
      <alignment horizontal="left"/>
    </xf>
    <xf numFmtId="0" fontId="15" fillId="6" borderId="34" xfId="0" applyFont="1" applyFill="1" applyBorder="1" applyAlignment="1">
      <alignment horizontal="left"/>
    </xf>
    <xf numFmtId="0" fontId="15" fillId="6" borderId="26" xfId="0" applyFont="1" applyFill="1" applyBorder="1" applyAlignment="1">
      <alignment horizontal="left" vertical="top" wrapText="1"/>
    </xf>
    <xf numFmtId="0" fontId="15" fillId="6" borderId="27" xfId="0" applyFont="1" applyFill="1" applyBorder="1" applyAlignment="1">
      <alignment horizontal="left" vertical="top" wrapText="1"/>
    </xf>
    <xf numFmtId="0" fontId="15" fillId="6" borderId="28" xfId="0" applyFont="1" applyFill="1" applyBorder="1" applyAlignment="1">
      <alignment horizontal="left" vertical="top" wrapText="1"/>
    </xf>
    <xf numFmtId="0" fontId="15" fillId="6" borderId="29" xfId="0" applyFont="1" applyFill="1" applyBorder="1" applyAlignment="1">
      <alignment horizontal="left" vertical="top" wrapText="1"/>
    </xf>
    <xf numFmtId="0" fontId="15" fillId="6" borderId="0" xfId="0" applyFont="1" applyFill="1" applyBorder="1" applyAlignment="1">
      <alignment horizontal="left" vertical="top" wrapText="1"/>
    </xf>
    <xf numFmtId="0" fontId="15" fillId="6" borderId="25" xfId="0" applyFont="1" applyFill="1" applyBorder="1" applyAlignment="1">
      <alignment horizontal="left" vertical="top" wrapText="1"/>
    </xf>
    <xf numFmtId="0" fontId="15" fillId="6" borderId="30" xfId="0" applyFont="1" applyFill="1" applyBorder="1" applyAlignment="1">
      <alignment horizontal="left" vertical="top" wrapText="1"/>
    </xf>
    <xf numFmtId="0" fontId="15" fillId="6" borderId="31" xfId="0" applyFont="1" applyFill="1" applyBorder="1" applyAlignment="1">
      <alignment horizontal="left" vertical="top" wrapText="1"/>
    </xf>
    <xf numFmtId="0" fontId="15" fillId="6" borderId="32" xfId="0" applyFont="1" applyFill="1" applyBorder="1" applyAlignment="1">
      <alignment horizontal="left" vertical="top" wrapText="1"/>
    </xf>
    <xf numFmtId="0" fontId="15" fillId="6" borderId="24" xfId="0" applyFont="1" applyFill="1" applyBorder="1" applyAlignment="1">
      <alignment horizontal="left" vertical="top"/>
    </xf>
    <xf numFmtId="0" fontId="15" fillId="6" borderId="33" xfId="0" applyFont="1" applyFill="1" applyBorder="1" applyAlignment="1">
      <alignment horizontal="left" vertical="top"/>
    </xf>
    <xf numFmtId="0" fontId="15" fillId="6" borderId="34" xfId="0" applyFont="1" applyFill="1" applyBorder="1" applyAlignment="1">
      <alignment horizontal="left" vertical="top"/>
    </xf>
    <xf numFmtId="0" fontId="15" fillId="6" borderId="26" xfId="0" quotePrefix="1" applyFont="1" applyFill="1" applyBorder="1" applyAlignment="1">
      <alignment horizontal="left" vertical="center" wrapText="1"/>
    </xf>
    <xf numFmtId="0" fontId="15" fillId="6" borderId="27" xfId="0" quotePrefix="1" applyFont="1" applyFill="1" applyBorder="1" applyAlignment="1">
      <alignment horizontal="left" vertical="center" wrapText="1"/>
    </xf>
    <xf numFmtId="0" fontId="15" fillId="6" borderId="28" xfId="0" quotePrefix="1" applyFont="1" applyFill="1" applyBorder="1" applyAlignment="1">
      <alignment horizontal="left" vertical="center" wrapText="1"/>
    </xf>
    <xf numFmtId="0" fontId="15" fillId="6" borderId="30" xfId="0" quotePrefix="1" applyFont="1" applyFill="1" applyBorder="1" applyAlignment="1">
      <alignment horizontal="left" vertical="center" wrapText="1"/>
    </xf>
    <xf numFmtId="0" fontId="15" fillId="6" borderId="31" xfId="0" quotePrefix="1" applyFont="1" applyFill="1" applyBorder="1" applyAlignment="1">
      <alignment horizontal="left" vertical="center" wrapText="1"/>
    </xf>
    <xf numFmtId="0" fontId="15" fillId="6" borderId="32" xfId="0" quotePrefix="1" applyFont="1" applyFill="1" applyBorder="1" applyAlignment="1">
      <alignment horizontal="left" vertical="center" wrapText="1"/>
    </xf>
    <xf numFmtId="0" fontId="15" fillId="6" borderId="29" xfId="0" quotePrefix="1" applyFont="1" applyFill="1" applyBorder="1" applyAlignment="1">
      <alignment horizontal="left" vertical="center" wrapText="1"/>
    </xf>
    <xf numFmtId="0" fontId="15" fillId="6" borderId="0" xfId="0" quotePrefix="1" applyFont="1" applyFill="1" applyBorder="1" applyAlignment="1">
      <alignment horizontal="left" vertical="center" wrapText="1"/>
    </xf>
    <xf numFmtId="0" fontId="15" fillId="6" borderId="25" xfId="0" quotePrefix="1" applyFont="1" applyFill="1" applyBorder="1" applyAlignment="1">
      <alignment horizontal="left" vertical="center" wrapText="1"/>
    </xf>
    <xf numFmtId="0" fontId="0" fillId="0" borderId="40" xfId="0" applyBorder="1" applyAlignment="1">
      <alignment horizontal="left" wrapText="1"/>
    </xf>
    <xf numFmtId="0" fontId="0" fillId="0" borderId="41" xfId="0" applyBorder="1" applyAlignment="1">
      <alignment horizontal="left" wrapText="1"/>
    </xf>
    <xf numFmtId="0" fontId="0" fillId="7" borderId="45" xfId="0" applyFill="1" applyBorder="1" applyAlignment="1">
      <alignment horizontal="left" wrapText="1"/>
    </xf>
    <xf numFmtId="0" fontId="0" fillId="7" borderId="46" xfId="0" applyFill="1" applyBorder="1" applyAlignment="1">
      <alignment horizontal="left" wrapText="1"/>
    </xf>
    <xf numFmtId="0" fontId="0" fillId="7" borderId="47" xfId="0" applyFill="1" applyBorder="1" applyAlignment="1">
      <alignment horizontal="left" wrapText="1"/>
    </xf>
    <xf numFmtId="0" fontId="0" fillId="7" borderId="48" xfId="0" applyFill="1" applyBorder="1" applyAlignment="1">
      <alignment horizontal="left" wrapText="1"/>
    </xf>
    <xf numFmtId="0" fontId="0" fillId="7" borderId="0" xfId="0" applyFill="1" applyBorder="1" applyAlignment="1">
      <alignment horizontal="left" wrapText="1"/>
    </xf>
    <xf numFmtId="0" fontId="0" fillId="7" borderId="49" xfId="0" applyFill="1" applyBorder="1" applyAlignment="1">
      <alignment horizontal="left" wrapText="1"/>
    </xf>
    <xf numFmtId="0" fontId="0" fillId="7" borderId="50" xfId="0" applyFill="1" applyBorder="1" applyAlignment="1">
      <alignment horizontal="left" wrapText="1"/>
    </xf>
    <xf numFmtId="0" fontId="0" fillId="7" borderId="44" xfId="0" applyFill="1" applyBorder="1" applyAlignment="1">
      <alignment horizontal="left" wrapText="1"/>
    </xf>
    <xf numFmtId="0" fontId="0" fillId="7" borderId="51" xfId="0" applyFill="1" applyBorder="1" applyAlignment="1">
      <alignment horizontal="left" wrapText="1"/>
    </xf>
    <xf numFmtId="0" fontId="0" fillId="7" borderId="26" xfId="0" applyFill="1" applyBorder="1" applyAlignment="1">
      <alignment horizontal="left" wrapText="1"/>
    </xf>
    <xf numFmtId="0" fontId="0" fillId="7" borderId="27" xfId="0" applyFill="1" applyBorder="1" applyAlignment="1">
      <alignment horizontal="left" wrapText="1"/>
    </xf>
    <xf numFmtId="0" fontId="0" fillId="7" borderId="28" xfId="0" applyFill="1" applyBorder="1" applyAlignment="1">
      <alignment horizontal="left" wrapText="1"/>
    </xf>
    <xf numFmtId="0" fontId="0" fillId="7" borderId="29" xfId="0" applyFill="1" applyBorder="1" applyAlignment="1">
      <alignment horizontal="left" wrapText="1"/>
    </xf>
    <xf numFmtId="0" fontId="0" fillId="7" borderId="25" xfId="0" applyFill="1" applyBorder="1" applyAlignment="1">
      <alignment horizontal="left" wrapText="1"/>
    </xf>
    <xf numFmtId="0" fontId="0" fillId="7" borderId="30" xfId="0" applyFill="1" applyBorder="1" applyAlignment="1">
      <alignment horizontal="left" wrapText="1"/>
    </xf>
    <xf numFmtId="0" fontId="0" fillId="7" borderId="31" xfId="0" applyFill="1" applyBorder="1" applyAlignment="1">
      <alignment horizontal="left" wrapText="1"/>
    </xf>
    <xf numFmtId="0" fontId="0" fillId="7" borderId="32" xfId="0" applyFill="1" applyBorder="1" applyAlignment="1">
      <alignment horizontal="left" wrapText="1"/>
    </xf>
    <xf numFmtId="0" fontId="0" fillId="0" borderId="42" xfId="0" applyBorder="1" applyAlignment="1">
      <alignment horizontal="left"/>
    </xf>
    <xf numFmtId="0" fontId="0" fillId="7" borderId="52" xfId="0" applyFill="1" applyBorder="1" applyAlignment="1">
      <alignment horizontal="left" wrapText="1"/>
    </xf>
    <xf numFmtId="0" fontId="0" fillId="7" borderId="53" xfId="0" applyFill="1" applyBorder="1" applyAlignment="1">
      <alignment horizontal="left" wrapText="1"/>
    </xf>
    <xf numFmtId="0" fontId="0" fillId="7" borderId="54" xfId="0" applyFill="1" applyBorder="1" applyAlignment="1">
      <alignment horizontal="left" wrapText="1"/>
    </xf>
  </cellXfs>
  <cellStyles count="15">
    <cellStyle name="Comma" xfId="2" builtinId="3"/>
    <cellStyle name="Comma 2" xfId="6"/>
    <cellStyle name="Comma0" xfId="1"/>
    <cellStyle name="Normal" xfId="0" builtinId="0"/>
    <cellStyle name="Normal 2" xfId="4"/>
    <cellStyle name="Normal 2 2" xfId="5"/>
    <cellStyle name="Normal 2 2 2" xfId="12"/>
    <cellStyle name="Normal 3" xfId="8"/>
    <cellStyle name="Normal 4" xfId="9"/>
    <cellStyle name="Normal 4 2" xfId="10"/>
    <cellStyle name="Normal 5" xfId="11"/>
    <cellStyle name="Normal 5 2" xfId="13"/>
    <cellStyle name="Normal 5 3" xfId="14"/>
    <cellStyle name="Percent" xfId="3" builtinId="5"/>
    <cellStyle name="Percent 2" xfId="7"/>
  </cellStyles>
  <dxfs count="1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D6DCE4"/>
      <color rgb="FFFFFFCC"/>
      <color rgb="FFFFFF96"/>
      <color rgb="FFFFFF64"/>
      <color rgb="FF103A5F"/>
      <color rgb="FFCCFFFF"/>
      <color rgb="FF741D6A"/>
      <color rgb="FFF05153"/>
      <color rgb="FFC89947"/>
      <color rgb="FF099A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Graph!$A$12</c:f>
          <c:strCache>
            <c:ptCount val="1"/>
            <c:pt idx="0">
              <c:v>#N/A</c:v>
            </c:pt>
          </c:strCache>
        </c:strRef>
      </c:tx>
      <c:layout>
        <c:manualLayout>
          <c:xMode val="edge"/>
          <c:yMode val="edge"/>
          <c:x val="0.1107794296644062"/>
          <c:y val="3.3797312572577128E-2"/>
        </c:manualLayout>
      </c:layout>
      <c:overlay val="0"/>
      <c:spPr>
        <a:solidFill>
          <a:sysClr val="window" lastClr="FFFFFF"/>
        </a:solidFill>
        <a:ln>
          <a:noFill/>
        </a:ln>
        <a:effectLst/>
      </c:spPr>
      <c:txPr>
        <a:bodyPr rot="0" spcFirstLastPara="1" vertOverflow="ellipsis" vert="horz" wrap="square" anchor="ctr" anchorCtr="1"/>
        <a:lstStyle/>
        <a:p>
          <a:pPr algn="ctr">
            <a:defRPr sz="95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1"/>
          <c:tx>
            <c:strRef>
              <c:f>Graph!$A$4</c:f>
              <c:strCache>
                <c:ptCount val="1"/>
                <c:pt idx="0">
                  <c:v>FDI (IIC) Stock</c:v>
                </c:pt>
              </c:strCache>
            </c:strRef>
          </c:tx>
          <c:spPr>
            <a:ln w="28575" cap="rnd">
              <a:solidFill>
                <a:srgbClr val="099AAD"/>
              </a:solidFill>
              <a:round/>
            </a:ln>
            <a:effectLst/>
          </c:spPr>
          <c:marker>
            <c:symbol val="square"/>
            <c:size val="5"/>
            <c:spPr>
              <a:solidFill>
                <a:schemeClr val="accent2"/>
              </a:solidFill>
              <a:ln w="9525">
                <a:solidFill>
                  <a:schemeClr val="accent2"/>
                </a:solidFill>
              </a:ln>
              <a:effectLst/>
            </c:spPr>
          </c:marker>
          <c:cat>
            <c:numRef>
              <c:f>Graph!$B$3:$K$3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Graph!$B$4:$K$4</c:f>
              <c:numCache>
                <c:formatCode>[&lt;10]0.0;[&gt;=10]0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1-F497-4BC1-B77D-138F22A6D75A}"/>
            </c:ext>
          </c:extLst>
        </c:ser>
        <c:ser>
          <c:idx val="3"/>
          <c:order val="3"/>
          <c:tx>
            <c:strRef>
              <c:f>Graph!$A$6</c:f>
              <c:strCache>
                <c:ptCount val="1"/>
                <c:pt idx="0">
                  <c:v>CDIA (IIC) Stock</c:v>
                </c:pt>
              </c:strCache>
            </c:strRef>
          </c:tx>
          <c:spPr>
            <a:ln w="28575" cap="rnd">
              <a:solidFill>
                <a:srgbClr val="F05153"/>
              </a:solidFill>
              <a:round/>
            </a:ln>
            <a:effectLst/>
          </c:spPr>
          <c:marker>
            <c:symbol val="triangle"/>
            <c:size val="5"/>
            <c:spPr>
              <a:solidFill>
                <a:schemeClr val="accent4"/>
              </a:solidFill>
              <a:ln w="9525">
                <a:solidFill>
                  <a:schemeClr val="accent4"/>
                </a:solidFill>
              </a:ln>
              <a:effectLst/>
            </c:spPr>
          </c:marker>
          <c:cat>
            <c:numRef>
              <c:f>Graph!$B$3:$K$3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Graph!$B$6:$K$6</c:f>
              <c:numCache>
                <c:formatCode>[&lt;10]0.0;[&gt;=10]0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3-F497-4BC1-B77D-138F22A6D75A}"/>
            </c:ext>
          </c:extLst>
        </c:ser>
        <c:dLbls>
          <c:showLegendKey val="0"/>
          <c:showVal val="0"/>
          <c:showCatName val="0"/>
          <c:showSerName val="0"/>
          <c:showPercent val="0"/>
          <c:showBubbleSize val="0"/>
        </c:dLbls>
        <c:marker val="1"/>
        <c:smooth val="0"/>
        <c:axId val="631163344"/>
        <c:axId val="631156456"/>
        <c:extLst>
          <c:ext xmlns:c15="http://schemas.microsoft.com/office/drawing/2012/chart" uri="{02D57815-91ED-43cb-92C2-25804820EDAC}">
            <c15:filteredLineSeries>
              <c15:ser>
                <c:idx val="0"/>
                <c:order val="0"/>
                <c:tx>
                  <c:strRef>
                    <c:extLst>
                      <c:ext uri="{02D57815-91ED-43cb-92C2-25804820EDAC}">
                        <c15:formulaRef>
                          <c15:sqref>Graph!$A$5</c15:sqref>
                        </c15:formulaRef>
                      </c:ext>
                    </c:extLst>
                    <c:strCache>
                      <c:ptCount val="1"/>
                      <c:pt idx="0">
                        <c:v>FDI (UIC) Stock</c:v>
                      </c:pt>
                    </c:strCache>
                  </c:strRef>
                </c:tx>
                <c:spPr>
                  <a:ln w="28575" cap="rnd">
                    <a:solidFill>
                      <a:srgbClr val="C89947"/>
                    </a:solidFill>
                    <a:round/>
                  </a:ln>
                  <a:effectLst/>
                </c:spPr>
                <c:marker>
                  <c:symbol val="none"/>
                </c:marker>
                <c:cat>
                  <c:numRef>
                    <c:extLst>
                      <c:ext uri="{02D57815-91ED-43cb-92C2-25804820EDAC}">
                        <c15:formulaRef>
                          <c15:sqref>Graph!$B$3:$K$3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c:ext uri="{02D57815-91ED-43cb-92C2-25804820EDAC}">
                        <c15:formulaRef>
                          <c15:sqref>Graph!$B$5:$K$5</c15:sqref>
                        </c15:formulaRef>
                      </c:ext>
                    </c:extLst>
                    <c:numCache>
                      <c:formatCode>[&lt;10]0.0;[&gt;=10]0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0-F497-4BC1-B77D-138F22A6D75A}"/>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Graph!#REF!</c15:sqref>
                        </c15:formulaRef>
                      </c:ext>
                    </c:extLst>
                    <c:strCache>
                      <c:ptCount val="1"/>
                      <c:pt idx="0">
                        <c:v>#REF!</c:v>
                      </c:pt>
                    </c:strCache>
                  </c:strRef>
                </c:tx>
                <c:spPr>
                  <a:ln w="28575" cap="rnd">
                    <a:solidFill>
                      <a:srgbClr val="741D6A"/>
                    </a:solidFill>
                    <a:round/>
                  </a:ln>
                  <a:effectLst/>
                </c:spPr>
                <c:marker>
                  <c:symbol val="none"/>
                </c:marker>
                <c:cat>
                  <c:numRef>
                    <c:extLst xmlns:c15="http://schemas.microsoft.com/office/drawing/2012/chart">
                      <c:ext xmlns:c15="http://schemas.microsoft.com/office/drawing/2012/chart" uri="{02D57815-91ED-43cb-92C2-25804820EDAC}">
                        <c15:formulaRef>
                          <c15:sqref>Graph!$B$3:$K$3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2-F497-4BC1-B77D-138F22A6D75A}"/>
                  </c:ext>
                </c:extLst>
              </c15:ser>
            </c15:filteredLineSeries>
          </c:ext>
        </c:extLst>
      </c:lineChart>
      <c:catAx>
        <c:axId val="6311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56456"/>
        <c:crosses val="autoZero"/>
        <c:auto val="1"/>
        <c:lblAlgn val="ctr"/>
        <c:lblOffset val="100"/>
        <c:noMultiLvlLbl val="0"/>
      </c:catAx>
      <c:valAx>
        <c:axId val="631156456"/>
        <c:scaling>
          <c:orientation val="minMax"/>
        </c:scaling>
        <c:delete val="0"/>
        <c:axPos val="l"/>
        <c:majorGridlines>
          <c:spPr>
            <a:ln w="952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6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Graph!$A$13</c:f>
          <c:strCache>
            <c:ptCount val="1"/>
            <c:pt idx="0">
              <c:v>#N/A</c:v>
            </c:pt>
          </c:strCache>
        </c:strRef>
      </c:tx>
      <c:layout>
        <c:manualLayout>
          <c:xMode val="edge"/>
          <c:yMode val="edge"/>
          <c:x val="0.1107794296644062"/>
          <c:y val="3.3797312572577128E-2"/>
        </c:manualLayout>
      </c:layout>
      <c:overlay val="0"/>
      <c:spPr>
        <a:solidFill>
          <a:sysClr val="window" lastClr="FFFFFF"/>
        </a:solidFill>
        <a:ln>
          <a:noFill/>
        </a:ln>
        <a:effectLst/>
      </c:spPr>
      <c:txPr>
        <a:bodyPr rot="0" spcFirstLastPara="1" vertOverflow="ellipsis" vert="horz" wrap="square" anchor="ctr" anchorCtr="1"/>
        <a:lstStyle/>
        <a:p>
          <a:pPr algn="ctr">
            <a:defRPr sz="95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v>Stock d'IDE (PIU)</c:v>
          </c:tx>
          <c:spPr>
            <a:ln w="28575" cap="rnd">
              <a:solidFill>
                <a:srgbClr val="C89947"/>
              </a:solidFill>
              <a:round/>
            </a:ln>
            <a:effectLst/>
          </c:spPr>
          <c:marker>
            <c:symbol val="none"/>
          </c:marker>
          <c:cat>
            <c:numRef>
              <c:f>Graph!$B$3:$K$3</c:f>
              <c:numCache>
                <c:formatCode>General</c:formatCode>
                <c:ptCount val="10"/>
                <c:pt idx="0">
                  <c:v>-9</c:v>
                </c:pt>
                <c:pt idx="1">
                  <c:v>-8</c:v>
                </c:pt>
                <c:pt idx="2">
                  <c:v>-7</c:v>
                </c:pt>
                <c:pt idx="3">
                  <c:v>-6</c:v>
                </c:pt>
                <c:pt idx="4">
                  <c:v>-5</c:v>
                </c:pt>
                <c:pt idx="5">
                  <c:v>-4</c:v>
                </c:pt>
                <c:pt idx="6">
                  <c:v>-3</c:v>
                </c:pt>
                <c:pt idx="7">
                  <c:v>-2</c:v>
                </c:pt>
                <c:pt idx="8">
                  <c:v>-1</c:v>
                </c:pt>
                <c:pt idx="9">
                  <c:v>0</c:v>
                </c:pt>
              </c:numCache>
              <c:extLst xmlns:c15="http://schemas.microsoft.com/office/drawing/2012/chart"/>
            </c:numRef>
          </c:cat>
          <c:val>
            <c:numRef>
              <c:f>Graph!$B$5:$K$5</c:f>
              <c:numCache>
                <c:formatCode>[&lt;10]0.0;[&gt;=10]0</c:formatCode>
                <c:ptCount val="10"/>
                <c:pt idx="0">
                  <c:v>#N/A</c:v>
                </c:pt>
                <c:pt idx="1">
                  <c:v>#N/A</c:v>
                </c:pt>
                <c:pt idx="2">
                  <c:v>#N/A</c:v>
                </c:pt>
                <c:pt idx="3">
                  <c:v>#N/A</c:v>
                </c:pt>
                <c:pt idx="4">
                  <c:v>#N/A</c:v>
                </c:pt>
                <c:pt idx="5">
                  <c:v>#N/A</c:v>
                </c:pt>
                <c:pt idx="6">
                  <c:v>#N/A</c:v>
                </c:pt>
                <c:pt idx="7">
                  <c:v>#N/A</c:v>
                </c:pt>
                <c:pt idx="8">
                  <c:v>#N/A</c:v>
                </c:pt>
                <c:pt idx="9">
                  <c:v>#N/A</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E1B7-42B1-9304-971FA05B9324}"/>
            </c:ext>
          </c:extLst>
        </c:ser>
        <c:ser>
          <c:idx val="1"/>
          <c:order val="1"/>
          <c:tx>
            <c:v>Stock d'IDE (PII)</c:v>
          </c:tx>
          <c:spPr>
            <a:ln w="28575" cap="rnd">
              <a:solidFill>
                <a:srgbClr val="099AAD"/>
              </a:solidFill>
              <a:round/>
            </a:ln>
            <a:effectLst/>
          </c:spPr>
          <c:marker>
            <c:symbol val="square"/>
            <c:size val="5"/>
            <c:spPr>
              <a:solidFill>
                <a:schemeClr val="accent2"/>
              </a:solidFill>
              <a:ln w="9525">
                <a:solidFill>
                  <a:schemeClr val="accent2"/>
                </a:solidFill>
              </a:ln>
              <a:effectLst/>
            </c:spPr>
          </c:marker>
          <c:cat>
            <c:numRef>
              <c:f>Graph!$B$3:$K$3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Graph!$B$4:$K$4</c:f>
              <c:numCache>
                <c:formatCode>[&lt;10]0.0;[&gt;=10]0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1-E1B7-42B1-9304-971FA05B9324}"/>
            </c:ext>
          </c:extLst>
        </c:ser>
        <c:ser>
          <c:idx val="3"/>
          <c:order val="3"/>
          <c:tx>
            <c:v>Stock d'IDCE (PII)</c:v>
          </c:tx>
          <c:spPr>
            <a:ln w="28575" cap="rnd">
              <a:solidFill>
                <a:srgbClr val="F05153"/>
              </a:solidFill>
              <a:round/>
            </a:ln>
            <a:effectLst/>
          </c:spPr>
          <c:marker>
            <c:symbol val="triangle"/>
            <c:size val="5"/>
            <c:spPr>
              <a:solidFill>
                <a:schemeClr val="accent4"/>
              </a:solidFill>
              <a:ln w="9525">
                <a:solidFill>
                  <a:schemeClr val="accent4"/>
                </a:solidFill>
              </a:ln>
              <a:effectLst/>
            </c:spPr>
          </c:marker>
          <c:cat>
            <c:numRef>
              <c:f>Graph!$B$3:$K$3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Graph!$B$6:$K$6</c:f>
              <c:numCache>
                <c:formatCode>[&lt;10]0.0;[&gt;=10]0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2-E1B7-42B1-9304-971FA05B9324}"/>
            </c:ext>
          </c:extLst>
        </c:ser>
        <c:dLbls>
          <c:showLegendKey val="0"/>
          <c:showVal val="0"/>
          <c:showCatName val="0"/>
          <c:showSerName val="0"/>
          <c:showPercent val="0"/>
          <c:showBubbleSize val="0"/>
        </c:dLbls>
        <c:smooth val="0"/>
        <c:axId val="631163344"/>
        <c:axId val="631156456"/>
        <c:extLst>
          <c:ext xmlns:c15="http://schemas.microsoft.com/office/drawing/2012/chart" uri="{02D57815-91ED-43cb-92C2-25804820EDAC}">
            <c15:filteredLineSeries>
              <c15:ser>
                <c:idx val="2"/>
                <c:order val="2"/>
                <c:tx>
                  <c:strRef>
                    <c:extLst>
                      <c:ext uri="{02D57815-91ED-43cb-92C2-25804820EDAC}">
                        <c15:formulaRef>
                          <c15:sqref>Graph!#REF!</c15:sqref>
                        </c15:formulaRef>
                      </c:ext>
                    </c:extLst>
                    <c:strCache>
                      <c:ptCount val="1"/>
                      <c:pt idx="0">
                        <c:v>#REF!</c:v>
                      </c:pt>
                    </c:strCache>
                  </c:strRef>
                </c:tx>
                <c:spPr>
                  <a:ln w="28575" cap="rnd">
                    <a:solidFill>
                      <a:srgbClr val="741D6A"/>
                    </a:solidFill>
                    <a:round/>
                  </a:ln>
                  <a:effectLst/>
                </c:spPr>
                <c:marker>
                  <c:symbol val="none"/>
                </c:marker>
                <c:cat>
                  <c:numRef>
                    <c:extLst>
                      <c:ext uri="{02D57815-91ED-43cb-92C2-25804820EDAC}">
                        <c15:formulaRef>
                          <c15:sqref>Graph!$B$3:$K$3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c:ext uri="{02D57815-91ED-43cb-92C2-25804820EDAC}">
                        <c15:formulaRef>
                          <c15:sqref>Graph!#REF!</c15:sqref>
                        </c15:formulaRef>
                      </c:ext>
                    </c:extLst>
                    <c:numCache>
                      <c:formatCode>General</c:formatCode>
                      <c:ptCount val="1"/>
                      <c:pt idx="0">
                        <c:v>1</c:v>
                      </c:pt>
                    </c:numCache>
                  </c:numRef>
                </c:val>
                <c:smooth val="0"/>
                <c:extLst>
                  <c:ext xmlns:c16="http://schemas.microsoft.com/office/drawing/2014/chart" uri="{C3380CC4-5D6E-409C-BE32-E72D297353CC}">
                    <c16:uniqueId val="{00000003-E1B7-42B1-9304-971FA05B9324}"/>
                  </c:ext>
                </c:extLst>
              </c15:ser>
            </c15:filteredLineSeries>
          </c:ext>
        </c:extLst>
      </c:lineChart>
      <c:catAx>
        <c:axId val="6311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56456"/>
        <c:crosses val="autoZero"/>
        <c:auto val="1"/>
        <c:lblAlgn val="ctr"/>
        <c:lblOffset val="100"/>
        <c:noMultiLvlLbl val="0"/>
      </c:catAx>
      <c:valAx>
        <c:axId val="631156456"/>
        <c:scaling>
          <c:orientation val="minMax"/>
        </c:scaling>
        <c:delete val="0"/>
        <c:axPos val="l"/>
        <c:majorGridlines>
          <c:spPr>
            <a:ln w="952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6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(2)'!$A$12</c:f>
          <c:strCache>
            <c:ptCount val="1"/>
            <c:pt idx="0">
              <c:v>#N/A</c:v>
            </c:pt>
          </c:strCache>
        </c:strRef>
      </c:tx>
      <c:layout>
        <c:manualLayout>
          <c:xMode val="edge"/>
          <c:yMode val="edge"/>
          <c:x val="9.9737871674491399E-2"/>
          <c:y val="2.3998194493204273E-2"/>
        </c:manualLayout>
      </c:layout>
      <c:overlay val="0"/>
      <c:spPr>
        <a:solidFill>
          <a:sysClr val="window" lastClr="FFFFFF"/>
        </a:solidFill>
        <a:ln>
          <a:noFill/>
        </a:ln>
        <a:effectLst/>
      </c:spPr>
      <c:txPr>
        <a:bodyPr rot="0" spcFirstLastPara="1" vertOverflow="ellipsis" vert="horz" wrap="square" anchor="ctr" anchorCtr="1"/>
        <a:lstStyle/>
        <a:p>
          <a:pPr algn="ctr">
            <a:defRPr sz="95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1"/>
          <c:tx>
            <c:strRef>
              <c:f>'Graph (2)'!$A$4</c:f>
              <c:strCache>
                <c:ptCount val="1"/>
                <c:pt idx="0">
                  <c:v>FDI (IIC) Stock</c:v>
                </c:pt>
              </c:strCache>
            </c:strRef>
          </c:tx>
          <c:spPr>
            <a:ln w="28575" cap="rnd">
              <a:solidFill>
                <a:srgbClr val="099AAD"/>
              </a:solidFill>
              <a:round/>
            </a:ln>
            <a:effectLst/>
          </c:spPr>
          <c:marker>
            <c:symbol val="square"/>
            <c:size val="5"/>
            <c:spPr>
              <a:solidFill>
                <a:schemeClr val="accent2"/>
              </a:solidFill>
              <a:ln w="9525">
                <a:solidFill>
                  <a:schemeClr val="accent2"/>
                </a:solidFill>
              </a:ln>
              <a:effectLst/>
            </c:spPr>
          </c:marker>
          <c:cat>
            <c:numRef>
              <c:f>'Graph (2)'!$B$3:$K$3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 (2)'!$B$4:$K$4</c:f>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1-73FD-4334-85DE-ABC74DE17673}"/>
            </c:ext>
          </c:extLst>
        </c:ser>
        <c:dLbls>
          <c:showLegendKey val="0"/>
          <c:showVal val="0"/>
          <c:showCatName val="0"/>
          <c:showSerName val="0"/>
          <c:showPercent val="0"/>
          <c:showBubbleSize val="0"/>
        </c:dLbls>
        <c:marker val="1"/>
        <c:smooth val="0"/>
        <c:axId val="631163344"/>
        <c:axId val="631156456"/>
        <c:extLst>
          <c:ext xmlns:c15="http://schemas.microsoft.com/office/drawing/2012/chart" uri="{02D57815-91ED-43cb-92C2-25804820EDAC}">
            <c15:filteredLineSeries>
              <c15:ser>
                <c:idx val="0"/>
                <c:order val="0"/>
                <c:tx>
                  <c:strRef>
                    <c:extLst>
                      <c:ext uri="{02D57815-91ED-43cb-92C2-25804820EDAC}">
                        <c15:formulaRef>
                          <c15:sqref>'Graph (2)'!$A$5</c15:sqref>
                        </c15:formulaRef>
                      </c:ext>
                    </c:extLst>
                    <c:strCache>
                      <c:ptCount val="1"/>
                      <c:pt idx="0">
                        <c:v>FDI (UIC) Stock</c:v>
                      </c:pt>
                    </c:strCache>
                  </c:strRef>
                </c:tx>
                <c:spPr>
                  <a:ln w="28575" cap="rnd">
                    <a:solidFill>
                      <a:srgbClr val="C89947"/>
                    </a:solidFill>
                    <a:round/>
                  </a:ln>
                  <a:effectLst/>
                </c:spPr>
                <c:marker>
                  <c:symbol val="none"/>
                </c:marker>
                <c:cat>
                  <c:numRef>
                    <c:extLst>
                      <c:ex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c:ext uri="{02D57815-91ED-43cb-92C2-25804820EDAC}">
                        <c15:formulaRef>
                          <c15:sqref>'Graph (2)'!$B$5:$K$5</c15:sqref>
                        </c15:formulaRef>
                      </c:ext>
                    </c:extLst>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0-73FD-4334-85DE-ABC74DE17673}"/>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Graph!#REF!</c15:sqref>
                        </c15:formulaRef>
                      </c:ext>
                    </c:extLst>
                    <c:strCache>
                      <c:ptCount val="1"/>
                      <c:pt idx="0">
                        <c:v>#REF!</c:v>
                      </c:pt>
                    </c:strCache>
                  </c:strRef>
                </c:tx>
                <c:spPr>
                  <a:ln w="28575" cap="rnd">
                    <a:solidFill>
                      <a:srgbClr val="741D6A"/>
                    </a:solidFill>
                    <a:round/>
                  </a:ln>
                  <a:effectLst/>
                </c:spPr>
                <c:marker>
                  <c:symbol val="none"/>
                </c:marker>
                <c:cat>
                  <c:numRef>
                    <c:extLst xmlns:c15="http://schemas.microsoft.com/office/drawing/2012/chart">
                      <c:ext xmlns:c15="http://schemas.microsoft.com/office/drawing/2012/char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2-73FD-4334-85DE-ABC74DE17673}"/>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'Graph (2)'!$A$6</c15:sqref>
                        </c15:formulaRef>
                      </c:ext>
                    </c:extLst>
                    <c:strCache>
                      <c:ptCount val="1"/>
                      <c:pt idx="0">
                        <c:v>CDIA (IIC) Stock</c:v>
                      </c:pt>
                    </c:strCache>
                  </c:strRef>
                </c:tx>
                <c:spPr>
                  <a:ln w="28575" cap="rnd">
                    <a:solidFill>
                      <a:srgbClr val="F05153"/>
                    </a:solidFill>
                    <a:round/>
                  </a:ln>
                  <a:effectLst/>
                </c:spPr>
                <c:marker>
                  <c:symbol val="none"/>
                </c:marker>
                <c:cat>
                  <c:numRef>
                    <c:extLst xmlns:c15="http://schemas.microsoft.com/office/drawing/2012/chart">
                      <c:ext xmlns:c15="http://schemas.microsoft.com/office/drawing/2012/char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 (2)'!$B$6:$K$6</c15:sqref>
                        </c15:formulaRef>
                      </c:ext>
                    </c:extLst>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3-73FD-4334-85DE-ABC74DE17673}"/>
                  </c:ext>
                </c:extLst>
              </c15:ser>
            </c15:filteredLineSeries>
          </c:ext>
        </c:extLst>
      </c:lineChart>
      <c:catAx>
        <c:axId val="6311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56456"/>
        <c:crosses val="autoZero"/>
        <c:auto val="1"/>
        <c:lblAlgn val="ctr"/>
        <c:lblOffset val="100"/>
        <c:noMultiLvlLbl val="0"/>
      </c:catAx>
      <c:valAx>
        <c:axId val="631156456"/>
        <c:scaling>
          <c:orientation val="minMax"/>
        </c:scaling>
        <c:delete val="0"/>
        <c:axPos val="l"/>
        <c:majorGridlines>
          <c:spPr>
            <a:ln w="952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6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(2)'!$H$12</c:f>
          <c:strCache>
            <c:ptCount val="1"/>
            <c:pt idx="0">
              <c:v>#N/A</c:v>
            </c:pt>
          </c:strCache>
        </c:strRef>
      </c:tx>
      <c:layout>
        <c:manualLayout>
          <c:xMode val="edge"/>
          <c:yMode val="edge"/>
          <c:x val="0.1328625456442358"/>
          <c:y val="2.3998194493204273E-2"/>
        </c:manualLayout>
      </c:layout>
      <c:overlay val="0"/>
      <c:spPr>
        <a:solidFill>
          <a:sysClr val="window" lastClr="FFFFFF"/>
        </a:solidFill>
        <a:ln>
          <a:noFill/>
        </a:ln>
        <a:effectLst/>
      </c:spPr>
      <c:txPr>
        <a:bodyPr rot="0" spcFirstLastPara="1" vertOverflow="ellipsis" vert="horz" wrap="square" anchor="ctr" anchorCtr="1"/>
        <a:lstStyle/>
        <a:p>
          <a:pPr algn="ctr">
            <a:defRPr sz="95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3"/>
          <c:order val="3"/>
          <c:tx>
            <c:strRef>
              <c:f>'Graph (2)'!$A$6</c:f>
              <c:strCache>
                <c:ptCount val="1"/>
                <c:pt idx="0">
                  <c:v>CDIA (IIC) Stock</c:v>
                </c:pt>
              </c:strCache>
            </c:strRef>
          </c:tx>
          <c:spPr>
            <a:ln w="28575" cap="rnd">
              <a:solidFill>
                <a:srgbClr val="F05153"/>
              </a:solidFill>
              <a:round/>
            </a:ln>
            <a:effectLst/>
          </c:spPr>
          <c:marker>
            <c:symbol val="none"/>
          </c:marker>
          <c:cat>
            <c:numRef>
              <c:f>'Graph (2)'!$B$3:$K$3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 (2)'!$B$6:$K$6</c:f>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3-52CC-43F1-8534-BE82A5A51299}"/>
            </c:ext>
          </c:extLst>
        </c:ser>
        <c:dLbls>
          <c:showLegendKey val="0"/>
          <c:showVal val="0"/>
          <c:showCatName val="0"/>
          <c:showSerName val="0"/>
          <c:showPercent val="0"/>
          <c:showBubbleSize val="0"/>
        </c:dLbls>
        <c:smooth val="0"/>
        <c:axId val="631163344"/>
        <c:axId val="631156456"/>
        <c:extLst>
          <c:ext xmlns:c15="http://schemas.microsoft.com/office/drawing/2012/chart" uri="{02D57815-91ED-43cb-92C2-25804820EDAC}">
            <c15:filteredLineSeries>
              <c15:ser>
                <c:idx val="0"/>
                <c:order val="0"/>
                <c:tx>
                  <c:strRef>
                    <c:extLst>
                      <c:ext uri="{02D57815-91ED-43cb-92C2-25804820EDAC}">
                        <c15:formulaRef>
                          <c15:sqref>'Graph (2)'!$A$5</c15:sqref>
                        </c15:formulaRef>
                      </c:ext>
                    </c:extLst>
                    <c:strCache>
                      <c:ptCount val="1"/>
                      <c:pt idx="0">
                        <c:v>FDI (UIC) Stock</c:v>
                      </c:pt>
                    </c:strCache>
                  </c:strRef>
                </c:tx>
                <c:spPr>
                  <a:ln w="28575" cap="rnd">
                    <a:solidFill>
                      <a:srgbClr val="C89947"/>
                    </a:solidFill>
                    <a:round/>
                  </a:ln>
                  <a:effectLst/>
                </c:spPr>
                <c:marker>
                  <c:symbol val="none"/>
                </c:marker>
                <c:cat>
                  <c:numRef>
                    <c:extLst>
                      <c:ex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c:ext uri="{02D57815-91ED-43cb-92C2-25804820EDAC}">
                        <c15:formulaRef>
                          <c15:sqref>'Graph (2)'!$B$5:$K$5</c15:sqref>
                        </c15:formulaRef>
                      </c:ext>
                    </c:extLst>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0-52CC-43F1-8534-BE82A5A51299}"/>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'Graph (2)'!$A$4</c15:sqref>
                        </c15:formulaRef>
                      </c:ext>
                    </c:extLst>
                    <c:strCache>
                      <c:ptCount val="1"/>
                      <c:pt idx="0">
                        <c:v>FDI (IIC) Stock</c:v>
                      </c:pt>
                    </c:strCache>
                  </c:strRef>
                </c:tx>
                <c:spPr>
                  <a:ln w="28575" cap="rnd">
                    <a:solidFill>
                      <a:srgbClr val="099AAD"/>
                    </a:solidFill>
                    <a:round/>
                  </a:ln>
                  <a:effectLst/>
                </c:spPr>
                <c:marker>
                  <c:symbol val="none"/>
                </c:marker>
                <c:cat>
                  <c:numRef>
                    <c:extLst xmlns:c15="http://schemas.microsoft.com/office/drawing/2012/chart">
                      <c:ext xmlns:c15="http://schemas.microsoft.com/office/drawing/2012/char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 (2)'!$B$4:$K$4</c15:sqref>
                        </c15:formulaRef>
                      </c:ext>
                    </c:extLst>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1-52CC-43F1-8534-BE82A5A51299}"/>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Graph!#REF!</c15:sqref>
                        </c15:formulaRef>
                      </c:ext>
                    </c:extLst>
                    <c:strCache>
                      <c:ptCount val="1"/>
                      <c:pt idx="0">
                        <c:v>#REF!</c:v>
                      </c:pt>
                    </c:strCache>
                  </c:strRef>
                </c:tx>
                <c:spPr>
                  <a:ln w="28575" cap="rnd">
                    <a:solidFill>
                      <a:srgbClr val="741D6A"/>
                    </a:solidFill>
                    <a:round/>
                  </a:ln>
                  <a:effectLst/>
                </c:spPr>
                <c:marker>
                  <c:symbol val="none"/>
                </c:marker>
                <c:cat>
                  <c:numRef>
                    <c:extLst xmlns:c15="http://schemas.microsoft.com/office/drawing/2012/chart">
                      <c:ext xmlns:c15="http://schemas.microsoft.com/office/drawing/2012/char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2-52CC-43F1-8534-BE82A5A51299}"/>
                  </c:ext>
                </c:extLst>
              </c15:ser>
            </c15:filteredLineSeries>
          </c:ext>
        </c:extLst>
      </c:lineChart>
      <c:catAx>
        <c:axId val="6311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56456"/>
        <c:crosses val="autoZero"/>
        <c:auto val="1"/>
        <c:lblAlgn val="ctr"/>
        <c:lblOffset val="100"/>
        <c:noMultiLvlLbl val="0"/>
      </c:catAx>
      <c:valAx>
        <c:axId val="631156456"/>
        <c:scaling>
          <c:orientation val="minMax"/>
        </c:scaling>
        <c:delete val="0"/>
        <c:axPos val="l"/>
        <c:majorGridlines>
          <c:spPr>
            <a:ln w="952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6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(2)'!$A$13</c:f>
          <c:strCache>
            <c:ptCount val="1"/>
            <c:pt idx="0">
              <c:v>#N/A</c:v>
            </c:pt>
          </c:strCache>
        </c:strRef>
      </c:tx>
      <c:layout>
        <c:manualLayout>
          <c:xMode val="edge"/>
          <c:yMode val="edge"/>
          <c:x val="9.9737871674491399E-2"/>
          <c:y val="2.3998194493204273E-2"/>
        </c:manualLayout>
      </c:layout>
      <c:overlay val="0"/>
      <c:spPr>
        <a:solidFill>
          <a:sysClr val="window" lastClr="FFFFFF"/>
        </a:solidFill>
        <a:ln>
          <a:noFill/>
        </a:ln>
        <a:effectLst/>
      </c:spPr>
      <c:txPr>
        <a:bodyPr rot="0" spcFirstLastPara="1" vertOverflow="ellipsis" vert="horz" wrap="square" anchor="ctr" anchorCtr="1"/>
        <a:lstStyle/>
        <a:p>
          <a:pPr algn="ctr">
            <a:defRPr sz="95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v>Stock d'IDE (PIU)</c:v>
          </c:tx>
          <c:spPr>
            <a:ln w="28575" cap="rnd">
              <a:solidFill>
                <a:srgbClr val="C89947"/>
              </a:solidFill>
              <a:round/>
            </a:ln>
            <a:effectLst/>
          </c:spPr>
          <c:marker>
            <c:symbol val="none"/>
          </c:marker>
          <c:cat>
            <c:numRef>
              <c:f>'Graph (2)'!$B$3:$K$3</c:f>
              <c:numCache>
                <c:formatCode>General</c:formatCode>
                <c:ptCount val="10"/>
                <c:pt idx="0">
                  <c:v>-9</c:v>
                </c:pt>
                <c:pt idx="1">
                  <c:v>-8</c:v>
                </c:pt>
                <c:pt idx="2">
                  <c:v>-7</c:v>
                </c:pt>
                <c:pt idx="3">
                  <c:v>-6</c:v>
                </c:pt>
                <c:pt idx="4">
                  <c:v>-5</c:v>
                </c:pt>
                <c:pt idx="5">
                  <c:v>-4</c:v>
                </c:pt>
                <c:pt idx="6">
                  <c:v>-3</c:v>
                </c:pt>
                <c:pt idx="7">
                  <c:v>-2</c:v>
                </c:pt>
                <c:pt idx="8">
                  <c:v>-1</c:v>
                </c:pt>
                <c:pt idx="9">
                  <c:v>0</c:v>
                </c:pt>
              </c:numCache>
              <c:extLst xmlns:c15="http://schemas.microsoft.com/office/drawing/2012/chart"/>
            </c:numRef>
          </c:cat>
          <c:val>
            <c:numRef>
              <c:f>'Graph (2)'!$B$5:$K$5</c:f>
              <c:numCache>
                <c:formatCode>[&lt;10]0.0;0</c:formatCode>
                <c:ptCount val="10"/>
                <c:pt idx="0">
                  <c:v>#N/A</c:v>
                </c:pt>
                <c:pt idx="1">
                  <c:v>#N/A</c:v>
                </c:pt>
                <c:pt idx="2">
                  <c:v>#N/A</c:v>
                </c:pt>
                <c:pt idx="3">
                  <c:v>#N/A</c:v>
                </c:pt>
                <c:pt idx="4">
                  <c:v>#N/A</c:v>
                </c:pt>
                <c:pt idx="5">
                  <c:v>#N/A</c:v>
                </c:pt>
                <c:pt idx="6">
                  <c:v>#N/A</c:v>
                </c:pt>
                <c:pt idx="7">
                  <c:v>#N/A</c:v>
                </c:pt>
                <c:pt idx="8">
                  <c:v>#N/A</c:v>
                </c:pt>
                <c:pt idx="9">
                  <c:v>#N/A</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68BB-42DD-A663-505A0DE07337}"/>
            </c:ext>
          </c:extLst>
        </c:ser>
        <c:ser>
          <c:idx val="1"/>
          <c:order val="1"/>
          <c:tx>
            <c:v>Stock d'IDE (PII)</c:v>
          </c:tx>
          <c:spPr>
            <a:ln w="28575" cap="rnd">
              <a:solidFill>
                <a:srgbClr val="099AAD"/>
              </a:solidFill>
              <a:round/>
            </a:ln>
            <a:effectLst/>
          </c:spPr>
          <c:marker>
            <c:symbol val="square"/>
            <c:size val="5"/>
            <c:spPr>
              <a:solidFill>
                <a:schemeClr val="accent2"/>
              </a:solidFill>
              <a:ln w="9525">
                <a:solidFill>
                  <a:schemeClr val="accent2"/>
                </a:solidFill>
              </a:ln>
              <a:effectLst/>
            </c:spPr>
          </c:marker>
          <c:cat>
            <c:numRef>
              <c:f>'Graph (2)'!$B$3:$K$3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 (2)'!$B$4:$K$4</c:f>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1-68BB-42DD-A663-505A0DE07337}"/>
            </c:ext>
          </c:extLst>
        </c:ser>
        <c:dLbls>
          <c:showLegendKey val="0"/>
          <c:showVal val="0"/>
          <c:showCatName val="0"/>
          <c:showSerName val="0"/>
          <c:showPercent val="0"/>
          <c:showBubbleSize val="0"/>
        </c:dLbls>
        <c:smooth val="0"/>
        <c:axId val="631163344"/>
        <c:axId val="631156456"/>
        <c:extLst>
          <c:ext xmlns:c15="http://schemas.microsoft.com/office/drawing/2012/chart" uri="{02D57815-91ED-43cb-92C2-25804820EDAC}">
            <c15:filteredLineSeries>
              <c15:ser>
                <c:idx val="2"/>
                <c:order val="2"/>
                <c:tx>
                  <c:strRef>
                    <c:extLst>
                      <c:ext uri="{02D57815-91ED-43cb-92C2-25804820EDAC}">
                        <c15:formulaRef>
                          <c15:sqref>Graph!#REF!</c15:sqref>
                        </c15:formulaRef>
                      </c:ext>
                    </c:extLst>
                    <c:strCache>
                      <c:ptCount val="1"/>
                      <c:pt idx="0">
                        <c:v>#REF!</c:v>
                      </c:pt>
                    </c:strCache>
                  </c:strRef>
                </c:tx>
                <c:spPr>
                  <a:ln w="28575" cap="rnd">
                    <a:solidFill>
                      <a:srgbClr val="741D6A"/>
                    </a:solidFill>
                    <a:round/>
                  </a:ln>
                  <a:effectLst/>
                </c:spPr>
                <c:marker>
                  <c:symbol val="none"/>
                </c:marker>
                <c:cat>
                  <c:numRef>
                    <c:extLst>
                      <c:ex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c:ext uri="{02D57815-91ED-43cb-92C2-25804820EDAC}">
                        <c15:formulaRef>
                          <c15:sqref>Graph!#REF!</c15:sqref>
                        </c15:formulaRef>
                      </c:ext>
                    </c:extLst>
                    <c:numCache>
                      <c:formatCode>General</c:formatCode>
                      <c:ptCount val="1"/>
                      <c:pt idx="0">
                        <c:v>1</c:v>
                      </c:pt>
                    </c:numCache>
                  </c:numRef>
                </c:val>
                <c:smooth val="0"/>
                <c:extLst>
                  <c:ext xmlns:c16="http://schemas.microsoft.com/office/drawing/2014/chart" uri="{C3380CC4-5D6E-409C-BE32-E72D297353CC}">
                    <c16:uniqueId val="{00000002-68BB-42DD-A663-505A0DE07337}"/>
                  </c:ext>
                </c:extLst>
              </c15:ser>
            </c15:filteredLineSeries>
            <c15:filteredLineSeries>
              <c15:ser>
                <c:idx val="3"/>
                <c:order val="3"/>
                <c:tx>
                  <c:v>Stock d'IDCE (PII)</c:v>
                </c:tx>
                <c:spPr>
                  <a:ln w="28575" cap="rnd">
                    <a:solidFill>
                      <a:srgbClr val="F05153"/>
                    </a:solidFill>
                    <a:round/>
                  </a:ln>
                  <a:effectLst/>
                </c:spPr>
                <c:marker>
                  <c:symbol val="none"/>
                </c:marker>
                <c:cat>
                  <c:numRef>
                    <c:extLst xmlns:c15="http://schemas.microsoft.com/office/drawing/2012/chart">
                      <c:ext xmlns:c15="http://schemas.microsoft.com/office/drawing/2012/char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 (2)'!$B$6:$K$6</c15:sqref>
                        </c15:formulaRef>
                      </c:ext>
                    </c:extLst>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3-68BB-42DD-A663-505A0DE07337}"/>
                  </c:ext>
                </c:extLst>
              </c15:ser>
            </c15:filteredLineSeries>
          </c:ext>
        </c:extLst>
      </c:lineChart>
      <c:catAx>
        <c:axId val="6311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56456"/>
        <c:crosses val="autoZero"/>
        <c:auto val="1"/>
        <c:lblAlgn val="ctr"/>
        <c:lblOffset val="100"/>
        <c:noMultiLvlLbl val="0"/>
      </c:catAx>
      <c:valAx>
        <c:axId val="631156456"/>
        <c:scaling>
          <c:orientation val="minMax"/>
        </c:scaling>
        <c:delete val="0"/>
        <c:axPos val="l"/>
        <c:majorGridlines>
          <c:spPr>
            <a:ln w="952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6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(2)'!$H$13</c:f>
          <c:strCache>
            <c:ptCount val="1"/>
            <c:pt idx="0">
              <c:v>#N/A</c:v>
            </c:pt>
          </c:strCache>
        </c:strRef>
      </c:tx>
      <c:layout>
        <c:manualLayout>
          <c:xMode val="edge"/>
          <c:yMode val="edge"/>
          <c:x val="0.1328625456442358"/>
          <c:y val="2.3998194493204273E-2"/>
        </c:manualLayout>
      </c:layout>
      <c:overlay val="0"/>
      <c:spPr>
        <a:solidFill>
          <a:sysClr val="window" lastClr="FFFFFF"/>
        </a:solidFill>
        <a:ln>
          <a:noFill/>
        </a:ln>
        <a:effectLst/>
      </c:spPr>
      <c:txPr>
        <a:bodyPr rot="0" spcFirstLastPara="1" vertOverflow="ellipsis" vert="horz" wrap="square" anchor="ctr" anchorCtr="1"/>
        <a:lstStyle/>
        <a:p>
          <a:pPr algn="ctr">
            <a:defRPr sz="95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3"/>
          <c:order val="3"/>
          <c:tx>
            <c:v>Stock d'IDCE (PII)</c:v>
          </c:tx>
          <c:spPr>
            <a:ln w="28575" cap="rnd">
              <a:solidFill>
                <a:srgbClr val="F05153"/>
              </a:solidFill>
              <a:round/>
            </a:ln>
            <a:effectLst/>
          </c:spPr>
          <c:marker>
            <c:symbol val="none"/>
          </c:marker>
          <c:cat>
            <c:numRef>
              <c:f>'Graph (2)'!$B$3:$K$3</c:f>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f>'Graph (2)'!$B$6:$K$6</c:f>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0-021A-46A0-B2AD-3600F0FEFB7F}"/>
            </c:ext>
          </c:extLst>
        </c:ser>
        <c:dLbls>
          <c:showLegendKey val="0"/>
          <c:showVal val="0"/>
          <c:showCatName val="0"/>
          <c:showSerName val="0"/>
          <c:showPercent val="0"/>
          <c:showBubbleSize val="0"/>
        </c:dLbls>
        <c:smooth val="0"/>
        <c:axId val="631163344"/>
        <c:axId val="631156456"/>
        <c:extLst>
          <c:ext xmlns:c15="http://schemas.microsoft.com/office/drawing/2012/chart" uri="{02D57815-91ED-43cb-92C2-25804820EDAC}">
            <c15:filteredLineSeries>
              <c15:ser>
                <c:idx val="0"/>
                <c:order val="0"/>
                <c:tx>
                  <c:v>Stock d'IDE (PIU)</c:v>
                </c:tx>
                <c:spPr>
                  <a:ln w="28575" cap="rnd">
                    <a:solidFill>
                      <a:srgbClr val="C89947"/>
                    </a:solidFill>
                    <a:round/>
                  </a:ln>
                  <a:effectLst/>
                </c:spPr>
                <c:marker>
                  <c:symbol val="none"/>
                </c:marker>
                <c:cat>
                  <c:numRef>
                    <c:extLst>
                      <c:ex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c:ext uri="{02D57815-91ED-43cb-92C2-25804820EDAC}">
                        <c15:formulaRef>
                          <c15:sqref>'Graph (2)'!$B$5:$K$5</c15:sqref>
                        </c15:formulaRef>
                      </c:ext>
                    </c:extLst>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c:ext xmlns:c16="http://schemas.microsoft.com/office/drawing/2014/chart" uri="{C3380CC4-5D6E-409C-BE32-E72D297353CC}">
                    <c16:uniqueId val="{00000001-021A-46A0-B2AD-3600F0FEFB7F}"/>
                  </c:ext>
                </c:extLst>
              </c15:ser>
            </c15:filteredLineSeries>
            <c15:filteredLineSeries>
              <c15:ser>
                <c:idx val="1"/>
                <c:order val="1"/>
                <c:tx>
                  <c:v>Stock d'IDE (PII)</c:v>
                </c:tx>
                <c:spPr>
                  <a:ln w="28575" cap="rnd">
                    <a:solidFill>
                      <a:srgbClr val="099AAD"/>
                    </a:solidFill>
                    <a:round/>
                  </a:ln>
                  <a:effectLst/>
                </c:spPr>
                <c:marker>
                  <c:symbol val="none"/>
                </c:marker>
                <c:cat>
                  <c:numRef>
                    <c:extLst xmlns:c15="http://schemas.microsoft.com/office/drawing/2012/chart">
                      <c:ext xmlns:c15="http://schemas.microsoft.com/office/drawing/2012/char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 (2)'!$B$4:$K$4</c15:sqref>
                        </c15:formulaRef>
                      </c:ext>
                    </c:extLst>
                    <c:numCache>
                      <c:formatCode>[&lt;10]0.0;0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2-021A-46A0-B2AD-3600F0FEFB7F}"/>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Graph!#REF!</c15:sqref>
                        </c15:formulaRef>
                      </c:ext>
                    </c:extLst>
                    <c:strCache>
                      <c:ptCount val="1"/>
                      <c:pt idx="0">
                        <c:v>#REF!</c:v>
                      </c:pt>
                    </c:strCache>
                  </c:strRef>
                </c:tx>
                <c:spPr>
                  <a:ln w="28575" cap="rnd">
                    <a:solidFill>
                      <a:srgbClr val="741D6A"/>
                    </a:solidFill>
                    <a:round/>
                  </a:ln>
                  <a:effectLst/>
                </c:spPr>
                <c:marker>
                  <c:symbol val="none"/>
                </c:marker>
                <c:cat>
                  <c:numRef>
                    <c:extLst xmlns:c15="http://schemas.microsoft.com/office/drawing/2012/chart">
                      <c:ext xmlns:c15="http://schemas.microsoft.com/office/drawing/2012/chart" uri="{02D57815-91ED-43cb-92C2-25804820EDAC}">
                        <c15:formulaRef>
                          <c15:sqref>'Graph (2)'!$B$3:$K$3</c15:sqref>
                        </c15:formulaRef>
                      </c:ext>
                    </c:extLst>
                    <c:numCache>
                      <c:formatCode>General</c:formatCode>
                      <c:ptCount val="10"/>
                      <c:pt idx="0">
                        <c:v>-9</c:v>
                      </c:pt>
                      <c:pt idx="1">
                        <c:v>-8</c:v>
                      </c:pt>
                      <c:pt idx="2">
                        <c:v>-7</c:v>
                      </c:pt>
                      <c:pt idx="3">
                        <c:v>-6</c:v>
                      </c:pt>
                      <c:pt idx="4">
                        <c:v>-5</c:v>
                      </c:pt>
                      <c:pt idx="5">
                        <c:v>-4</c:v>
                      </c:pt>
                      <c:pt idx="6">
                        <c:v>-3</c:v>
                      </c:pt>
                      <c:pt idx="7">
                        <c:v>-2</c:v>
                      </c:pt>
                      <c:pt idx="8">
                        <c:v>-1</c:v>
                      </c:pt>
                      <c:pt idx="9">
                        <c:v>0</c:v>
                      </c:pt>
                    </c:numCache>
                  </c:numRef>
                </c:cat>
                <c:val>
                  <c:numRef>
                    <c:extLst xmlns:c15="http://schemas.microsoft.com/office/drawing/2012/chart">
                      <c:ext xmlns:c15="http://schemas.microsoft.com/office/drawing/2012/chart" uri="{02D57815-91ED-43cb-92C2-25804820EDAC}">
                        <c15:formulaRef>
                          <c15:sqref>Graph!#REF!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3-021A-46A0-B2AD-3600F0FEFB7F}"/>
                  </c:ext>
                </c:extLst>
              </c15:ser>
            </c15:filteredLineSeries>
          </c:ext>
        </c:extLst>
      </c:lineChart>
      <c:catAx>
        <c:axId val="63116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56456"/>
        <c:crosses val="autoZero"/>
        <c:auto val="1"/>
        <c:lblAlgn val="ctr"/>
        <c:lblOffset val="100"/>
        <c:noMultiLvlLbl val="0"/>
      </c:catAx>
      <c:valAx>
        <c:axId val="631156456"/>
        <c:scaling>
          <c:orientation val="minMax"/>
        </c:scaling>
        <c:delete val="0"/>
        <c:axPos val="l"/>
        <c:majorGridlines>
          <c:spPr>
            <a:ln w="9525" cap="flat" cmpd="sng" algn="ctr">
              <a:solidFill>
                <a:schemeClr val="bg1">
                  <a:lumMod val="7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631163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5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bg1">
          <a:lumMod val="75000"/>
        </a:schemeClr>
      </a:solidFill>
      <a:round/>
    </a:ln>
    <a:effectLst/>
  </c:spPr>
  <c:txPr>
    <a:bodyPr/>
    <a:lstStyle/>
    <a:p>
      <a:pPr>
        <a:defRPr>
          <a:solidFill>
            <a:schemeClr val="tx1"/>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xdr:col>
      <xdr:colOff>25400</xdr:colOff>
      <xdr:row>14</xdr:row>
      <xdr:rowOff>101600</xdr:rowOff>
    </xdr:from>
    <xdr:to>
      <xdr:col>9</xdr:col>
      <xdr:colOff>359000</xdr:colOff>
      <xdr:row>30</xdr:row>
      <xdr:rowOff>153670</xdr:rowOff>
    </xdr:to>
    <xdr:graphicFrame macro="">
      <xdr:nvGraphicFramePr>
        <xdr:cNvPr id="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44450</xdr:colOff>
      <xdr:row>14</xdr:row>
      <xdr:rowOff>101600</xdr:rowOff>
    </xdr:from>
    <xdr:to>
      <xdr:col>16</xdr:col>
      <xdr:colOff>409800</xdr:colOff>
      <xdr:row>30</xdr:row>
      <xdr:rowOff>153670</xdr:rowOff>
    </xdr:to>
    <xdr:graphicFrame macro="">
      <xdr:nvGraphicFramePr>
        <xdr:cNvPr id="3" name="Chart 1 F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14</xdr:row>
      <xdr:rowOff>152400</xdr:rowOff>
    </xdr:from>
    <xdr:to>
      <xdr:col>6</xdr:col>
      <xdr:colOff>530450</xdr:colOff>
      <xdr:row>31</xdr:row>
      <xdr:rowOff>45720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15</xdr:row>
      <xdr:rowOff>0</xdr:rowOff>
    </xdr:from>
    <xdr:to>
      <xdr:col>14</xdr:col>
      <xdr:colOff>333600</xdr:colOff>
      <xdr:row>31</xdr:row>
      <xdr:rowOff>52070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32</xdr:row>
      <xdr:rowOff>0</xdr:rowOff>
    </xdr:from>
    <xdr:to>
      <xdr:col>6</xdr:col>
      <xdr:colOff>530450</xdr:colOff>
      <xdr:row>48</xdr:row>
      <xdr:rowOff>52070</xdr:rowOff>
    </xdr:to>
    <xdr:graphicFrame macro="">
      <xdr:nvGraphicFramePr>
        <xdr:cNvPr id="5" name="Chart 2 F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6350</xdr:colOff>
      <xdr:row>32</xdr:row>
      <xdr:rowOff>0</xdr:rowOff>
    </xdr:from>
    <xdr:to>
      <xdr:col>14</xdr:col>
      <xdr:colOff>339950</xdr:colOff>
      <xdr:row>48</xdr:row>
      <xdr:rowOff>52070</xdr:rowOff>
    </xdr:to>
    <xdr:graphicFrame macro="">
      <xdr:nvGraphicFramePr>
        <xdr:cNvPr id="6" name="Chart 3 F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CE New Branding 2020">
  <a:themeElements>
    <a:clrScheme name="Office of the Chief Economist">
      <a:dk1>
        <a:srgbClr val="103A5F"/>
      </a:dk1>
      <a:lt1>
        <a:srgbClr val="FFFFFF"/>
      </a:lt1>
      <a:dk2>
        <a:srgbClr val="44546A"/>
      </a:dk2>
      <a:lt2>
        <a:srgbClr val="E7E6E6"/>
      </a:lt2>
      <a:accent1>
        <a:srgbClr val="F05153"/>
      </a:accent1>
      <a:accent2>
        <a:srgbClr val="099AAD"/>
      </a:accent2>
      <a:accent3>
        <a:srgbClr val="741D69"/>
      </a:accent3>
      <a:accent4>
        <a:srgbClr val="8C3781"/>
      </a:accent4>
      <a:accent5>
        <a:srgbClr val="C89947"/>
      </a:accent5>
      <a:accent6>
        <a:srgbClr val="F38583"/>
      </a:accent6>
      <a:hlink>
        <a:srgbClr val="46C2C9"/>
      </a:hlink>
      <a:folHlink>
        <a:srgbClr val="954F72"/>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L85"/>
  <sheetViews>
    <sheetView showGridLines="0" tabSelected="1" topLeftCell="BA28" zoomScale="85" zoomScaleNormal="85" workbookViewId="0">
      <selection activeCell="BA37" sqref="BA37"/>
    </sheetView>
  </sheetViews>
  <sheetFormatPr defaultColWidth="8.6328125" defaultRowHeight="12.5" x14ac:dyDescent="0.25"/>
  <cols>
    <col min="1" max="1" width="20.6328125" style="1" bestFit="1" customWidth="1"/>
    <col min="2" max="11" width="12.36328125" style="1" customWidth="1"/>
    <col min="12" max="12" width="4" style="1" customWidth="1"/>
    <col min="13" max="14" width="10" style="1" customWidth="1"/>
    <col min="15" max="15" width="14.90625" style="1" customWidth="1"/>
    <col min="16" max="20" width="8.6328125" style="1"/>
    <col min="21" max="21" width="6.81640625" style="1" customWidth="1"/>
    <col min="22" max="22" width="27.08984375" style="1" bestFit="1" customWidth="1"/>
    <col min="23" max="23" width="21.26953125" style="1" customWidth="1"/>
    <col min="24" max="24" width="10.81640625" style="1" customWidth="1"/>
    <col min="25" max="28" width="8.6328125" style="1"/>
    <col min="29" max="29" width="16.1796875" style="1" bestFit="1" customWidth="1"/>
    <col min="30" max="30" width="17.36328125" style="1" bestFit="1" customWidth="1"/>
    <col min="31" max="31" width="55.54296875" style="1" customWidth="1"/>
    <col min="32" max="32" width="120.08984375" style="1" bestFit="1" customWidth="1"/>
    <col min="33" max="33" width="10.7265625" style="1" bestFit="1" customWidth="1"/>
    <col min="34" max="34" width="7.1796875" style="1" bestFit="1" customWidth="1"/>
    <col min="35" max="35" width="6.54296875" style="1" customWidth="1"/>
    <col min="36" max="36" width="9.08984375" style="1" customWidth="1"/>
    <col min="37" max="37" width="6.90625" style="1" bestFit="1" customWidth="1"/>
    <col min="38" max="38" width="9.08984375" style="1" bestFit="1" customWidth="1"/>
    <col min="39" max="39" width="7.1796875" style="1" customWidth="1"/>
    <col min="40" max="40" width="8.08984375" style="1" bestFit="1" customWidth="1"/>
    <col min="41" max="41" width="15.90625" style="1" customWidth="1"/>
    <col min="42" max="42" width="8.08984375" style="1" customWidth="1"/>
    <col min="43" max="43" width="5.90625" style="1" bestFit="1" customWidth="1"/>
    <col min="44" max="44" width="15.6328125" style="1" bestFit="1" customWidth="1"/>
    <col min="45" max="45" width="102.1796875" style="1" customWidth="1"/>
    <col min="46" max="47" width="8.6328125" style="1"/>
    <col min="48" max="48" width="29.81640625" style="1" bestFit="1" customWidth="1"/>
    <col min="49" max="49" width="22" style="1" customWidth="1"/>
    <col min="50" max="50" width="21.81640625" style="1" bestFit="1" customWidth="1"/>
    <col min="51" max="51" width="27.08984375" style="1" bestFit="1" customWidth="1"/>
    <col min="52" max="52" width="55.54296875" style="1" customWidth="1"/>
    <col min="53" max="53" width="149" style="1" customWidth="1"/>
    <col min="54" max="54" width="9.90625" style="1" customWidth="1"/>
    <col min="55" max="55" width="10.08984375" style="1" customWidth="1"/>
    <col min="56" max="56" width="138" style="1" customWidth="1"/>
    <col min="57" max="16384" width="8.6328125" style="1"/>
  </cols>
  <sheetData>
    <row r="1" spans="1:56" x14ac:dyDescent="0.25">
      <c r="A1" s="22" t="s">
        <v>267</v>
      </c>
      <c r="Q1" s="20"/>
      <c r="R1" s="185" t="s">
        <v>386</v>
      </c>
      <c r="S1" s="193">
        <v>0.4</v>
      </c>
    </row>
    <row r="2" spans="1:56" x14ac:dyDescent="0.25">
      <c r="A2" s="20"/>
      <c r="B2" s="168" t="e">
        <f>INDEX(countries,MATCH(country,countries_row,0),MATCH("Regions",countries_col,0))</f>
        <v>#N/A</v>
      </c>
      <c r="C2" s="168" t="e">
        <f>INDEX(countries,MATCH(country,countries_row,0),MATCH("Régions",countries_col,0))</f>
        <v>#N/A</v>
      </c>
      <c r="D2" s="168" t="e">
        <f>INDEX(countries,MATCH(continent,countries_row,0),MATCH("Adjectivals",countries_col,0))</f>
        <v>#N/A</v>
      </c>
      <c r="E2" s="168" t="e">
        <f>INDEX(countries,MATCH(continent,countries_row,0),MATCH("Adjectif",countries_col,0))</f>
        <v>#N/A</v>
      </c>
      <c r="F2" s="168" t="e">
        <f>INDEX(countries,MATCH(continent,countries_row,0),MATCH("Adjectif Plural",countries_col,0))</f>
        <v>#N/A</v>
      </c>
      <c r="G2" s="168" t="e">
        <f>INDEX(countries,MATCH(continent,countries_row,0),MATCH("Féminin",countries_col,0))</f>
        <v>#N/A</v>
      </c>
      <c r="H2" s="168" t="e">
        <f>INDEX(countries,MATCH(continent,countries_row,0),MATCH("Féminin Plural",countries_col,0))</f>
        <v>#N/A</v>
      </c>
      <c r="I2" s="168" t="e">
        <f>IF(INDEX(countries,MATCH(continent,countries_row,0),MATCH("Prefix",countries_col,0))=0,"",INDEX(countries,MATCH(continent,countries_row,0),MATCH("Prefix",countries_col,0)))</f>
        <v>#N/A</v>
      </c>
      <c r="J2" s="168" t="e">
        <f>IF(INDEX(countries,MATCH(continent,countries_row,0),MATCH("Article",countries_col,0))=0,"",INDEX(countries,MATCH(continent,countries_row,0),MATCH("Article",countries_col,0)))</f>
        <v>#N/A</v>
      </c>
      <c r="K2" s="168" t="e">
        <f>IF(INDEX(countries,MATCH(continent,countries_row,0),MATCH("Préfixe2",countries_col,0))=0,"",INDEX(countries,MATCH(continent,countries_row,0),MATCH("Préfixe2",countries_col,0)))</f>
        <v>#N/A</v>
      </c>
      <c r="L2" s="169" t="e">
        <f>IF(INDEX(countries,MATCH(continent,countries_row,0),MATCH("Préfixe3",countries_col,0))=0,"",INDEX(countries,MATCH(continent,countries_row,0),MATCH("Préfixe3",countries_col,0)))</f>
        <v>#N/A</v>
      </c>
      <c r="M2"/>
      <c r="R2" s="185" t="s">
        <v>387</v>
      </c>
      <c r="S2" s="193">
        <v>8.5000000000000006E-2</v>
      </c>
      <c r="W2" s="45"/>
    </row>
    <row r="3" spans="1:56" x14ac:dyDescent="0.25">
      <c r="A3" s="17" t="s">
        <v>19</v>
      </c>
      <c r="C3" s="167" t="e">
        <f>INDEX(countries,MATCH(country,countries_row,0),MATCH("Nom",countries_col,0))</f>
        <v>#N/A</v>
      </c>
      <c r="D3" s="168" t="e">
        <f>INDEX(countries,MATCH(country,countries_row,0),MATCH("Adjectivals",countries_col,0))</f>
        <v>#N/A</v>
      </c>
      <c r="E3" s="168" t="e">
        <f>INDEX(countries,MATCH(country,countries_row,0),MATCH("Adjectif",countries_col,0))</f>
        <v>#N/A</v>
      </c>
      <c r="F3" s="168" t="e">
        <f>INDEX(countries,MATCH(country,countries_row,0),MATCH("Adjectif Plural",countries_col,0))</f>
        <v>#N/A</v>
      </c>
      <c r="G3" s="168" t="e">
        <f>INDEX(countries,MATCH(country,countries_row,0),MATCH("Féminin",countries_col,0))</f>
        <v>#N/A</v>
      </c>
      <c r="H3" s="168" t="e">
        <f>INDEX(countries,MATCH(country,countries_row,0),MATCH("Féminin Plural",countries_col,0))</f>
        <v>#N/A</v>
      </c>
      <c r="I3" s="168" t="e">
        <f>IF(INDEX(countries,MATCH(country,countries_row,0),MATCH("Prefix",countries_col,0))=0,"",INDEX(countries,MATCH(country,countries_row,0),MATCH("Prefix",countries_col,0)))</f>
        <v>#N/A</v>
      </c>
      <c r="J3" s="168" t="e">
        <f>IF(INDEX(countries,MATCH(country,countries_row,0),MATCH("Article",countries_col,0))=0,"",INDEX(countries,MATCH(country,countries_row,0),MATCH("Article",countries_col,0)))</f>
        <v>#N/A</v>
      </c>
      <c r="K3" s="168" t="e">
        <f>IF(INDEX(countries,MATCH(country,countries_row,0),MATCH("Préfixe2",countries_col,0))=0,"",INDEX(countries,MATCH(country,countries_row,0),MATCH("Préfixe2",countries_col,0)))</f>
        <v>#N/A</v>
      </c>
      <c r="L3" s="169" t="e">
        <f>IF(INDEX(countries,MATCH(country,countries_row,0),MATCH("Préfixe3",countries_col,0))=0,"",INDEX(countries,MATCH(country,countries_row,0),MATCH("Préfixe3",countries_col,0)))</f>
        <v>#N/A</v>
      </c>
      <c r="M3"/>
      <c r="R3" s="185" t="s">
        <v>388</v>
      </c>
      <c r="S3" s="194">
        <v>4</v>
      </c>
      <c r="T3" s="1" t="s">
        <v>389</v>
      </c>
      <c r="W3" s="45"/>
    </row>
    <row r="4" spans="1:56" ht="13" x14ac:dyDescent="0.3">
      <c r="A4" s="7" t="s">
        <v>258</v>
      </c>
      <c r="N4" s="147" t="s">
        <v>200</v>
      </c>
      <c r="O4" s="148">
        <f>MIN(B15:K15)</f>
        <v>0</v>
      </c>
      <c r="Q4" s="1" t="s">
        <v>283</v>
      </c>
      <c r="U4" s="45"/>
      <c r="AU4" s="1" t="s">
        <v>195</v>
      </c>
    </row>
    <row r="5" spans="1:56" ht="41.75" customHeight="1" x14ac:dyDescent="0.3">
      <c r="A5" s="10"/>
      <c r="B5" s="11">
        <f>maxyear-9</f>
        <v>-9</v>
      </c>
      <c r="C5" s="11">
        <f>maxyear-8</f>
        <v>-8</v>
      </c>
      <c r="D5" s="11">
        <f>maxyear-7</f>
        <v>-7</v>
      </c>
      <c r="E5" s="11">
        <f>maxyear-6</f>
        <v>-6</v>
      </c>
      <c r="F5" s="11">
        <f>maxyear-5</f>
        <v>-5</v>
      </c>
      <c r="G5" s="11">
        <f>maxyear-4</f>
        <v>-4</v>
      </c>
      <c r="H5" s="11">
        <f>maxyear-3</f>
        <v>-3</v>
      </c>
      <c r="I5" s="11">
        <f>maxyear-2</f>
        <v>-2</v>
      </c>
      <c r="J5" s="11">
        <f>maxyear-1</f>
        <v>-1</v>
      </c>
      <c r="K5" s="11">
        <f>maxyear</f>
        <v>0</v>
      </c>
      <c r="M5" s="23" t="s">
        <v>1</v>
      </c>
      <c r="N5" s="145" t="s">
        <v>2</v>
      </c>
      <c r="O5" s="146" t="str">
        <f>"Average annual growth rate, "&amp;O4&amp;"-"&amp;maxyear</f>
        <v>Average annual growth rate, 0-0</v>
      </c>
      <c r="Q5" s="37" t="s">
        <v>99</v>
      </c>
      <c r="R5" s="37" t="s">
        <v>164</v>
      </c>
      <c r="S5" s="37" t="s">
        <v>118</v>
      </c>
      <c r="T5" s="37" t="s">
        <v>100</v>
      </c>
      <c r="U5" s="37" t="s">
        <v>104</v>
      </c>
      <c r="V5" s="37" t="s">
        <v>275</v>
      </c>
      <c r="W5" s="37" t="s">
        <v>188</v>
      </c>
      <c r="X5" s="37" t="str">
        <f>"&lt;Threshold events in a row"</f>
        <v>&lt;Threshold events in a row</v>
      </c>
      <c r="Y5" s="37" t="s">
        <v>97</v>
      </c>
      <c r="Z5" s="37" t="s">
        <v>98</v>
      </c>
      <c r="AA5" s="37" t="s">
        <v>243</v>
      </c>
      <c r="AB5" s="37" t="s">
        <v>244</v>
      </c>
      <c r="AC5" s="37" t="s">
        <v>102</v>
      </c>
      <c r="AD5" s="37" t="s">
        <v>103</v>
      </c>
      <c r="AE5" s="36"/>
      <c r="AF5" s="36" t="s">
        <v>101</v>
      </c>
      <c r="AG5" s="36" t="s">
        <v>249</v>
      </c>
      <c r="AH5" s="36" t="s">
        <v>248</v>
      </c>
      <c r="AI5" s="36" t="s">
        <v>255</v>
      </c>
      <c r="AJ5" s="36" t="s">
        <v>256</v>
      </c>
      <c r="AK5" s="36" t="s">
        <v>257</v>
      </c>
      <c r="AL5" s="36" t="s">
        <v>254</v>
      </c>
      <c r="AM5" s="36" t="s">
        <v>250</v>
      </c>
      <c r="AN5" s="36" t="s">
        <v>251</v>
      </c>
      <c r="AO5" s="36" t="s">
        <v>155</v>
      </c>
      <c r="AP5" s="36" t="s">
        <v>252</v>
      </c>
      <c r="AQ5" s="36" t="s">
        <v>253</v>
      </c>
      <c r="AR5" s="36" t="s">
        <v>155</v>
      </c>
      <c r="AS5" s="36" t="s">
        <v>268</v>
      </c>
      <c r="AU5" s="37" t="s">
        <v>104</v>
      </c>
      <c r="AV5" s="37" t="s">
        <v>275</v>
      </c>
      <c r="AW5" s="37" t="s">
        <v>188</v>
      </c>
      <c r="AX5" s="37" t="s">
        <v>102</v>
      </c>
      <c r="AY5" s="37" t="s">
        <v>103</v>
      </c>
      <c r="AZ5" s="36"/>
      <c r="BA5" s="36" t="s">
        <v>101</v>
      </c>
      <c r="BB5" s="37" t="s">
        <v>284</v>
      </c>
      <c r="BC5" s="37" t="s">
        <v>285</v>
      </c>
      <c r="BD5" s="36" t="s">
        <v>268</v>
      </c>
    </row>
    <row r="6" spans="1:56" ht="13.5" customHeight="1" x14ac:dyDescent="0.3">
      <c r="A6" s="15" t="s">
        <v>3</v>
      </c>
      <c r="B6" s="9" t="str">
        <f>IFERROR(INDEX(FDI_IIC,MATCH($A6,FDI_IIC_ID,0),MATCH(B$5,FDI_IIC_col,0)),"")</f>
        <v/>
      </c>
      <c r="C6" s="9" t="str">
        <f t="shared" ref="C6:K6" si="0">IFERROR(INDEX(FDI_IIC,MATCH($A6,FDI_IIC_ID,0),MATCH(C$5,FDI_IIC_col,0)),"")</f>
        <v/>
      </c>
      <c r="D6" s="9" t="str">
        <f t="shared" si="0"/>
        <v/>
      </c>
      <c r="E6" s="9" t="str">
        <f t="shared" si="0"/>
        <v/>
      </c>
      <c r="F6" s="9" t="str">
        <f t="shared" si="0"/>
        <v/>
      </c>
      <c r="G6" s="9" t="str">
        <f t="shared" si="0"/>
        <v/>
      </c>
      <c r="H6" s="9" t="str">
        <f t="shared" si="0"/>
        <v/>
      </c>
      <c r="I6" s="9" t="str">
        <f t="shared" si="0"/>
        <v/>
      </c>
      <c r="J6" s="9" t="str">
        <f t="shared" si="0"/>
        <v/>
      </c>
      <c r="K6" s="9" t="str">
        <f t="shared" si="0"/>
        <v/>
      </c>
      <c r="O6" s="21" t="e">
        <f>_xlfn.RRI(maxyear-O4,VLOOKUP(A6,A5:K7,MATCH(O4,A5:K5)),VLOOKUP(A6,A5:K7,MATCH(maxyear,A5:K5)))</f>
        <v>#VALUE!</v>
      </c>
      <c r="Q6" s="39"/>
      <c r="R6" s="39"/>
      <c r="S6" s="39"/>
      <c r="T6" s="40"/>
      <c r="U6" s="40"/>
      <c r="V6" s="160"/>
      <c r="W6" s="160"/>
      <c r="X6" s="141">
        <v>0</v>
      </c>
      <c r="Y6" s="40"/>
      <c r="Z6" s="40" t="str">
        <f>IFERROR(RNDD($K$7,2),"")</f>
        <v/>
      </c>
      <c r="AA6" s="139" t="str">
        <f>IFERROR(RND($K$7),"")</f>
        <v/>
      </c>
      <c r="AB6" s="139" t="str">
        <f>IF($K$7&gt;$J$7,"an increase","a decrease")</f>
        <v>a decrease</v>
      </c>
      <c r="AC6" s="139" t="e">
        <f>RNDP($K$13,1)</f>
        <v>#VALUE!</v>
      </c>
      <c r="AD6" s="140" t="str">
        <f>IFERROR(RND($K$10,1),"")</f>
        <v/>
      </c>
      <c r="AE6" s="140"/>
      <c r="AF6" s="40" t="e">
        <f>"In "&amp;maxyear&amp;", FDI stock from "&amp;LOWER(prefix)&amp;country&amp;" stood at "&amp;$AA6&amp;" (on an IIC basis), "&amp;IF($K7=$J7,"unchanged from its "&amp;maxyear-1&amp;" value",$AB6&amp;" of "&amp;$AD6&amp;" or "&amp;$AC6&amp;" from "&amp;maxyear-1)&amp;". "</f>
        <v>#N/A</v>
      </c>
      <c r="AG6" s="141"/>
      <c r="AH6" s="141"/>
      <c r="AI6" s="38"/>
      <c r="AJ6" s="38"/>
      <c r="AK6" s="38"/>
      <c r="AL6" s="38"/>
      <c r="AM6" s="38"/>
      <c r="AN6" s="38"/>
      <c r="AO6" s="38"/>
      <c r="AP6" s="38"/>
      <c r="AQ6" s="38"/>
      <c r="AR6" s="38"/>
      <c r="AS6" s="38"/>
      <c r="AU6" s="40"/>
      <c r="AV6" s="139" t="str">
        <f>IFERROR(RNDFR($K$7),"")</f>
        <v/>
      </c>
      <c r="AW6" s="139" t="str">
        <f>IF($K$7&gt;$J$7,"soit une augmentation de ","en baisse de ")</f>
        <v xml:space="preserve">en baisse de </v>
      </c>
      <c r="AX6" s="139" t="e">
        <f>RNDPFR($K$13,1)</f>
        <v>#VALUE!</v>
      </c>
      <c r="AY6" s="140" t="str">
        <f>IFERROR(RNDFR($K$10,1),"")</f>
        <v/>
      </c>
      <c r="AZ6" s="140"/>
      <c r="BA6" s="40" t="e">
        <f>"En "&amp;maxyear&amp;", le stock d’IDE en provenance "&amp;prefixFr2&amp;countryFr&amp;" s’élevait à "&amp;$AV6&amp;" (selon l’approche du PII), "&amp;IF($K7=$J7,"inchangé",$AW6&amp;$AY6&amp;" ou "&amp;$AX6)&amp;" par rapport à "&amp;maxyear-1&amp;". "</f>
        <v>#N/A</v>
      </c>
      <c r="BB6" s="160"/>
      <c r="BC6" s="160"/>
      <c r="BD6" s="160"/>
    </row>
    <row r="7" spans="1:56" ht="13" x14ac:dyDescent="0.25">
      <c r="A7" s="16" t="str">
        <f>country</f>
        <v>Australia</v>
      </c>
      <c r="B7" s="8" t="str">
        <f t="shared" ref="B7:K7" si="1">IFERROR(INDEX(FDI_IIC,MATCH(country,FDI_IIC_ID,0),MATCH(B$5,FDI_IIC_col,0)),"")</f>
        <v/>
      </c>
      <c r="C7" s="8" t="str">
        <f>IFERROR(INDEX(FDI_IIC,MATCH(country,FDI_IIC_ID,0),MATCH(C$5,FDI_IIC_col,0)),"")</f>
        <v/>
      </c>
      <c r="D7" s="8" t="str">
        <f t="shared" si="1"/>
        <v/>
      </c>
      <c r="E7" s="8" t="str">
        <f t="shared" si="1"/>
        <v/>
      </c>
      <c r="F7" s="8" t="str">
        <f t="shared" si="1"/>
        <v/>
      </c>
      <c r="G7" s="8" t="str">
        <f t="shared" si="1"/>
        <v/>
      </c>
      <c r="H7" s="8" t="str">
        <f t="shared" si="1"/>
        <v/>
      </c>
      <c r="I7" s="8" t="str">
        <f t="shared" si="1"/>
        <v/>
      </c>
      <c r="J7" s="8" t="str">
        <f t="shared" si="1"/>
        <v/>
      </c>
      <c r="K7" s="8" t="str">
        <f t="shared" si="1"/>
        <v/>
      </c>
      <c r="M7" s="8" t="e">
        <f>INDEX(FDI_IIC,MATCH(country,FDI_IIC_ID,0),MATCH(M$5,FDI_IIC_col,0))</f>
        <v>#N/A</v>
      </c>
      <c r="N7" s="24" t="e">
        <f>INDEX(FDI_IIC,MATCH(country,FDI_IIC_ID,0),MATCH(N$5,FDI_IIC_col,0))</f>
        <v>#N/A</v>
      </c>
      <c r="O7" s="21" t="e">
        <f>_xlfn.RRI(maxyear-O4,VLOOKUP(country,A5:K7,MATCH(O4,A5:K5)),VLOOKUP(country,A5:K7,MATCH(maxyear,A5:K5)))</f>
        <v>#VALUE!</v>
      </c>
      <c r="Q7" s="38">
        <v>1</v>
      </c>
      <c r="R7" s="38" t="str">
        <f>IF(COUNTIF($B$21:$K$21, $Q7)&gt;0,INDEX($A$19:$K$24,6,MATCH($Q7,$A$21:$K$21,0)),"")</f>
        <v/>
      </c>
      <c r="S7" s="38" t="str">
        <f>IF(COUNTIF($B$21:$K$21, $Q7)&gt;0, COUNTIF($B$21:$K$21, $Q7), "")</f>
        <v/>
      </c>
      <c r="T7" s="39" t="str">
        <f>IF($Q7&lt;=SUM($B$20:$K$20),IF($S7&gt;1,"CAGR","YoY"),"")</f>
        <v/>
      </c>
      <c r="U7" s="41" t="str">
        <f>IFERROR(IF($R7="flat","",IF(SUMIF($B$21:$K$21,$Q7,$B$22:$K$22)=0,"",RNDP(SUMIF($B$21:$K$21,$Q7,$B$22:$K$22),1))),"")</f>
        <v/>
      </c>
      <c r="V7" s="60" t="str">
        <f>IF($T7="","",IF(AND($T8="",$Q7&lt;&gt;1),"From "&amp;$Y7&amp;" onward, FDI stock ",IF(ISEVEN($Q7),"It then ","FDI stock ")))</f>
        <v/>
      </c>
      <c r="W7" s="60" t="str">
        <f>IF($T7="","",IF($R7="flat", "stayed relatively stable", IF($T7="CAGR",IF($R7="down", "decreased","increased"),IF($R7="down", "fell ","jumped "))))</f>
        <v/>
      </c>
      <c r="X7" s="141">
        <f t="shared" ref="X7:X16" si="2">IF(AND($T7&lt;&gt;"",$S7&lt;$S$3,IF($Y7&lt;maxyear-3,IFERROR($S$1-$U7&gt;0,TRUE),IFERROR($S$2-$U7&gt;0,TRUE))),$X6+1,0)</f>
        <v>0</v>
      </c>
      <c r="Y7" s="38">
        <f t="shared" ref="Y7:Y16" si="3">IFERROR(IF($Y6+$S6=maxyear,maxyear,INDEX($A$5:$K$5,1,MATCH($Q7,$A$21:$K$21,0))-1),"")</f>
        <v>0</v>
      </c>
      <c r="Z7" s="38" t="str">
        <f>IF($S7&lt;&gt;"",$Y7+$S7,"")</f>
        <v/>
      </c>
      <c r="AA7" s="38" t="str">
        <f>IFERROR(INDEX($B$5:$K$7,3,MATCH($Y7,$B$5:$K$5,0)),"")</f>
        <v/>
      </c>
      <c r="AB7" s="38" t="str">
        <f>IFERROR(INDEX($B$5:$K$7,3,MATCH(IFERROR(VALUE(LEFT($Z7, SEARCH(" ",$Z7)-1)),$Z7),$B$5:$K$5,0)),"")</f>
        <v/>
      </c>
      <c r="AC7" s="38" t="str">
        <f>IF($R7="flat","",IFERROR(RND($AA7)&amp;IF(AND($T8="",$Q7&lt;&gt;1),""," in "&amp;$Y7),""))</f>
        <v/>
      </c>
      <c r="AD7" s="38" t="str">
        <f>IFERROR(IF($Z7=maxyear,"",IF($R7="flat","",RND($AB7)&amp;" in "&amp;$Z7)),"")</f>
        <v/>
      </c>
      <c r="AE7" s="38" t="str">
        <f t="shared" ref="AE7:AE16" si="4">IF(AND($Z7=maxyear,$T7&lt;&gt;"YoY"),IF(R7&lt;&gt;"flat","reach ","")&amp;"its "&amp;maxyear&amp;" value",IF(R7="flat", Z7,""))&amp;IF(ISERR($U7),"",IF(AND($U7&lt;&gt;"",$T7="CAGR")," at an average annual rate of "&amp;$U7,"")&amp;IF($Z7=maxyear-1,", before reaching its "&amp;maxyear&amp;" value",""))</f>
        <v/>
      </c>
      <c r="AF7" s="40" t="str">
        <f>IF(OR($T7="",$Z6=maxyear-1,$AG7),"",$V7&amp;$W7&amp;IF($T7="YoY",$U7,"")&amp;" from "&amp;$AC7&amp;" to "&amp;$AD7&amp;AE7&amp;IF($Y7+$S7&gt;=maxyear-1," (see Chart 1)","")&amp;". ")</f>
        <v/>
      </c>
      <c r="AG7" s="141">
        <f>IF($X7+$X8&gt;1,IF($X7&gt;0,TRUE,0),0)</f>
        <v>0</v>
      </c>
      <c r="AH7" s="141">
        <f>IF(AND($AG7,NOT($AG8)),TRUE,0)</f>
        <v>0</v>
      </c>
      <c r="AI7" s="38" t="str">
        <f ca="1">IF($AH7,OFFSET($Y8,-$X7,0),"")</f>
        <v/>
      </c>
      <c r="AJ7" s="38" t="str">
        <f ca="1">IFERROR(RND(INDEX($B$5:$K$7,3,MATCH($AI7,$B$5:$K$5,0))),"")</f>
        <v/>
      </c>
      <c r="AK7" s="38" t="str">
        <f t="shared" ref="AK7:AK16" si="5">IF($AH7,$Y8,"")</f>
        <v/>
      </c>
      <c r="AL7" s="38" t="str">
        <f>IFERROR(RND(INDEX($B$5:$K$7,3,MATCH($AK7,$B$5:$K$5,0))),"")</f>
        <v/>
      </c>
      <c r="AM7" s="38" t="str">
        <f>IF($AH7,INDEX($Q$5:$AD$16,MATCH($AN7,$AA$5:$AA$16,0),MATCH($Y$5,$Q$5:$AD$5,0)),"")</f>
        <v/>
      </c>
      <c r="AN7" s="38" t="str">
        <f ca="1">IF($AH7,MIN(OFFSET($AA8,0,0,-($X7+1),1)),"")</f>
        <v/>
      </c>
      <c r="AO7" s="38" t="str">
        <f>IF($AH7,INDEX($Q$5:$AD$16,MATCH($AN7,$AA$5:$AA$16,0),MATCH($AC$5,$Q$5:$AD$5,0)),"")</f>
        <v/>
      </c>
      <c r="AP7" s="38" t="str">
        <f>IF($AH7,INDEX($Q$5:$AD$16,MATCH($AQ7,$AA$5:$AA$16,0),MATCH($Y$5,$Q$5:$AD$5,0)),"")</f>
        <v/>
      </c>
      <c r="AQ7" s="38" t="str">
        <f ca="1">IF($AH7,MAX(OFFSET($AA8,0,0,-($X7+1),1)),"")</f>
        <v/>
      </c>
      <c r="AR7" s="38" t="str">
        <f>IF($AH7,IFERROR(RND($AQ7)&amp;" in "&amp;$AP7,""),"")</f>
        <v/>
      </c>
      <c r="AS7" s="38" t="str">
        <f t="shared" ref="AS7:AS16" si="6">IF($AH7,"FDI stock fluctuated between "&amp;$AI7&amp;" and "&amp;$AK7&amp;" with a high value of "&amp;$AR7&amp;" and a low value of "&amp;$AO7&amp;IF($Y7+$S7=maxyear," (see Chart 1)","")&amp;". ","")</f>
        <v/>
      </c>
      <c r="AU7" s="41" t="str">
        <f>IFERROR(IF($R7="flat","",IF(SUMIF($B$21:$K$21,$Q7,$B$22:$K$22)=0,"",RNDPFR(SUMIF($B$21:$K$21,$Q7,$B$22:$K$22),1))),"")</f>
        <v/>
      </c>
      <c r="AV7" s="60" t="str">
        <f t="shared" ref="AV7:AV16" si="7">IF($T7="","",IF(AND($Y7+$S7&gt;=maxyear-1,$Q7&lt;&gt;1),"A partir de "&amp;$Y7&amp;", le stock d’IDE a ",IF(ISEVEN($Q7),"Il a ensuite ","Le stock d’IDE a ")))</f>
        <v/>
      </c>
      <c r="AW7" s="60" t="str">
        <f t="shared" ref="AW7:AW16" si="8">IF($T7="","",IF($R7="flat", "resté relativement stable jusqu'en ", IF($T7="CAGR",IF($R7="down", "diminué","augmenté"),IF($R7="down", "baissé de "&amp;$AU7,"bondi de "&amp;$AU7))&amp;IF(AND($Q7=1,$T7&lt;&gt;"YoY")," de ",IF($Z7=maxyear,IF($T7&lt;&gt;"YoY"," à un taux annuel moyen de "&amp;$AU7,""),IF(AND($AU7&lt;&gt;"",NOT(OR(AND($AM6&lt;&gt;$Y7,$AP6&lt;&gt;$Y7,$AH6),$R6="flat")))," pour atteindre ","")))))</f>
        <v/>
      </c>
      <c r="AX7" s="38" t="str">
        <f>IF($R7="flat","",IFERROR(IF(AND(OR($Y7+$S7&lt;maxyear-1,$Q7=1),$T7&lt;&gt;"YoY"),RNDFR($AA7)&amp;" en "&amp;$Y7,RNDFR($AA7,0,0,0,1)),""))</f>
        <v/>
      </c>
      <c r="AY7" s="38" t="str">
        <f>IF($R7="flat","",IFERROR(IF($Z7=maxyear,"",RNDFR($AB7)&amp;IF($Y7+$S7&lt;=maxyear-1," en "&amp;$Z7,"")),""))</f>
        <v/>
      </c>
      <c r="AZ7" s="38" t="str">
        <f>IF(ISERR($AU7),"",IF(AND($AU7&lt;&gt;"",$T7="CAGR",$Z7&lt;&gt;maxyear)," à un taux annuel moyen de "&amp;$AU7,"")&amp;IF($Z7=maxyear-1,", avant d'atteindre sa valeur de "&amp;maxyear,IF(AND($Z7=maxyear,$T7&lt;&gt;"YoY"),IF(R7&lt;&gt;"flat",", pour atteindre ","")&amp;"sa valeur de "&amp;maxyear,"")))</f>
        <v/>
      </c>
      <c r="BA7" s="38" t="str">
        <f>IF(OR($T7="",$Z6=maxyear-1,$AG7),"",$AV7&amp;$AW7&amp;IF($T7="YoY"," entre "&amp;$Y7&amp;" et "&amp;$Z7&amp;", soit de ","")&amp;$AX7&amp;IF($Z7=maxyear,""," à "&amp;$AY7)&amp;AZ7&amp;IF($Y7+$S7&gt;=maxyear-1," (voir la figure"&amp;CHAR(160)&amp;"1)","")&amp;". ")</f>
        <v/>
      </c>
      <c r="BB7" s="160" t="str">
        <f>IF($AH7,RNDFR($AN7,0,0,0,1),"")</f>
        <v/>
      </c>
      <c r="BC7" s="160" t="str">
        <f>IF($AH7,RNDFR($AQ7),"")</f>
        <v/>
      </c>
      <c r="BD7" s="160" t="str">
        <f t="shared" ref="BD7:BD16" si="9">IF($AH7,"Le stock d'IDE "&amp;prefixFr2&amp;countryFr&amp;" a oscillé entre "&amp;BB7&amp;" et "&amp;BC7&amp;" entre "&amp;$AI7&amp;" et "&amp;$AK7&amp;IF($Y7+$S7=maxyear," (voir la Figure"&amp;CHAR(160)&amp;"1)","")&amp;". ","")</f>
        <v/>
      </c>
    </row>
    <row r="8" spans="1:56" x14ac:dyDescent="0.25">
      <c r="Q8" s="38">
        <v>2</v>
      </c>
      <c r="R8" s="38" t="str">
        <f t="shared" ref="R8:R16" si="10">IF(COUNTIF($B$21:$K$21, $Q8)&gt;0,INDEX($A$19:$K$24,6,MATCH($Q8,$A$21:$K$21,0)),"")</f>
        <v/>
      </c>
      <c r="S8" s="38" t="str">
        <f t="shared" ref="S8:S16" si="11">IF(COUNTIF($B$21:$K$21, $Q8)&gt;0, COUNTIF($B$21:$K$21, $Q8), "")</f>
        <v/>
      </c>
      <c r="T8" s="39" t="str">
        <f t="shared" ref="T8:T16" si="12">IF($Q8&lt;=SUM($B$20:$K$20),IF($S8&gt;1,"CAGR","YoY"),"")</f>
        <v/>
      </c>
      <c r="U8" s="41" t="str">
        <f t="shared" ref="U8:U16" si="13">IFERROR(IF($R8="flat","",IF(SUMIF($B$21:$K$21,$Q8,$B$22:$K$22)=0,"",RNDP(SUMIF($B$21:$K$21,$Q8,$B$22:$K$22),1))),"")</f>
        <v/>
      </c>
      <c r="V8" s="60" t="str">
        <f>IF($T8="","",IF(AND($T9="",$Q8&lt;&gt;1),"From "&amp;$Y8&amp;" onward, FDI stock ",IF(ISEVEN($Q8),"It then ","FDI stock ")))</f>
        <v/>
      </c>
      <c r="W8" s="60" t="str">
        <f t="shared" ref="W8:W16" si="14">IF($T8="","",IF($R8="flat", "stayed relatively stable", IF($T8="CAGR",IF($R8="down", "decreased","increased"),IF($R8="down", "fell ","jumped "))))</f>
        <v/>
      </c>
      <c r="X8" s="141">
        <f t="shared" si="2"/>
        <v>0</v>
      </c>
      <c r="Y8" s="38" t="str">
        <f t="shared" si="3"/>
        <v/>
      </c>
      <c r="Z8" s="38" t="str">
        <f t="shared" ref="Z8:Z16" si="15">IF($S8&lt;&gt;"",$Y8+$S8,"")</f>
        <v/>
      </c>
      <c r="AA8" s="38" t="str">
        <f t="shared" ref="AA8:AA16" si="16">IFERROR(INDEX($B$5:$K$7,3,MATCH($Y8,$B$5:$K$5,0)),"")</f>
        <v/>
      </c>
      <c r="AB8" s="38" t="str">
        <f t="shared" ref="AB8:AB16" si="17">IFERROR(INDEX($B$5:$K$7,3,MATCH(IFERROR(VALUE(LEFT($Z8, SEARCH(" ",$Z8)-1)),$Z8),$B$5:$K$5,0)),"")</f>
        <v/>
      </c>
      <c r="AC8" s="38" t="str">
        <f>IF($R8="flat","",IFERROR(RND($AA8)&amp;IF(AND($T9="",$Q8&lt;&gt;1),""," in "&amp;$Y8),""))</f>
        <v/>
      </c>
      <c r="AD8" s="38" t="str">
        <f>IFERROR(IF($Z8=maxyear,"",IF($R8="flat","",RND($AB8)&amp;" in "&amp;$Z8)),"")</f>
        <v/>
      </c>
      <c r="AE8" s="38" t="str">
        <f t="shared" si="4"/>
        <v/>
      </c>
      <c r="AF8" s="38" t="str">
        <f t="shared" ref="AF8:AF16" si="18">IF(OR($T8="",$Z7=maxyear-1,$AG8),"",$V8&amp;$W8&amp;IF($T8="YoY",$U8,"")&amp;IF($R7="flat"," from "&amp;$AC8,"")&amp;IF(OR(AND($AM7&lt;&gt;$Y8,$AP7&lt;&gt;$Y8,$AH7),$R7="flat")," from "&amp;$AC8,"")&amp;IF($R8="flat"," until "," to ")&amp;$AD8&amp;AE8&amp;IF($Y8+$S8&gt;=maxyear-1," (see Chart 1)","")&amp;". ")</f>
        <v/>
      </c>
      <c r="AG8" s="141">
        <f t="shared" ref="AG8:AG16" si="19">IF($X8+$X9&gt;1,IF($X8&gt;0,TRUE,0),0)</f>
        <v>0</v>
      </c>
      <c r="AH8" s="141">
        <f t="shared" ref="AH8:AH16" si="20">IF(AND($AG8,NOT($AG9)),TRUE,0)</f>
        <v>0</v>
      </c>
      <c r="AI8" s="38" t="str">
        <f t="shared" ref="AI8:AI16" ca="1" si="21">IF($AH8,OFFSET($Y9,-$X8,0),"")</f>
        <v/>
      </c>
      <c r="AJ8" s="38" t="str">
        <f ca="1">IFERROR(RND(INDEX($B$5:$K$7,3,MATCH($AI8,$B$5:$K$5,0))),"")</f>
        <v/>
      </c>
      <c r="AK8" s="38" t="str">
        <f t="shared" si="5"/>
        <v/>
      </c>
      <c r="AL8" s="38" t="str">
        <f>IFERROR(RND(INDEX($B$5:$K$7,3,MATCH($AK8,$B$5:$K$5,0))),"")</f>
        <v/>
      </c>
      <c r="AM8" s="38" t="str">
        <f t="shared" ref="AM8:AM16" si="22">IF($AH8,INDEX($Q$5:$AD$16,MATCH($AN8,$AA$5:$AA$16,0),MATCH($Y$5,$Q$5:$AD$5,0)),"")</f>
        <v/>
      </c>
      <c r="AN8" s="38" t="str">
        <f t="shared" ref="AN8:AN16" ca="1" si="23">IF($AH8,MIN(OFFSET($AA9,0,0,-($X8+1),1)),"")</f>
        <v/>
      </c>
      <c r="AO8" s="38" t="str">
        <f t="shared" ref="AO8:AO16" si="24">IF($AH8,INDEX($Q$5:$AD$16,MATCH($AN8,$AA$5:$AA$16,0),MATCH($AC$5,$Q$5:$AD$5,0)),"")</f>
        <v/>
      </c>
      <c r="AP8" s="38" t="str">
        <f t="shared" ref="AP8:AP16" si="25">IF($AH8,INDEX($Q$5:$AD$16,MATCH($AQ8,$AA$5:$AA$16,0),MATCH($Y$5,$Q$5:$AD$5,0)),"")</f>
        <v/>
      </c>
      <c r="AQ8" s="38" t="str">
        <f t="shared" ref="AQ8:AQ16" ca="1" si="26">IF($AH8,MAX(OFFSET($AA9,0,0,-($X8+1),1)),"")</f>
        <v/>
      </c>
      <c r="AR8" s="38" t="str">
        <f>IF($AH8,IFERROR(RND($AQ8)&amp;" in "&amp;$AP8,""),"")</f>
        <v/>
      </c>
      <c r="AS8" s="38" t="str">
        <f t="shared" si="6"/>
        <v/>
      </c>
      <c r="AU8" s="41" t="str">
        <f t="shared" ref="AU8:AU16" si="27">IFERROR(IF($R8="flat","",IF(SUMIF($B$21:$K$21,$Q8,$B$22:$K$22)=0,"",RNDPFR(SUMIF($B$21:$K$21,$Q8,$B$22:$K$22),1))),"")</f>
        <v/>
      </c>
      <c r="AV8" s="60" t="str">
        <f t="shared" si="7"/>
        <v/>
      </c>
      <c r="AW8" s="60" t="str">
        <f t="shared" si="8"/>
        <v/>
      </c>
      <c r="AX8" s="38" t="str">
        <f>IF($R8="flat","",IFERROR(IF(AND(OR($Y8+$S8&lt;maxyear-1,$Q8=1),$T8&lt;&gt;"YoY"),RNDFR($AA8)&amp;" en "&amp;$Y8,RNDFR($AA8,0,0,0,1)),""))</f>
        <v/>
      </c>
      <c r="AY8" s="38" t="str">
        <f>IF($R8="flat","",IFERROR(IF($Z8=maxyear,"",RNDFR($AB8)&amp;IF($Y8+$S8&lt;=maxyear-1," en "&amp;$Z8,"")),""))</f>
        <v/>
      </c>
      <c r="AZ8" s="38" t="str">
        <f t="shared" ref="AZ8:AZ16" si="28">IF(ISERR($AU8),"",IF(AND($AU8&lt;&gt;"",$T8="CAGR",$Z8&lt;&gt;maxyear)," à un taux annuel moyen de "&amp;$AU8,"")&amp;IF($Z8=maxyear-1,", avant d'atteindre sa valeur de "&amp;maxyear,IF(AND($Z8=maxyear,$T8&lt;&gt;"YoY"),IF(R8&lt;&gt;"flat",", pour atteindre ","")&amp;"sa valeur de "&amp;maxyear,"")))</f>
        <v/>
      </c>
      <c r="BA8" s="38" t="str">
        <f t="shared" ref="BA8:BA16" si="29">IF(OR($T8="",$Z7=maxyear-1,$AG8),"",$AV8&amp;$AW8&amp;IF(OR(AND($AM7&lt;&gt;$Y8,$AP7&lt;&gt;$Y8,$AH7),$R7="flat")," de "&amp;$AX8,"")&amp;IF(AND($AU8&lt;&gt;"",NOT(OR(AND($AM7&lt;&gt;$Y8,$AP7&lt;&gt;$Y8,$AH7),$R7="flat"))),"",IF(Z8&lt;&gt;maxyear," à ",""))&amp;$AY8&amp;AZ8&amp;IF($Y8+$S8&gt;=maxyear-1," (voir la figure"&amp;CHAR(160)&amp;"1)","")&amp;". ")</f>
        <v/>
      </c>
      <c r="BB8" s="160" t="str">
        <f>IF($AH8,RNDFR($AN8,0,0,0,1),"")</f>
        <v/>
      </c>
      <c r="BC8" s="160" t="str">
        <f>IF($AH8,RNDFR($AQ8),"")</f>
        <v/>
      </c>
      <c r="BD8" s="160" t="str">
        <f t="shared" si="9"/>
        <v/>
      </c>
    </row>
    <row r="9" spans="1:56" ht="13" x14ac:dyDescent="0.25">
      <c r="A9" s="12" t="s">
        <v>30</v>
      </c>
      <c r="B9" s="12"/>
      <c r="C9" s="11" t="str">
        <f>IF(C10="","",C$5)</f>
        <v/>
      </c>
      <c r="D9" s="11" t="str">
        <f t="shared" ref="D9" si="30">IF(D10="","",D$5)</f>
        <v/>
      </c>
      <c r="E9" s="11" t="str">
        <f t="shared" ref="E9" si="31">IF(E10="","",E$5)</f>
        <v/>
      </c>
      <c r="F9" s="11" t="str">
        <f t="shared" ref="F9" si="32">IF(F10="","",F$5)</f>
        <v/>
      </c>
      <c r="G9" s="11" t="str">
        <f t="shared" ref="G9" si="33">IF(G10="","",G$5)</f>
        <v/>
      </c>
      <c r="H9" s="11" t="str">
        <f t="shared" ref="H9" si="34">IF(H10="","",H$5)</f>
        <v/>
      </c>
      <c r="I9" s="11" t="str">
        <f t="shared" ref="I9" si="35">IF(I10="","",I$5)</f>
        <v/>
      </c>
      <c r="J9" s="11" t="str">
        <f t="shared" ref="J9" si="36">IF(J10="","",J$5)</f>
        <v/>
      </c>
      <c r="K9" s="11" t="str">
        <f t="shared" ref="K9" si="37">IF(K10="","",K$5)</f>
        <v/>
      </c>
      <c r="Q9" s="38">
        <v>3</v>
      </c>
      <c r="R9" s="38" t="str">
        <f t="shared" si="10"/>
        <v/>
      </c>
      <c r="S9" s="38" t="str">
        <f t="shared" si="11"/>
        <v/>
      </c>
      <c r="T9" s="39" t="str">
        <f t="shared" si="12"/>
        <v/>
      </c>
      <c r="U9" s="41" t="str">
        <f t="shared" si="13"/>
        <v/>
      </c>
      <c r="V9" s="60" t="str">
        <f>IF($T9="","",IF(AND($T10="",$Q9&lt;&gt;1),"From "&amp;$Y9&amp;" onward, FDI stock ",IF(ISEVEN($Q9),"It then ","FDI stock ")))</f>
        <v/>
      </c>
      <c r="W9" s="60" t="str">
        <f t="shared" si="14"/>
        <v/>
      </c>
      <c r="X9" s="141">
        <f t="shared" si="2"/>
        <v>0</v>
      </c>
      <c r="Y9" s="38" t="str">
        <f t="shared" si="3"/>
        <v/>
      </c>
      <c r="Z9" s="38" t="str">
        <f t="shared" si="15"/>
        <v/>
      </c>
      <c r="AA9" s="38" t="str">
        <f t="shared" si="16"/>
        <v/>
      </c>
      <c r="AB9" s="38" t="str">
        <f t="shared" si="17"/>
        <v/>
      </c>
      <c r="AC9" s="38" t="str">
        <f>IF($R9="flat","",IFERROR(RND($AA9)&amp;IF(AND($T10="",$Q9&lt;&gt;1),""," in "&amp;$Y9),""))</f>
        <v/>
      </c>
      <c r="AD9" s="38" t="str">
        <f>IFERROR(IF($Z9=maxyear,"",IF($R9="flat","",RND($AB9)&amp;" in "&amp;$Z9)),"")</f>
        <v/>
      </c>
      <c r="AE9" s="38" t="str">
        <f t="shared" si="4"/>
        <v/>
      </c>
      <c r="AF9" s="38" t="str">
        <f t="shared" si="18"/>
        <v/>
      </c>
      <c r="AG9" s="141">
        <f>IF($X9+$X10&gt;1,IF($X9&gt;0,TRUE,0),0)</f>
        <v>0</v>
      </c>
      <c r="AH9" s="141">
        <f t="shared" si="20"/>
        <v>0</v>
      </c>
      <c r="AI9" s="38" t="str">
        <f t="shared" ca="1" si="21"/>
        <v/>
      </c>
      <c r="AJ9" s="38" t="str">
        <f ca="1">IFERROR(RND(INDEX($B$5:$K$7,3,MATCH($AI9,$B$5:$K$5,0))),"")</f>
        <v/>
      </c>
      <c r="AK9" s="38" t="str">
        <f t="shared" si="5"/>
        <v/>
      </c>
      <c r="AL9" s="38" t="str">
        <f>IFERROR(RND(INDEX($B$5:$K$7,3,MATCH($AK9,$B$5:$K$5,0))),"")</f>
        <v/>
      </c>
      <c r="AM9" s="38" t="str">
        <f t="shared" si="22"/>
        <v/>
      </c>
      <c r="AN9" s="38" t="str">
        <f t="shared" ca="1" si="23"/>
        <v/>
      </c>
      <c r="AO9" s="38" t="str">
        <f>IF($AH9,INDEX($Q$5:$AD$16,MATCH($AN9,$AA$5:$AA$16,0),MATCH($AC$5,$Q$5:$AD$5,0)),"")</f>
        <v/>
      </c>
      <c r="AP9" s="38" t="str">
        <f t="shared" si="25"/>
        <v/>
      </c>
      <c r="AQ9" s="38" t="str">
        <f t="shared" ca="1" si="26"/>
        <v/>
      </c>
      <c r="AR9" s="38" t="str">
        <f>IF($AH9,IFERROR(RND($AQ9)&amp;" in "&amp;$AP9,""),"")</f>
        <v/>
      </c>
      <c r="AS9" s="38" t="str">
        <f t="shared" si="6"/>
        <v/>
      </c>
      <c r="AU9" s="41" t="str">
        <f t="shared" si="27"/>
        <v/>
      </c>
      <c r="AV9" s="60" t="str">
        <f t="shared" si="7"/>
        <v/>
      </c>
      <c r="AW9" s="60" t="str">
        <f t="shared" si="8"/>
        <v/>
      </c>
      <c r="AX9" s="38" t="str">
        <f>IF($R9="flat","",IFERROR(IF(AND(OR($Y9+$S9&lt;maxyear-1,$Q9=1),$T9&lt;&gt;"YoY"),RNDFR($AA9)&amp;" en "&amp;$Y9,RNDFR($AA9,0,0,0,1)),""))</f>
        <v/>
      </c>
      <c r="AY9" s="38" t="str">
        <f>IF($R9="flat","",IFERROR(IF($Z9=maxyear,"",RNDFR($AB9)&amp;IF($Y9+$S9&lt;=maxyear-1," en "&amp;$Z9,"")),""))</f>
        <v/>
      </c>
      <c r="AZ9" s="38" t="str">
        <f t="shared" si="28"/>
        <v/>
      </c>
      <c r="BA9" s="38" t="str">
        <f t="shared" si="29"/>
        <v/>
      </c>
      <c r="BB9" s="160" t="str">
        <f>IF($AH9,RNDFR($AN9,0,0,0,1),"")</f>
        <v/>
      </c>
      <c r="BC9" s="160" t="str">
        <f>IF($AH9,RNDFR($AQ9),"")</f>
        <v/>
      </c>
      <c r="BD9" s="160" t="str">
        <f t="shared" si="9"/>
        <v/>
      </c>
    </row>
    <row r="10" spans="1:56" x14ac:dyDescent="0.25">
      <c r="A10" s="13"/>
      <c r="B10" s="13"/>
      <c r="C10" s="14" t="str">
        <f>IFERROR(C7-B7,"")</f>
        <v/>
      </c>
      <c r="D10" s="14" t="str">
        <f>IFERROR(D7-C7,"")</f>
        <v/>
      </c>
      <c r="E10" s="14" t="str">
        <f t="shared" ref="E10:G10" si="38">IFERROR(E7-D7,"")</f>
        <v/>
      </c>
      <c r="F10" s="14" t="str">
        <f t="shared" si="38"/>
        <v/>
      </c>
      <c r="G10" s="14" t="str">
        <f t="shared" si="38"/>
        <v/>
      </c>
      <c r="H10" s="14" t="str">
        <f>IFERROR(H7-G7,"")</f>
        <v/>
      </c>
      <c r="I10" s="14" t="str">
        <f t="shared" ref="I10:K10" si="39">IFERROR(I7-H7,"")</f>
        <v/>
      </c>
      <c r="J10" s="14" t="str">
        <f t="shared" si="39"/>
        <v/>
      </c>
      <c r="K10" s="14" t="str">
        <f t="shared" si="39"/>
        <v/>
      </c>
      <c r="Q10" s="38">
        <v>4</v>
      </c>
      <c r="R10" s="38" t="str">
        <f t="shared" si="10"/>
        <v/>
      </c>
      <c r="S10" s="38" t="str">
        <f t="shared" si="11"/>
        <v/>
      </c>
      <c r="T10" s="39" t="str">
        <f t="shared" si="12"/>
        <v/>
      </c>
      <c r="U10" s="41" t="str">
        <f t="shared" si="13"/>
        <v/>
      </c>
      <c r="V10" s="60" t="str">
        <f t="shared" ref="V10:V16" si="40">IF($T10="","",IF(AND($T11="",$Q10&lt;&gt;1),"From "&amp;$Y10&amp;" onward, FDI stock ",IF(ISEVEN($Q10),"It then ","FDI stock ")))</f>
        <v/>
      </c>
      <c r="W10" s="60" t="str">
        <f t="shared" si="14"/>
        <v/>
      </c>
      <c r="X10" s="141">
        <f t="shared" si="2"/>
        <v>0</v>
      </c>
      <c r="Y10" s="38" t="str">
        <f t="shared" si="3"/>
        <v/>
      </c>
      <c r="Z10" s="38" t="str">
        <f t="shared" si="15"/>
        <v/>
      </c>
      <c r="AA10" s="38" t="str">
        <f t="shared" si="16"/>
        <v/>
      </c>
      <c r="AB10" s="38" t="str">
        <f t="shared" si="17"/>
        <v/>
      </c>
      <c r="AC10" s="38" t="str">
        <f>IF($R10="flat","",IFERROR(RND($AA10)&amp;IF(AND($T11="",$Q10&lt;&gt;1),""," in "&amp;$Y10),""))</f>
        <v/>
      </c>
      <c r="AD10" s="38" t="str">
        <f>IFERROR(IF($Z10=maxyear,"",IF($R10="flat","",RND($AB10)&amp;" in "&amp;$Z10)),"")</f>
        <v/>
      </c>
      <c r="AE10" s="38" t="str">
        <f t="shared" si="4"/>
        <v/>
      </c>
      <c r="AF10" s="38" t="str">
        <f t="shared" si="18"/>
        <v/>
      </c>
      <c r="AG10" s="141">
        <f>IF($X10+$X11&gt;1,IF($X10&gt;0,TRUE,0),0)</f>
        <v>0</v>
      </c>
      <c r="AH10" s="141">
        <f t="shared" si="20"/>
        <v>0</v>
      </c>
      <c r="AI10" s="38" t="str">
        <f t="shared" ca="1" si="21"/>
        <v/>
      </c>
      <c r="AJ10" s="38" t="str">
        <f ca="1">IFERROR(RND(INDEX($B$5:$K$7,3,MATCH($AI10,$B$5:$K$5,0))),"")</f>
        <v/>
      </c>
      <c r="AK10" s="38" t="str">
        <f t="shared" si="5"/>
        <v/>
      </c>
      <c r="AL10" s="38" t="str">
        <f>IFERROR(RND(INDEX($B$5:$K$7,3,MATCH($AK10,$B$5:$K$5,0))),"")</f>
        <v/>
      </c>
      <c r="AM10" s="38" t="str">
        <f t="shared" si="22"/>
        <v/>
      </c>
      <c r="AN10" s="38" t="str">
        <f t="shared" ca="1" si="23"/>
        <v/>
      </c>
      <c r="AO10" s="38" t="str">
        <f t="shared" si="24"/>
        <v/>
      </c>
      <c r="AP10" s="38" t="str">
        <f t="shared" si="25"/>
        <v/>
      </c>
      <c r="AQ10" s="38" t="str">
        <f t="shared" ca="1" si="26"/>
        <v/>
      </c>
      <c r="AR10" s="38" t="str">
        <f>IF($AH10,IFERROR(RND($AQ10)&amp;" in "&amp;$AP10,""),"")</f>
        <v/>
      </c>
      <c r="AS10" s="38" t="str">
        <f t="shared" si="6"/>
        <v/>
      </c>
      <c r="AU10" s="41" t="str">
        <f t="shared" si="27"/>
        <v/>
      </c>
      <c r="AV10" s="60" t="str">
        <f t="shared" si="7"/>
        <v/>
      </c>
      <c r="AW10" s="60" t="str">
        <f t="shared" si="8"/>
        <v/>
      </c>
      <c r="AX10" s="38" t="str">
        <f>IF($R10="flat","",IFERROR(IF(AND(OR($Y10+$S10&lt;maxyear-1,$Q10=1),$T10&lt;&gt;"YoY"),RNDFR($AA10)&amp;" en "&amp;$Y10,RNDFR($AA10,0,0,0,1)),""))</f>
        <v/>
      </c>
      <c r="AY10" s="38" t="str">
        <f>IF($R10="flat","",IFERROR(IF($Z10=maxyear,"",RNDFR($AB10)&amp;IF($Y10+$S10&lt;=maxyear-1," en "&amp;$Z10,"")),""))</f>
        <v/>
      </c>
      <c r="AZ10" s="38" t="str">
        <f t="shared" si="28"/>
        <v/>
      </c>
      <c r="BA10" s="38" t="str">
        <f t="shared" si="29"/>
        <v/>
      </c>
      <c r="BB10" s="160" t="str">
        <f>IF($AH10,RNDFR($AN10,0,0,0,1),"")</f>
        <v/>
      </c>
      <c r="BC10" s="160" t="str">
        <f>IF($AH10,RNDFR($AQ10),"")</f>
        <v/>
      </c>
      <c r="BD10" s="160" t="str">
        <f t="shared" si="9"/>
        <v/>
      </c>
    </row>
    <row r="11" spans="1:56" x14ac:dyDescent="0.25">
      <c r="Q11" s="38">
        <v>5</v>
      </c>
      <c r="R11" s="38" t="str">
        <f t="shared" si="10"/>
        <v/>
      </c>
      <c r="S11" s="38" t="str">
        <f t="shared" si="11"/>
        <v/>
      </c>
      <c r="T11" s="39" t="str">
        <f t="shared" si="12"/>
        <v/>
      </c>
      <c r="U11" s="41" t="str">
        <f t="shared" si="13"/>
        <v/>
      </c>
      <c r="V11" s="60" t="str">
        <f>IF($T11="","",IF(AND($T12="",$Q11&lt;&gt;1),"From "&amp;$Y11&amp;" onward, FDI stock ",IF(ISEVEN($Q11),"It then ","FDI stock ")))</f>
        <v/>
      </c>
      <c r="W11" s="60" t="str">
        <f t="shared" si="14"/>
        <v/>
      </c>
      <c r="X11" s="141">
        <f t="shared" si="2"/>
        <v>0</v>
      </c>
      <c r="Y11" s="38" t="str">
        <f t="shared" si="3"/>
        <v/>
      </c>
      <c r="Z11" s="38" t="str">
        <f t="shared" si="15"/>
        <v/>
      </c>
      <c r="AA11" s="38" t="str">
        <f t="shared" si="16"/>
        <v/>
      </c>
      <c r="AB11" s="38" t="str">
        <f t="shared" si="17"/>
        <v/>
      </c>
      <c r="AC11" s="38" t="str">
        <f>IF($R11="flat","",IFERROR(RND($AA11)&amp;IF(AND($T12="",$Q11&lt;&gt;1),""," in "&amp;$Y11),""))</f>
        <v/>
      </c>
      <c r="AD11" s="38" t="str">
        <f>IFERROR(IF($Z11=maxyear,"",IF($R11="flat","",RND($AB11)&amp;" in "&amp;$Z11)),"")</f>
        <v/>
      </c>
      <c r="AE11" s="38" t="str">
        <f t="shared" si="4"/>
        <v/>
      </c>
      <c r="AF11" s="38" t="str">
        <f t="shared" si="18"/>
        <v/>
      </c>
      <c r="AG11" s="141">
        <f t="shared" si="19"/>
        <v>0</v>
      </c>
      <c r="AH11" s="141">
        <f t="shared" si="20"/>
        <v>0</v>
      </c>
      <c r="AI11" s="38" t="str">
        <f t="shared" ca="1" si="21"/>
        <v/>
      </c>
      <c r="AJ11" s="38" t="str">
        <f ca="1">IFERROR(RND(INDEX($B$5:$K$7,3,MATCH($AI11,$B$5:$K$5,0))),"")</f>
        <v/>
      </c>
      <c r="AK11" s="38" t="str">
        <f t="shared" si="5"/>
        <v/>
      </c>
      <c r="AL11" s="38" t="str">
        <f>IFERROR(RND(INDEX($B$5:$K$7,3,MATCH($AK11,$B$5:$K$5,0))),"")</f>
        <v/>
      </c>
      <c r="AM11" s="38" t="str">
        <f t="shared" si="22"/>
        <v/>
      </c>
      <c r="AN11" s="38" t="str">
        <f t="shared" ca="1" si="23"/>
        <v/>
      </c>
      <c r="AO11" s="38" t="str">
        <f t="shared" si="24"/>
        <v/>
      </c>
      <c r="AP11" s="38" t="str">
        <f t="shared" si="25"/>
        <v/>
      </c>
      <c r="AQ11" s="38" t="str">
        <f t="shared" ca="1" si="26"/>
        <v/>
      </c>
      <c r="AR11" s="38" t="str">
        <f>IF($AH11,IFERROR(RND($AQ11)&amp;" in "&amp;$AP11,""),"")</f>
        <v/>
      </c>
      <c r="AS11" s="38" t="str">
        <f t="shared" si="6"/>
        <v/>
      </c>
      <c r="AU11" s="41" t="str">
        <f t="shared" si="27"/>
        <v/>
      </c>
      <c r="AV11" s="60" t="str">
        <f t="shared" si="7"/>
        <v/>
      </c>
      <c r="AW11" s="60" t="str">
        <f t="shared" si="8"/>
        <v/>
      </c>
      <c r="AX11" s="38" t="str">
        <f>IF($R11="flat","",IFERROR(IF(AND(OR($Y11+$S11&lt;maxyear-1,$Q11=1),$T11&lt;&gt;"YoY"),RNDFR($AA11)&amp;" en "&amp;$Y11,RNDFR($AA11,0,0,0,1)),""))</f>
        <v/>
      </c>
      <c r="AY11" s="38" t="str">
        <f>IF($R11="flat","",IFERROR(IF($Z11=maxyear,"",RNDFR($AB11)&amp;IF($Y11+$S11&lt;=maxyear-1," en "&amp;$Z11,"")),""))</f>
        <v/>
      </c>
      <c r="AZ11" s="38" t="str">
        <f t="shared" si="28"/>
        <v/>
      </c>
      <c r="BA11" s="38" t="str">
        <f t="shared" si="29"/>
        <v/>
      </c>
      <c r="BB11" s="160" t="str">
        <f>IF($AH11,RNDFR($AN11,0,0,0,1),"")</f>
        <v/>
      </c>
      <c r="BC11" s="160" t="str">
        <f>IF($AH11,RNDFR($AQ11),"")</f>
        <v/>
      </c>
      <c r="BD11" s="160" t="str">
        <f t="shared" si="9"/>
        <v/>
      </c>
    </row>
    <row r="12" spans="1:56" ht="13" x14ac:dyDescent="0.25">
      <c r="A12" s="12" t="s">
        <v>31</v>
      </c>
      <c r="B12" s="12"/>
      <c r="C12" s="11" t="str">
        <f>IF(C13="","",C$5)</f>
        <v/>
      </c>
      <c r="D12" s="11" t="str">
        <f t="shared" ref="D12" si="41">IF(D13="","",D$5)</f>
        <v/>
      </c>
      <c r="E12" s="11" t="str">
        <f t="shared" ref="E12" si="42">IF(E13="","",E$5)</f>
        <v/>
      </c>
      <c r="F12" s="11" t="str">
        <f t="shared" ref="F12" si="43">IF(F13="","",F$5)</f>
        <v/>
      </c>
      <c r="G12" s="11" t="str">
        <f t="shared" ref="G12" si="44">IF(G13="","",G$5)</f>
        <v/>
      </c>
      <c r="H12" s="11" t="str">
        <f t="shared" ref="H12" si="45">IF(H13="","",H$5)</f>
        <v/>
      </c>
      <c r="I12" s="11" t="str">
        <f t="shared" ref="I12" si="46">IF(I13="","",I$5)</f>
        <v/>
      </c>
      <c r="J12" s="11" t="str">
        <f t="shared" ref="J12" si="47">IF(J13="","",J$5)</f>
        <v/>
      </c>
      <c r="K12" s="11" t="str">
        <f>IF(K13="","",K$5)</f>
        <v/>
      </c>
      <c r="O12" s="135"/>
      <c r="Q12" s="38">
        <v>6</v>
      </c>
      <c r="R12" s="38" t="str">
        <f t="shared" si="10"/>
        <v/>
      </c>
      <c r="S12" s="38" t="str">
        <f t="shared" si="11"/>
        <v/>
      </c>
      <c r="T12" s="39" t="str">
        <f t="shared" si="12"/>
        <v/>
      </c>
      <c r="U12" s="41" t="str">
        <f t="shared" si="13"/>
        <v/>
      </c>
      <c r="V12" s="60" t="str">
        <f t="shared" si="40"/>
        <v/>
      </c>
      <c r="W12" s="60" t="str">
        <f t="shared" si="14"/>
        <v/>
      </c>
      <c r="X12" s="141">
        <f t="shared" si="2"/>
        <v>0</v>
      </c>
      <c r="Y12" s="38" t="str">
        <f t="shared" si="3"/>
        <v/>
      </c>
      <c r="Z12" s="38" t="str">
        <f t="shared" si="15"/>
        <v/>
      </c>
      <c r="AA12" s="38" t="str">
        <f t="shared" si="16"/>
        <v/>
      </c>
      <c r="AB12" s="38" t="str">
        <f t="shared" si="17"/>
        <v/>
      </c>
      <c r="AC12" s="38" t="str">
        <f>IF($R12="flat","",IFERROR(RND($AA12)&amp;IF(AND($T13="",$Q12&lt;&gt;1),""," in "&amp;$Y12),""))</f>
        <v/>
      </c>
      <c r="AD12" s="38" t="str">
        <f>IFERROR(IF($Z12=maxyear,"",IF($R12="flat","",RND($AB12)&amp;" in "&amp;$Z12)),"")</f>
        <v/>
      </c>
      <c r="AE12" s="38" t="str">
        <f t="shared" si="4"/>
        <v/>
      </c>
      <c r="AF12" s="38" t="str">
        <f t="shared" si="18"/>
        <v/>
      </c>
      <c r="AG12" s="141">
        <f t="shared" si="19"/>
        <v>0</v>
      </c>
      <c r="AH12" s="141">
        <f t="shared" si="20"/>
        <v>0</v>
      </c>
      <c r="AI12" s="38" t="str">
        <f t="shared" ca="1" si="21"/>
        <v/>
      </c>
      <c r="AJ12" s="38" t="str">
        <f ca="1">IFERROR(RND(INDEX($B$5:$K$7,3,MATCH($AI12,$B$5:$K$5,0))),"")</f>
        <v/>
      </c>
      <c r="AK12" s="38" t="str">
        <f t="shared" si="5"/>
        <v/>
      </c>
      <c r="AL12" s="38" t="str">
        <f>IFERROR(RND(INDEX($B$5:$K$7,3,MATCH($AK12,$B$5:$K$5,0))),"")</f>
        <v/>
      </c>
      <c r="AM12" s="38" t="str">
        <f t="shared" si="22"/>
        <v/>
      </c>
      <c r="AN12" s="38" t="str">
        <f t="shared" ca="1" si="23"/>
        <v/>
      </c>
      <c r="AO12" s="38" t="str">
        <f t="shared" si="24"/>
        <v/>
      </c>
      <c r="AP12" s="38" t="str">
        <f t="shared" si="25"/>
        <v/>
      </c>
      <c r="AQ12" s="38" t="str">
        <f t="shared" ca="1" si="26"/>
        <v/>
      </c>
      <c r="AR12" s="38" t="str">
        <f>IF($AH12,IFERROR(RND($AQ12)&amp;" in "&amp;$AP12,""),"")</f>
        <v/>
      </c>
      <c r="AS12" s="38" t="str">
        <f t="shared" si="6"/>
        <v/>
      </c>
      <c r="AU12" s="41" t="str">
        <f t="shared" si="27"/>
        <v/>
      </c>
      <c r="AV12" s="60" t="str">
        <f t="shared" si="7"/>
        <v/>
      </c>
      <c r="AW12" s="60" t="str">
        <f t="shared" si="8"/>
        <v/>
      </c>
      <c r="AX12" s="38" t="str">
        <f>IF($R12="flat","",IFERROR(IF(AND(OR($Y12+$S12&lt;maxyear-1,$Q12=1),$T12&lt;&gt;"YoY"),RNDFR($AA12)&amp;" en "&amp;$Y12,RNDFR($AA12,0,0,0,1)),""))</f>
        <v/>
      </c>
      <c r="AY12" s="38" t="str">
        <f>IF($R12="flat","",IFERROR(IF($Z12=maxyear,"",RNDFR($AB12)&amp;IF($Y12+$S12&lt;=maxyear-1," en "&amp;$Z12,"")),""))</f>
        <v/>
      </c>
      <c r="AZ12" s="38" t="str">
        <f t="shared" si="28"/>
        <v/>
      </c>
      <c r="BA12" s="38" t="str">
        <f t="shared" si="29"/>
        <v/>
      </c>
      <c r="BB12" s="160" t="str">
        <f>IF($AH12,RNDFR($AN12,0,0,0,1),"")</f>
        <v/>
      </c>
      <c r="BC12" s="160" t="str">
        <f>IF($AH12,RNDFR($AQ12),"")</f>
        <v/>
      </c>
      <c r="BD12" s="160" t="str">
        <f t="shared" si="9"/>
        <v/>
      </c>
    </row>
    <row r="13" spans="1:56" x14ac:dyDescent="0.25">
      <c r="A13" s="13"/>
      <c r="B13" s="13"/>
      <c r="C13" s="18" t="str">
        <f>IFERROR(C10/B7,"")</f>
        <v/>
      </c>
      <c r="D13" s="18" t="str">
        <f>IFERROR(D10/C7,"")</f>
        <v/>
      </c>
      <c r="E13" s="18" t="str">
        <f t="shared" ref="E13:K13" si="48">IFERROR(E10/D7,"")</f>
        <v/>
      </c>
      <c r="F13" s="18" t="str">
        <f t="shared" si="48"/>
        <v/>
      </c>
      <c r="G13" s="18" t="str">
        <f t="shared" si="48"/>
        <v/>
      </c>
      <c r="H13" s="18" t="str">
        <f t="shared" si="48"/>
        <v/>
      </c>
      <c r="I13" s="18" t="str">
        <f t="shared" si="48"/>
        <v/>
      </c>
      <c r="J13" s="18" t="str">
        <f t="shared" si="48"/>
        <v/>
      </c>
      <c r="K13" s="18" t="str">
        <f t="shared" si="48"/>
        <v/>
      </c>
      <c r="O13" s="135"/>
      <c r="Q13" s="38">
        <v>7</v>
      </c>
      <c r="R13" s="38" t="str">
        <f t="shared" si="10"/>
        <v/>
      </c>
      <c r="S13" s="38" t="str">
        <f t="shared" si="11"/>
        <v/>
      </c>
      <c r="T13" s="39" t="str">
        <f t="shared" si="12"/>
        <v/>
      </c>
      <c r="U13" s="41" t="str">
        <f t="shared" si="13"/>
        <v/>
      </c>
      <c r="V13" s="60" t="str">
        <f t="shared" si="40"/>
        <v/>
      </c>
      <c r="W13" s="60" t="str">
        <f t="shared" si="14"/>
        <v/>
      </c>
      <c r="X13" s="141">
        <f t="shared" si="2"/>
        <v>0</v>
      </c>
      <c r="Y13" s="38" t="str">
        <f t="shared" si="3"/>
        <v/>
      </c>
      <c r="Z13" s="38" t="str">
        <f t="shared" si="15"/>
        <v/>
      </c>
      <c r="AA13" s="38" t="str">
        <f t="shared" si="16"/>
        <v/>
      </c>
      <c r="AB13" s="38" t="str">
        <f t="shared" si="17"/>
        <v/>
      </c>
      <c r="AC13" s="38" t="str">
        <f>IF($R13="flat","",IFERROR(RND($AA13)&amp;IF(AND($T14="",$Q13&lt;&gt;1),""," in "&amp;$Y13),""))</f>
        <v/>
      </c>
      <c r="AD13" s="38" t="str">
        <f>IFERROR(IF($Z13=maxyear,"",IF($R13="flat","",RND($AB13)&amp;" in "&amp;$Z13)),"")</f>
        <v/>
      </c>
      <c r="AE13" s="38" t="str">
        <f t="shared" si="4"/>
        <v/>
      </c>
      <c r="AF13" s="38" t="str">
        <f t="shared" si="18"/>
        <v/>
      </c>
      <c r="AG13" s="141">
        <f t="shared" si="19"/>
        <v>0</v>
      </c>
      <c r="AH13" s="141">
        <f t="shared" si="20"/>
        <v>0</v>
      </c>
      <c r="AI13" s="38" t="str">
        <f t="shared" ca="1" si="21"/>
        <v/>
      </c>
      <c r="AJ13" s="38" t="str">
        <f ca="1">IFERROR(RND(INDEX($B$5:$K$7,3,MATCH($AI13,$B$5:$K$5,0))),"")</f>
        <v/>
      </c>
      <c r="AK13" s="38" t="str">
        <f t="shared" si="5"/>
        <v/>
      </c>
      <c r="AL13" s="38" t="str">
        <f>IFERROR(RND(INDEX($B$5:$K$7,3,MATCH($AK13,$B$5:$K$5,0))),"")</f>
        <v/>
      </c>
      <c r="AM13" s="38" t="str">
        <f t="shared" si="22"/>
        <v/>
      </c>
      <c r="AN13" s="38" t="str">
        <f t="shared" ca="1" si="23"/>
        <v/>
      </c>
      <c r="AO13" s="38" t="str">
        <f t="shared" si="24"/>
        <v/>
      </c>
      <c r="AP13" s="38" t="str">
        <f t="shared" si="25"/>
        <v/>
      </c>
      <c r="AQ13" s="38" t="str">
        <f t="shared" ca="1" si="26"/>
        <v/>
      </c>
      <c r="AR13" s="38" t="str">
        <f>IF($AH13,IFERROR(RND($AQ13)&amp;" in "&amp;$AP13,""),"")</f>
        <v/>
      </c>
      <c r="AS13" s="38" t="str">
        <f t="shared" si="6"/>
        <v/>
      </c>
      <c r="AU13" s="41" t="str">
        <f t="shared" si="27"/>
        <v/>
      </c>
      <c r="AV13" s="60" t="str">
        <f t="shared" si="7"/>
        <v/>
      </c>
      <c r="AW13" s="60" t="str">
        <f t="shared" si="8"/>
        <v/>
      </c>
      <c r="AX13" s="38" t="str">
        <f>IF($R13="flat","",IFERROR(IF(AND(OR($Y13+$S13&lt;maxyear-1,$Q13=1),$T13&lt;&gt;"YoY"),RNDFR($AA13)&amp;" en "&amp;$Y13,RNDFR($AA13,0,0,0,1)),""))</f>
        <v/>
      </c>
      <c r="AY13" s="38" t="str">
        <f>IF($R13="flat","",IFERROR(IF($Z13=maxyear,"",RNDFR($AB13)&amp;IF($Y13+$S13&lt;=maxyear-1," en "&amp;$Z13,"")),""))</f>
        <v/>
      </c>
      <c r="AZ13" s="38" t="str">
        <f t="shared" si="28"/>
        <v/>
      </c>
      <c r="BA13" s="38" t="str">
        <f t="shared" si="29"/>
        <v/>
      </c>
      <c r="BB13" s="160" t="str">
        <f>IF($AH13,RNDFR($AN13,0,0,0,1),"")</f>
        <v/>
      </c>
      <c r="BC13" s="160" t="str">
        <f>IF($AH13,RNDFR($AQ13),"")</f>
        <v/>
      </c>
      <c r="BD13" s="160" t="str">
        <f t="shared" si="9"/>
        <v/>
      </c>
    </row>
    <row r="14" spans="1:56" x14ac:dyDescent="0.25">
      <c r="Q14" s="38">
        <v>8</v>
      </c>
      <c r="R14" s="38" t="str">
        <f t="shared" si="10"/>
        <v/>
      </c>
      <c r="S14" s="38" t="str">
        <f t="shared" si="11"/>
        <v/>
      </c>
      <c r="T14" s="39" t="str">
        <f t="shared" si="12"/>
        <v/>
      </c>
      <c r="U14" s="41" t="str">
        <f t="shared" si="13"/>
        <v/>
      </c>
      <c r="V14" s="60" t="str">
        <f t="shared" si="40"/>
        <v/>
      </c>
      <c r="W14" s="60" t="str">
        <f t="shared" si="14"/>
        <v/>
      </c>
      <c r="X14" s="141">
        <f t="shared" si="2"/>
        <v>0</v>
      </c>
      <c r="Y14" s="38" t="str">
        <f t="shared" si="3"/>
        <v/>
      </c>
      <c r="Z14" s="38" t="str">
        <f t="shared" si="15"/>
        <v/>
      </c>
      <c r="AA14" s="38" t="str">
        <f t="shared" si="16"/>
        <v/>
      </c>
      <c r="AB14" s="38" t="str">
        <f t="shared" si="17"/>
        <v/>
      </c>
      <c r="AC14" s="38" t="str">
        <f>IF($R14="flat","",IFERROR(RND($AA14)&amp;IF(AND($T15="",$Q14&lt;&gt;1),""," in "&amp;$Y14),""))</f>
        <v/>
      </c>
      <c r="AD14" s="38" t="str">
        <f>IFERROR(IF($Z14=maxyear,"",IF($R14="flat","",RND($AB14)&amp;" in "&amp;$Z14)),"")</f>
        <v/>
      </c>
      <c r="AE14" s="38" t="str">
        <f t="shared" si="4"/>
        <v/>
      </c>
      <c r="AF14" s="38" t="str">
        <f t="shared" si="18"/>
        <v/>
      </c>
      <c r="AG14" s="141">
        <f t="shared" si="19"/>
        <v>0</v>
      </c>
      <c r="AH14" s="141">
        <f t="shared" si="20"/>
        <v>0</v>
      </c>
      <c r="AI14" s="38" t="str">
        <f t="shared" ca="1" si="21"/>
        <v/>
      </c>
      <c r="AJ14" s="38" t="str">
        <f ca="1">IFERROR(RND(INDEX($B$5:$K$7,3,MATCH($AI14,$B$5:$K$5,0))),"")</f>
        <v/>
      </c>
      <c r="AK14" s="38" t="str">
        <f t="shared" si="5"/>
        <v/>
      </c>
      <c r="AL14" s="38" t="str">
        <f>IFERROR(RND(INDEX($B$5:$K$7,3,MATCH($AK14,$B$5:$K$5,0))),"")</f>
        <v/>
      </c>
      <c r="AM14" s="38" t="str">
        <f t="shared" si="22"/>
        <v/>
      </c>
      <c r="AN14" s="38" t="str">
        <f t="shared" ca="1" si="23"/>
        <v/>
      </c>
      <c r="AO14" s="38" t="str">
        <f t="shared" si="24"/>
        <v/>
      </c>
      <c r="AP14" s="38" t="str">
        <f t="shared" si="25"/>
        <v/>
      </c>
      <c r="AQ14" s="38" t="str">
        <f t="shared" ca="1" si="26"/>
        <v/>
      </c>
      <c r="AR14" s="38" t="str">
        <f>IF($AH14,IFERROR(RND($AQ14)&amp;" in "&amp;$AP14,""),"")</f>
        <v/>
      </c>
      <c r="AS14" s="38" t="str">
        <f t="shared" si="6"/>
        <v/>
      </c>
      <c r="AU14" s="41" t="str">
        <f t="shared" si="27"/>
        <v/>
      </c>
      <c r="AV14" s="60" t="str">
        <f t="shared" si="7"/>
        <v/>
      </c>
      <c r="AW14" s="60" t="str">
        <f t="shared" si="8"/>
        <v/>
      </c>
      <c r="AX14" s="38" t="str">
        <f>IF($R14="flat","",IFERROR(IF(AND(OR($Y14+$S14&lt;maxyear-1,$Q14=1),$T14&lt;&gt;"YoY"),RNDFR($AA14)&amp;" en "&amp;$Y14,RNDFR($AA14,0,0,0,1)),""))</f>
        <v/>
      </c>
      <c r="AY14" s="38" t="str">
        <f>IF($R14="flat","",IFERROR(IF($Z14=maxyear,"",RNDFR($AB14)&amp;IF($Y14+$S14&lt;=maxyear-1," en "&amp;$Z14,"")),""))</f>
        <v/>
      </c>
      <c r="AZ14" s="38" t="str">
        <f t="shared" si="28"/>
        <v/>
      </c>
      <c r="BA14" s="38" t="str">
        <f t="shared" si="29"/>
        <v/>
      </c>
      <c r="BB14" s="160" t="str">
        <f>IF($AH14,RNDFR($AN14,0,0,0,1),"")</f>
        <v/>
      </c>
      <c r="BC14" s="160" t="str">
        <f>IF($AH14,RNDFR($AQ14),"")</f>
        <v/>
      </c>
      <c r="BD14" s="160" t="str">
        <f t="shared" si="9"/>
        <v/>
      </c>
    </row>
    <row r="15" spans="1:56" ht="13" x14ac:dyDescent="0.25">
      <c r="A15" s="11" t="s">
        <v>32</v>
      </c>
      <c r="B15" s="11" t="str">
        <f>IF(OR(B16="",B7=0),"",B$5)</f>
        <v/>
      </c>
      <c r="C15" s="11" t="str">
        <f t="shared" ref="C15:K15" si="49">IF(OR(C16="",C7=0),"",C$5)</f>
        <v/>
      </c>
      <c r="D15" s="11" t="str">
        <f t="shared" si="49"/>
        <v/>
      </c>
      <c r="E15" s="11" t="str">
        <f t="shared" si="49"/>
        <v/>
      </c>
      <c r="F15" s="11" t="str">
        <f t="shared" si="49"/>
        <v/>
      </c>
      <c r="G15" s="11" t="str">
        <f t="shared" si="49"/>
        <v/>
      </c>
      <c r="H15" s="11" t="str">
        <f t="shared" si="49"/>
        <v/>
      </c>
      <c r="I15" s="11" t="str">
        <f t="shared" si="49"/>
        <v/>
      </c>
      <c r="J15" s="11" t="str">
        <f t="shared" si="49"/>
        <v/>
      </c>
      <c r="K15" s="11" t="str">
        <f t="shared" si="49"/>
        <v/>
      </c>
      <c r="O15" s="3"/>
      <c r="Q15" s="38">
        <v>9</v>
      </c>
      <c r="R15" s="38" t="str">
        <f t="shared" si="10"/>
        <v/>
      </c>
      <c r="S15" s="38" t="str">
        <f t="shared" si="11"/>
        <v/>
      </c>
      <c r="T15" s="39" t="str">
        <f t="shared" si="12"/>
        <v/>
      </c>
      <c r="U15" s="41" t="str">
        <f t="shared" si="13"/>
        <v/>
      </c>
      <c r="V15" s="60" t="str">
        <f t="shared" si="40"/>
        <v/>
      </c>
      <c r="W15" s="60" t="str">
        <f t="shared" si="14"/>
        <v/>
      </c>
      <c r="X15" s="141">
        <f t="shared" si="2"/>
        <v>0</v>
      </c>
      <c r="Y15" s="38" t="str">
        <f t="shared" si="3"/>
        <v/>
      </c>
      <c r="Z15" s="38" t="str">
        <f t="shared" si="15"/>
        <v/>
      </c>
      <c r="AA15" s="38" t="str">
        <f t="shared" si="16"/>
        <v/>
      </c>
      <c r="AB15" s="38" t="str">
        <f t="shared" si="17"/>
        <v/>
      </c>
      <c r="AC15" s="38" t="str">
        <f>IF($R15="flat","",IFERROR(RND($AA15)&amp;IF(AND($T16="",$Q15&lt;&gt;1),""," in "&amp;$Y15),""))</f>
        <v/>
      </c>
      <c r="AD15" s="38" t="str">
        <f>IFERROR(IF($Z15=maxyear,"",IF($R15="flat","",RND($AB15)&amp;" in "&amp;$Z15)),"")</f>
        <v/>
      </c>
      <c r="AE15" s="38" t="str">
        <f t="shared" si="4"/>
        <v/>
      </c>
      <c r="AF15" s="38" t="str">
        <f t="shared" si="18"/>
        <v/>
      </c>
      <c r="AG15" s="141">
        <f t="shared" si="19"/>
        <v>0</v>
      </c>
      <c r="AH15" s="141">
        <f t="shared" si="20"/>
        <v>0</v>
      </c>
      <c r="AI15" s="38" t="str">
        <f t="shared" ca="1" si="21"/>
        <v/>
      </c>
      <c r="AJ15" s="38" t="str">
        <f ca="1">IFERROR(RND(INDEX($B$5:$K$7,3,MATCH($AI15,$B$5:$K$5,0))),"")</f>
        <v/>
      </c>
      <c r="AK15" s="38" t="str">
        <f t="shared" si="5"/>
        <v/>
      </c>
      <c r="AL15" s="38" t="str">
        <f>IFERROR(RND(INDEX($B$5:$K$7,3,MATCH($AK15,$B$5:$K$5,0))),"")</f>
        <v/>
      </c>
      <c r="AM15" s="38" t="str">
        <f t="shared" si="22"/>
        <v/>
      </c>
      <c r="AN15" s="38" t="str">
        <f t="shared" ca="1" si="23"/>
        <v/>
      </c>
      <c r="AO15" s="38" t="str">
        <f t="shared" si="24"/>
        <v/>
      </c>
      <c r="AP15" s="38" t="str">
        <f t="shared" si="25"/>
        <v/>
      </c>
      <c r="AQ15" s="38" t="str">
        <f t="shared" ca="1" si="26"/>
        <v/>
      </c>
      <c r="AR15" s="38" t="str">
        <f>IF($AH15,IFERROR(RND($AQ15)&amp;" in "&amp;$AP15,""),"")</f>
        <v/>
      </c>
      <c r="AS15" s="38" t="str">
        <f t="shared" si="6"/>
        <v/>
      </c>
      <c r="AU15" s="41" t="str">
        <f t="shared" si="27"/>
        <v/>
      </c>
      <c r="AV15" s="60" t="str">
        <f t="shared" si="7"/>
        <v/>
      </c>
      <c r="AW15" s="60" t="str">
        <f t="shared" si="8"/>
        <v/>
      </c>
      <c r="AX15" s="38" t="str">
        <f>IF($R15="flat","",IFERROR(IF(AND(OR($Y15+$S15&lt;maxyear-1,$Q15=1),$T15&lt;&gt;"YoY"),RNDFR($AA15)&amp;" en "&amp;$Y15,RNDFR($AA15,0,0,0,1)),""))</f>
        <v/>
      </c>
      <c r="AY15" s="38" t="str">
        <f>IF($R15="flat","",IFERROR(IF($Z15=maxyear,"",RNDFR($AB15)&amp;IF($Y15+$S15&lt;=maxyear-1," en "&amp;$Z15,"")),""))</f>
        <v/>
      </c>
      <c r="AZ15" s="38" t="str">
        <f t="shared" si="28"/>
        <v/>
      </c>
      <c r="BA15" s="38" t="str">
        <f t="shared" si="29"/>
        <v/>
      </c>
      <c r="BB15" s="160" t="str">
        <f>IF($AH15,RNDFR($AN15,0,0,0,1),"")</f>
        <v/>
      </c>
      <c r="BC15" s="160" t="str">
        <f>IF($AH15,RNDFR($AQ15),"")</f>
        <v/>
      </c>
      <c r="BD15" s="160" t="str">
        <f t="shared" si="9"/>
        <v/>
      </c>
    </row>
    <row r="16" spans="1:56" x14ac:dyDescent="0.25">
      <c r="A16" s="18"/>
      <c r="B16" s="18" t="str">
        <f>IFERROR(B7/B6,"")</f>
        <v/>
      </c>
      <c r="C16" s="18" t="str">
        <f t="shared" ref="C16:K16" si="50">IFERROR(C7/C6,"")</f>
        <v/>
      </c>
      <c r="D16" s="18" t="str">
        <f t="shared" si="50"/>
        <v/>
      </c>
      <c r="E16" s="18" t="str">
        <f t="shared" si="50"/>
        <v/>
      </c>
      <c r="F16" s="18" t="str">
        <f t="shared" si="50"/>
        <v/>
      </c>
      <c r="G16" s="18" t="str">
        <f t="shared" si="50"/>
        <v/>
      </c>
      <c r="H16" s="18" t="str">
        <f t="shared" si="50"/>
        <v/>
      </c>
      <c r="I16" s="18" t="str">
        <f t="shared" si="50"/>
        <v/>
      </c>
      <c r="J16" s="18" t="str">
        <f>IFERROR(J7/J6,"")</f>
        <v/>
      </c>
      <c r="K16" s="18" t="str">
        <f t="shared" si="50"/>
        <v/>
      </c>
      <c r="O16" s="187"/>
      <c r="Q16" s="38">
        <v>10</v>
      </c>
      <c r="R16" s="38" t="str">
        <f t="shared" si="10"/>
        <v/>
      </c>
      <c r="S16" s="38" t="str">
        <f t="shared" si="11"/>
        <v/>
      </c>
      <c r="T16" s="39" t="str">
        <f t="shared" si="12"/>
        <v/>
      </c>
      <c r="U16" s="41" t="str">
        <f t="shared" si="13"/>
        <v/>
      </c>
      <c r="V16" s="60" t="str">
        <f t="shared" si="40"/>
        <v/>
      </c>
      <c r="W16" s="60" t="str">
        <f t="shared" si="14"/>
        <v/>
      </c>
      <c r="X16" s="141">
        <f t="shared" si="2"/>
        <v>0</v>
      </c>
      <c r="Y16" s="38" t="str">
        <f t="shared" si="3"/>
        <v/>
      </c>
      <c r="Z16" s="38" t="str">
        <f t="shared" si="15"/>
        <v/>
      </c>
      <c r="AA16" s="38" t="str">
        <f t="shared" si="16"/>
        <v/>
      </c>
      <c r="AB16" s="38" t="str">
        <f t="shared" si="17"/>
        <v/>
      </c>
      <c r="AC16" s="38" t="str">
        <f>IF($R16="flat","",IFERROR(RND($AA16)&amp;IF(AND($T17="",$Q16&lt;&gt;1),""," in "&amp;$Y16),""))</f>
        <v/>
      </c>
      <c r="AD16" s="38" t="str">
        <f>IFERROR(IF($Z16=maxyear,"",IF($R16="flat","",RND($AB16)&amp;" in "&amp;$Z16)),"")</f>
        <v/>
      </c>
      <c r="AE16" s="38" t="str">
        <f t="shared" si="4"/>
        <v/>
      </c>
      <c r="AF16" s="38" t="str">
        <f t="shared" si="18"/>
        <v/>
      </c>
      <c r="AG16" s="141">
        <f t="shared" si="19"/>
        <v>0</v>
      </c>
      <c r="AH16" s="141">
        <f t="shared" si="20"/>
        <v>0</v>
      </c>
      <c r="AI16" s="38" t="str">
        <f t="shared" ca="1" si="21"/>
        <v/>
      </c>
      <c r="AJ16" s="38" t="str">
        <f ca="1">IFERROR(RND(INDEX($B$5:$K$7,3,MATCH($AI16,$B$5:$K$5,0))),"")</f>
        <v/>
      </c>
      <c r="AK16" s="38" t="str">
        <f t="shared" si="5"/>
        <v/>
      </c>
      <c r="AL16" s="38" t="str">
        <f>IFERROR(RND(INDEX($B$5:$K$7,3,MATCH($AK16,$B$5:$K$5,0))),"")</f>
        <v/>
      </c>
      <c r="AM16" s="38" t="str">
        <f t="shared" si="22"/>
        <v/>
      </c>
      <c r="AN16" s="38" t="str">
        <f t="shared" ca="1" si="23"/>
        <v/>
      </c>
      <c r="AO16" s="38" t="str">
        <f t="shared" si="24"/>
        <v/>
      </c>
      <c r="AP16" s="38" t="str">
        <f t="shared" si="25"/>
        <v/>
      </c>
      <c r="AQ16" s="38" t="str">
        <f t="shared" ca="1" si="26"/>
        <v/>
      </c>
      <c r="AR16" s="38" t="str">
        <f>IF($AH16,IFERROR(RND($AQ16)&amp;" in "&amp;$AP16,""),"")</f>
        <v/>
      </c>
      <c r="AS16" s="38" t="str">
        <f t="shared" si="6"/>
        <v/>
      </c>
      <c r="AT16"/>
      <c r="AU16" s="41" t="str">
        <f t="shared" si="27"/>
        <v/>
      </c>
      <c r="AV16" s="60" t="str">
        <f t="shared" si="7"/>
        <v/>
      </c>
      <c r="AW16" s="60" t="str">
        <f t="shared" si="8"/>
        <v/>
      </c>
      <c r="AX16" s="38" t="str">
        <f>IF($R16="flat","",IFERROR(IF(AND(OR($Y16+$S16&lt;maxyear-1,$Q16=1),$T16&lt;&gt;"YoY"),RNDFR($AA16)&amp;" en "&amp;$Y16,RNDFR($AA16,0,0,0,1)),""))</f>
        <v/>
      </c>
      <c r="AY16" s="38" t="str">
        <f>IF($R16="flat","",IFERROR(IF($Z16=maxyear,"",RNDFR($AB16)&amp;IF($Y16+$S16&lt;=maxyear-1," en "&amp;$Z16,"")),""))</f>
        <v/>
      </c>
      <c r="AZ16" s="38" t="str">
        <f t="shared" si="28"/>
        <v/>
      </c>
      <c r="BA16" s="38" t="str">
        <f t="shared" si="29"/>
        <v/>
      </c>
      <c r="BB16" s="160" t="str">
        <f>IF($AH16,RNDFR($AN16,0,0,0,1),"")</f>
        <v/>
      </c>
      <c r="BC16" s="160" t="str">
        <f>IF($AH16,RNDFR($AQ16),"")</f>
        <v/>
      </c>
      <c r="BD16" s="160" t="str">
        <f t="shared" si="9"/>
        <v/>
      </c>
    </row>
    <row r="17" spans="1:64" ht="12.5" customHeight="1" x14ac:dyDescent="0.25">
      <c r="B17" s="6"/>
      <c r="C17" s="6"/>
      <c r="D17" s="6"/>
      <c r="E17" s="6"/>
      <c r="F17" s="6"/>
      <c r="G17" s="6"/>
      <c r="H17" s="6"/>
      <c r="I17" s="6"/>
      <c r="J17" s="6"/>
      <c r="K17" s="6"/>
      <c r="Q17" s="42"/>
      <c r="R17" s="42"/>
      <c r="S17" s="42"/>
      <c r="T17" s="20"/>
      <c r="U17" s="134"/>
      <c r="V17" s="134"/>
      <c r="W17" s="43"/>
      <c r="X17" s="43"/>
      <c r="Y17" s="134"/>
      <c r="Z17" s="134"/>
      <c r="AA17" s="134"/>
      <c r="AB17" s="134"/>
      <c r="AC17" s="134"/>
      <c r="AD17" s="134"/>
      <c r="AE17" s="134"/>
      <c r="AF17" s="134"/>
      <c r="AI17"/>
      <c r="AJ17"/>
      <c r="AK17"/>
      <c r="AL17"/>
      <c r="AN17"/>
      <c r="AO17"/>
      <c r="AP17"/>
      <c r="AQ17"/>
      <c r="AR17"/>
      <c r="AS17"/>
      <c r="AT17"/>
      <c r="AU17" s="223" t="e">
        <f>IFERROR(BA6&amp;BA7&amp;BD7&amp;BA8&amp;BD8&amp;BA9&amp;BD9&amp;BA10&amp;BD10&amp;BA11&amp;BD11&amp;BA12&amp;BD12&amp;BA13&amp;BD13&amp;BA14&amp;BD14&amp;BA15&amp;BD15&amp;BA16&amp;BD16&amp;Industry!U27&amp;Industry!U32,"Les données sur l'IDE en provenance "&amp;prefixFr3&amp;countryFr&amp;" sur la base de PII ne sont pas disponibles. ")</f>
        <v>#N/A</v>
      </c>
      <c r="AV17" s="224"/>
      <c r="AW17" s="224"/>
      <c r="AX17" s="224"/>
      <c r="AY17" s="224"/>
      <c r="AZ17" s="224"/>
      <c r="BA17" s="224"/>
      <c r="BB17" s="224"/>
      <c r="BC17" s="225"/>
    </row>
    <row r="18" spans="1:64" ht="13.25" customHeight="1" x14ac:dyDescent="0.25">
      <c r="A18" s="1" t="s">
        <v>94</v>
      </c>
      <c r="B18" s="34">
        <v>0.04</v>
      </c>
      <c r="C18" s="6"/>
      <c r="D18" s="6"/>
      <c r="E18" s="6"/>
      <c r="F18" s="6"/>
      <c r="G18" s="6"/>
      <c r="H18" s="6"/>
      <c r="I18" s="6"/>
      <c r="J18" s="6"/>
      <c r="K18" s="6"/>
      <c r="X18" s="136"/>
      <c r="Y18" s="134"/>
      <c r="Z18" s="134"/>
      <c r="AA18" s="134"/>
      <c r="AB18" s="134"/>
      <c r="AC18" s="134"/>
      <c r="AD18" s="134"/>
      <c r="AE18" s="134"/>
      <c r="AF18" s="134"/>
      <c r="AI18"/>
      <c r="AJ18"/>
      <c r="AK18"/>
      <c r="AL18"/>
      <c r="AM18"/>
      <c r="AN18"/>
      <c r="AO18"/>
      <c r="AP18"/>
      <c r="AQ18"/>
      <c r="AR18"/>
      <c r="AS18"/>
      <c r="AT18"/>
      <c r="AU18" s="226"/>
      <c r="AV18" s="227"/>
      <c r="AW18" s="227"/>
      <c r="AX18" s="227"/>
      <c r="AY18" s="227"/>
      <c r="AZ18" s="227"/>
      <c r="BA18" s="227"/>
      <c r="BB18" s="227"/>
      <c r="BC18" s="228"/>
    </row>
    <row r="19" spans="1:64" ht="15.5" customHeight="1" x14ac:dyDescent="0.35">
      <c r="A19" s="11" t="s">
        <v>188</v>
      </c>
      <c r="B19" s="8" t="str">
        <f t="shared" ref="B19" si="51">IF(ISNUMBER(A7),IF(AND(B7&lt;A7*(1+$B18),B7&gt;A7*(1-$B18)),"neutral",IF(B7&gt;A7,"increase","decrease")),"")</f>
        <v/>
      </c>
      <c r="C19" s="8" t="str">
        <f t="shared" ref="C19" si="52">IF(ISNUMBER(B7),IF(AND(C7&lt;B7*(1+$B18),C7&gt;B7*(1-$B18)),"neutral",IF(C7&gt;B7,"increase","decrease")),"")</f>
        <v/>
      </c>
      <c r="D19" s="8" t="str">
        <f t="shared" ref="D19" si="53">IF(ISNUMBER(C7),IF(AND(D7&lt;C7*(1+$B18),D7&gt;C7*(1-$B18)),"neutral",IF(D7&gt;C7,"increase","decrease")),"")</f>
        <v/>
      </c>
      <c r="E19" s="8" t="str">
        <f t="shared" ref="E19" si="54">IF(ISNUMBER(D7),IF(AND(E7&lt;D7*(1+$B18),E7&gt;D7*(1-$B18)),"neutral",IF(E7&gt;D7,"increase","decrease")),"")</f>
        <v/>
      </c>
      <c r="F19" s="8" t="str">
        <f t="shared" ref="F19" si="55">IF(ISNUMBER(E7),IF(AND(F7&lt;E7*(1+$B18),F7&gt;E7*(1-$B18)),"neutral",IF(F7&gt;E7,"increase","decrease")),"")</f>
        <v/>
      </c>
      <c r="G19" s="8" t="str">
        <f t="shared" ref="G19" si="56">IF(ISNUMBER(F7),IF(AND(G7&lt;F7*(1+$B18),G7&gt;F7*(1-$B18)),"neutral",IF(G7&gt;F7,"increase","decrease")),"")</f>
        <v/>
      </c>
      <c r="H19" s="8" t="str">
        <f t="shared" ref="H19" si="57">IF(ISNUMBER(G7),IF(AND(H7&lt;G7*(1+$B18),H7&gt;G7*(1-$B18)),"neutral",IF(H7&gt;G7,"increase","decrease")),"")</f>
        <v/>
      </c>
      <c r="I19" s="8" t="str">
        <f t="shared" ref="I19" si="58">IF(ISNUMBER(H7),IF(AND(I7&lt;H7*(1+$B18),I7&gt;H7*(1-$B18)),"neutral",IF(I7&gt;H7,"increase","decrease")),"")</f>
        <v/>
      </c>
      <c r="J19" s="8" t="str">
        <f t="shared" ref="J19" si="59">IF(ISNUMBER(I7),IF(AND(J7&lt;I7*(1+$B18),J7&gt;I7*(1-$B18)),"neutral",IF(J7&gt;I7,"increase","decrease")),"")</f>
        <v/>
      </c>
      <c r="K19" s="142" t="str">
        <f t="shared" ref="K19" si="60">IF(ISNUMBER(J7),IF(AND(K7&lt;J7*(1+$B18),K7&gt;J7*(1-$B18)),"neutral",IF(K7&gt;J7,"increase","decrease")),"")</f>
        <v/>
      </c>
      <c r="L19" s="143" t="s">
        <v>95</v>
      </c>
      <c r="M19" s="35"/>
      <c r="Q19" s="223" t="str">
        <f>IFERROR(AF6&amp;AF7&amp;AS7&amp;AF8&amp;AS8&amp;AF9&amp;AS9&amp;AF10&amp;AS10&amp;AF11&amp;AS11&amp;AF12&amp;AS12&amp;AF13&amp;AS13&amp;AF14&amp;AS14&amp;AF15&amp;AS15&amp;AF16&amp;AS16&amp;Industry!U7&amp;Industry!U12,"Data on Foreign Direct Investment from "&amp;country&amp;" on an IIC basis are unavailable. ")</f>
        <v xml:space="preserve">Data on Foreign Direct Investment from Australia on an IIC basis are unavailable. </v>
      </c>
      <c r="R19" s="224"/>
      <c r="S19" s="224"/>
      <c r="T19" s="224"/>
      <c r="U19" s="224"/>
      <c r="V19" s="224"/>
      <c r="W19" s="224"/>
      <c r="X19" s="224"/>
      <c r="Y19" s="224"/>
      <c r="Z19" s="224"/>
      <c r="AA19" s="224"/>
      <c r="AB19" s="224"/>
      <c r="AC19" s="224"/>
      <c r="AD19" s="224"/>
      <c r="AE19" s="224"/>
      <c r="AF19" s="225"/>
      <c r="AI19"/>
      <c r="AJ19"/>
      <c r="AK19"/>
      <c r="AL19"/>
      <c r="AM19"/>
      <c r="AN19"/>
      <c r="AO19"/>
      <c r="AP19"/>
      <c r="AQ19"/>
      <c r="AR19"/>
      <c r="AS19"/>
      <c r="AT19"/>
      <c r="AU19" s="226"/>
      <c r="AV19" s="227"/>
      <c r="AW19" s="227"/>
      <c r="AX19" s="227"/>
      <c r="AY19" s="227"/>
      <c r="AZ19" s="227"/>
      <c r="BA19" s="227"/>
      <c r="BB19" s="227"/>
      <c r="BC19" s="228"/>
      <c r="BD19" s="162"/>
    </row>
    <row r="20" spans="1:64" ht="15.5" x14ac:dyDescent="0.35">
      <c r="A20" s="11" t="s">
        <v>117</v>
      </c>
      <c r="B20" s="8" t="str">
        <f>IF(LEN(C24)&lt;1,"",IF(AND(LEN(C24)&gt;1,LEN(B24)&lt;1),0,IF(AND(B24="flat",A24&lt;&gt;"flat",C24&lt;&gt;"flat"),0,IF(B24=A24,0,1))))</f>
        <v/>
      </c>
      <c r="C20" s="8" t="str">
        <f>IF(LEN(D24)&lt;1,"",IF(AND(LEN(D24)&gt;1,LEN(C24)&lt;1),0,IF(AND(C24="flat",B24&lt;&gt;"flat",D24&lt;&gt;"flat"),0,IF(C24=B24,0,1))))</f>
        <v/>
      </c>
      <c r="D20" s="8" t="str">
        <f t="shared" ref="D20:J20" si="61">IF(LEN(E24)&lt;1,"",IF(AND(LEN(E24)&gt;1,LEN(D24)&lt;1),0,IF(AND(D24="flat",C24&lt;&gt;"flat",E24&lt;&gt;"flat"),0,IF(D24=C24,0,1))))</f>
        <v/>
      </c>
      <c r="E20" s="8" t="str">
        <f t="shared" si="61"/>
        <v/>
      </c>
      <c r="F20" s="8" t="str">
        <f t="shared" si="61"/>
        <v/>
      </c>
      <c r="G20" s="8" t="str">
        <f t="shared" si="61"/>
        <v/>
      </c>
      <c r="H20" s="8" t="str">
        <f>IF(LEN(I24)&lt;1,"",IF(AND(LEN(I24)&gt;1,LEN(H24)&lt;1),0,IF(AND(H24="flat",G24&lt;&gt;"flat",I24&lt;&gt;"flat"),0,IF(H24=G24,0,1))))</f>
        <v/>
      </c>
      <c r="I20" s="8" t="str">
        <f>IF(LEN(J24)&lt;1,"",IF(AND(LEN(J24)&gt;1,LEN(I24)&lt;1),0,IF(AND(I24="flat",H24&lt;&gt;"flat",J24&lt;&gt;"flat"),0,IF(I24=H24,0,1))))</f>
        <v/>
      </c>
      <c r="J20" s="8" t="str">
        <f t="shared" si="61"/>
        <v/>
      </c>
      <c r="K20" s="8">
        <f>IF(LEN(L24)&lt;1,"",IF(AND(LEN(L24)&gt;1,LEN(K24)&lt;1),0,IF(AND(K24="flat",J24&lt;&gt;"flat",L24&lt;&gt;"flat"),0,IF(K24=J24,0,1))))</f>
        <v>0</v>
      </c>
      <c r="L20" s="33"/>
      <c r="M20" s="35"/>
      <c r="Q20" s="226"/>
      <c r="R20" s="227"/>
      <c r="S20" s="227"/>
      <c r="T20" s="227"/>
      <c r="U20" s="227"/>
      <c r="V20" s="227"/>
      <c r="W20" s="227"/>
      <c r="X20" s="227"/>
      <c r="Y20" s="227"/>
      <c r="Z20" s="227"/>
      <c r="AA20" s="227"/>
      <c r="AB20" s="227"/>
      <c r="AC20" s="227"/>
      <c r="AD20" s="227"/>
      <c r="AE20" s="227"/>
      <c r="AF20" s="228"/>
      <c r="AI20"/>
      <c r="AJ20"/>
      <c r="AK20"/>
      <c r="AL20"/>
      <c r="AM20"/>
      <c r="AN20"/>
      <c r="AO20"/>
      <c r="AP20"/>
      <c r="AQ20"/>
      <c r="AR20"/>
      <c r="AS20"/>
      <c r="AT20"/>
      <c r="AU20" s="226"/>
      <c r="AV20" s="227"/>
      <c r="AW20" s="227"/>
      <c r="AX20" s="227"/>
      <c r="AY20" s="227"/>
      <c r="AZ20" s="227"/>
      <c r="BA20" s="227"/>
      <c r="BB20" s="227"/>
      <c r="BC20" s="228"/>
      <c r="BD20" s="162"/>
    </row>
    <row r="21" spans="1:64" ht="13" x14ac:dyDescent="0.25">
      <c r="A21" s="11" t="s">
        <v>96</v>
      </c>
      <c r="B21" s="8" t="str">
        <f>IF(LEN(C19)&lt;1,"",IF(AND(LEN(C19)&gt;1,LEN(B19)&lt;1),0,IF(B19=A19,A21,IF(AND(B19="neutral",A19&lt;&gt;"neutral",C19&lt;&gt;"neutral"),IF(LEN(C21)&gt;0,C21,A21),SUM($B20:B20)))))</f>
        <v/>
      </c>
      <c r="C21" s="8" t="str">
        <f>IF(LEN(D19)&lt;1,"",IF(AND(LEN(D19)&gt;1,LEN(C19)&lt;1),0,IF(C19=B19,B21,IF(AND(C19="neutral",B19&lt;&gt;"neutral",D19&lt;&gt;"neutral"),IF(LEN(D21)&gt;0,D21,B21),SUM($B20:C20)))))</f>
        <v/>
      </c>
      <c r="D21" s="8" t="str">
        <f>IF(LEN(E19)&lt;1,"",IF(AND(LEN(E19)&gt;1,LEN(D19)&lt;1),0,IF(D19=C19,C21,IF(AND(D19="neutral",C19&lt;&gt;"neutral",E19&lt;&gt;"neutral"),IF(LEN(E21)&gt;0,E21,C21),SUM($B20:D20)))))</f>
        <v/>
      </c>
      <c r="E21" s="8" t="str">
        <f>IF(LEN(F19)&lt;1,"",IF(AND(LEN(F19)&gt;1,LEN(E19)&lt;1),0,IF(E19=D19,D21,IF(AND(E19="neutral",D19&lt;&gt;"neutral",F19&lt;&gt;"neutral"),IF(LEN(F21)&gt;0,F21,D21),SUM($B20:E20)))))</f>
        <v/>
      </c>
      <c r="F21" s="8" t="str">
        <f>IF(LEN(G19)&lt;1,"",IF(AND(LEN(G19)&gt;1,LEN(F19)&lt;1),0,IF(F19=E19,E21,IF(AND(F19="neutral",E19&lt;&gt;"neutral",G19&lt;&gt;"neutral"),IF(LEN(G21)&gt;0,G21,E21),SUM($B20:F20)))))</f>
        <v/>
      </c>
      <c r="G21" s="8" t="str">
        <f>IF(LEN(H19)&lt;1,"",IF(AND(LEN(H19)&gt;1,LEN(G19)&lt;1),0,IF(G19=F19,F21,IF(AND(G19="neutral",F19&lt;&gt;"neutral",H19&lt;&gt;"neutral"),IF(LEN(H21)&gt;0,H21,F21),SUM($B20:G20)))))</f>
        <v/>
      </c>
      <c r="H21" s="8" t="str">
        <f>IF(LEN(I19)&lt;1,"",IF(AND(LEN(I19)&gt;1,LEN(H19)&lt;1),0,IF(H19=G19,G21,IF(AND(H19="neutral",G19&lt;&gt;"neutral",I19&lt;&gt;"neutral"),IF(LEN(I21)&gt;0,I21,G21),SUM($B20:H20)))))</f>
        <v/>
      </c>
      <c r="I21" s="8" t="str">
        <f>IF(LEN(J19)&lt;1,"",IF(AND(LEN(J19)&gt;1,LEN(I19)&lt;1),0,IF(I19=H19,H21,IF(AND(I19="neutral",H19&lt;&gt;"neutral",J19&lt;&gt;"neutral"),IF(LEN(J21)&gt;0,J21,H21),SUM($B20:I20)))))</f>
        <v/>
      </c>
      <c r="J21" s="8" t="str">
        <f>IF(LEN(K19)&lt;1,"",IF(AND(LEN(K19)&gt;1,LEN(J19)&lt;1),0,IF(J19=I19,I21,IF(AND(J19="neutral",I19&lt;&gt;"neutral",K19&lt;&gt;"neutral"),IF(LEN(K21)&gt;0,K21,I21),SUM($B20:J20)))))</f>
        <v/>
      </c>
      <c r="K21" s="8">
        <f>IF(LEN(L19)&lt;1,"",IF(AND(LEN(L19)&gt;1,LEN(K19)&lt;1),0,IF(K19=J19,J21,IF(AND(K19="neutral",J19&lt;&gt;"neutral",L19&lt;&gt;"neutral"),IF(LEN(L21)&gt;0,L21,J21),SUM($B20:K20)))))</f>
        <v>0</v>
      </c>
      <c r="L21" s="33"/>
      <c r="N21" s="48"/>
      <c r="Q21" s="226"/>
      <c r="R21" s="227"/>
      <c r="S21" s="227"/>
      <c r="T21" s="227"/>
      <c r="U21" s="227"/>
      <c r="V21" s="227"/>
      <c r="W21" s="227"/>
      <c r="X21" s="227"/>
      <c r="Y21" s="227"/>
      <c r="Z21" s="227"/>
      <c r="AA21" s="227"/>
      <c r="AB21" s="227"/>
      <c r="AC21" s="227"/>
      <c r="AD21" s="227"/>
      <c r="AE21" s="227"/>
      <c r="AF21" s="228"/>
      <c r="AH21" s="150">
        <f>maxyear</f>
        <v>0</v>
      </c>
      <c r="AI21" s="150">
        <f>maxyear-1</f>
        <v>-1</v>
      </c>
      <c r="AJ21" s="150" t="s">
        <v>188</v>
      </c>
      <c r="AK21" s="150" t="s">
        <v>266</v>
      </c>
      <c r="AL21" s="150" t="s">
        <v>269</v>
      </c>
      <c r="AU21" s="226"/>
      <c r="AV21" s="227"/>
      <c r="AW21" s="227"/>
      <c r="AX21" s="227"/>
      <c r="AY21" s="227"/>
      <c r="AZ21" s="227"/>
      <c r="BA21" s="227"/>
      <c r="BB21" s="227"/>
      <c r="BC21" s="228"/>
      <c r="BF21" s="150">
        <f>maxyear</f>
        <v>0</v>
      </c>
      <c r="BG21" s="150">
        <f>maxyear-1</f>
        <v>-1</v>
      </c>
      <c r="BH21" s="150" t="s">
        <v>188</v>
      </c>
      <c r="BI21" s="150" t="s">
        <v>266</v>
      </c>
      <c r="BJ21" s="150" t="s">
        <v>269</v>
      </c>
    </row>
    <row r="22" spans="1:64" ht="13" x14ac:dyDescent="0.25">
      <c r="A22" s="11" t="s">
        <v>92</v>
      </c>
      <c r="B22" s="18" t="str">
        <f>IF(AND(C21&lt;&gt;B21,B21&gt;0,ISNUMBER(B21)),((B7/(INDEX($A5:$K7,3,MATCH(B21,$A21:$K21,0)-1)))^(1/(COUNTIF($B21:$K21,B21))))-1,"")</f>
        <v/>
      </c>
      <c r="C22" s="18" t="str">
        <f>IF(AND(D21&lt;&gt;C21,C21&gt;0,ISNUMBER(C21)),_xlfn.RRI(COUNTIF($B21:$K21,C21),INDEX($A5:$K7,3,MATCH(C21,$A21:$K21,0)-1),C7),"")</f>
        <v/>
      </c>
      <c r="D22" s="18" t="str">
        <f t="shared" ref="D22:K22" si="62">IF(AND(E21&lt;&gt;D21,D21&gt;0,ISNUMBER(D21)),_xlfn.RRI(COUNTIF($B21:$K21,D21),INDEX($A5:$K7,3,MATCH(D21,$A21:$K21,0)-1),D7),"")</f>
        <v/>
      </c>
      <c r="E22" s="18" t="str">
        <f t="shared" si="62"/>
        <v/>
      </c>
      <c r="F22" s="18" t="str">
        <f t="shared" si="62"/>
        <v/>
      </c>
      <c r="G22" s="18" t="str">
        <f t="shared" si="62"/>
        <v/>
      </c>
      <c r="H22" s="18" t="str">
        <f t="shared" si="62"/>
        <v/>
      </c>
      <c r="I22" s="18" t="str">
        <f>IF(AND(J21&lt;&gt;I21,I21&gt;0,ISNUMBER(I21)),_xlfn.RRI(COUNTIF($B21:$K21,I21),INDEX($A5:$K7,3,MATCH(I21,$A21:$K21,0)-1),I7),"")</f>
        <v/>
      </c>
      <c r="J22" s="18" t="str">
        <f t="shared" si="62"/>
        <v/>
      </c>
      <c r="K22" s="18" t="str">
        <f t="shared" si="62"/>
        <v/>
      </c>
      <c r="Q22" s="229"/>
      <c r="R22" s="230"/>
      <c r="S22" s="230"/>
      <c r="T22" s="230"/>
      <c r="U22" s="230"/>
      <c r="V22" s="230"/>
      <c r="W22" s="230"/>
      <c r="X22" s="230"/>
      <c r="Y22" s="230"/>
      <c r="Z22" s="230"/>
      <c r="AA22" s="230"/>
      <c r="AB22" s="230"/>
      <c r="AC22" s="230"/>
      <c r="AD22" s="230"/>
      <c r="AE22" s="230"/>
      <c r="AF22" s="231"/>
      <c r="AH22" s="38" t="e">
        <f>RNDP($K$16,0,1)</f>
        <v>#VALUE!</v>
      </c>
      <c r="AI22" s="38" t="e">
        <f>RNDP($J$16,0,1)</f>
        <v>#VALUE!</v>
      </c>
      <c r="AJ22" s="38" t="e">
        <f>IF($AH22&gt;$AI22,", up from "&amp;$AI22&amp;"%"&amp;" in "&amp;maxyear-1,IF($AH22&lt;$AI22,", down from "&amp;$AI22&amp;"%"&amp;" in "&amp;maxyear-1,", unchanged from the previous year"))</f>
        <v>#VALUE!</v>
      </c>
      <c r="AK22" s="38" t="e">
        <f>$N$7&amp;IF(AND(MOD(ABS($N$7),100)&gt;10,MOD(ABS($N$7),100)&lt;14),"th",CHOOSE(MOD(ABS($N$7),10)+1,"th","st","nd","rd","th","th","th","th","th","th"))</f>
        <v>#N/A</v>
      </c>
      <c r="AL22" s="38" t="e">
        <f>$M$7&amp;IF(AND(MOD(ABS($M$7),100)&gt;10,MOD(ABS($M$7),100)&lt;14),"th",CHOOSE(MOD(ABS($M$7),10)+1,"th","st","nd","rd","th","th","th","th","th","th"))</f>
        <v>#N/A</v>
      </c>
      <c r="AU22" s="226"/>
      <c r="AV22" s="227"/>
      <c r="AW22" s="227"/>
      <c r="AX22" s="227"/>
      <c r="AY22" s="227"/>
      <c r="AZ22" s="227"/>
      <c r="BA22" s="227"/>
      <c r="BB22" s="227"/>
      <c r="BC22" s="228"/>
      <c r="BD22" s="162"/>
      <c r="BF22" s="38" t="e">
        <f>RNDPFR($K$16)</f>
        <v>#VALUE!</v>
      </c>
      <c r="BG22" s="38" t="e">
        <f>RNDPFR($J$16)</f>
        <v>#VALUE!</v>
      </c>
      <c r="BH22" s="38" t="e">
        <f>IF($AH22&gt;$AI22,", en hausse par rapport au niveau de "&amp;$BG22&amp;" observé en "&amp;maxyear-1,IF($AH22&lt;$AI22,", en baisse par rapport au niveau de "&amp;$BG22&amp;" observé en "&amp;maxyear-1,", inchangé par rapport à l'année précédente"))</f>
        <v>#VALUE!</v>
      </c>
      <c r="BI22" s="38" t="e">
        <f>$N$7&amp;"e"</f>
        <v>#N/A</v>
      </c>
      <c r="BJ22" s="38" t="e">
        <f>$M$7&amp;"e"</f>
        <v>#N/A</v>
      </c>
    </row>
    <row r="23" spans="1:64" ht="13" x14ac:dyDescent="0.25">
      <c r="A23" s="11" t="s">
        <v>93</v>
      </c>
      <c r="B23" s="47" t="str">
        <f t="shared" ref="B23" si="63">IF(AND(OR(ISNUMBER(A22),A21=0),ISNUMBER(B22)),B22,"")</f>
        <v/>
      </c>
      <c r="C23" s="47" t="str">
        <f t="shared" ref="C23" si="64">IF(AND(OR(ISNUMBER(B22),B21=0),ISNUMBER(C22)),C22,"")</f>
        <v/>
      </c>
      <c r="D23" s="47" t="str">
        <f t="shared" ref="D23" si="65">IF(AND(OR(ISNUMBER(C22),C21=0),ISNUMBER(D22)),D22,"")</f>
        <v/>
      </c>
      <c r="E23" s="47" t="str">
        <f>IF(AND(OR(ISNUMBER(D22),D21=0),ISNUMBER(E22)),E22,"")</f>
        <v/>
      </c>
      <c r="F23" s="47" t="str">
        <f t="shared" ref="F23" si="66">IF(AND(OR(ISNUMBER(E22),E21=0),ISNUMBER(F22)),F22,"")</f>
        <v/>
      </c>
      <c r="G23" s="47" t="str">
        <f t="shared" ref="G23" si="67">IF(AND(OR(ISNUMBER(F22),F21=0),ISNUMBER(G22)),G22,"")</f>
        <v/>
      </c>
      <c r="H23" s="47" t="str">
        <f t="shared" ref="H23" si="68">IF(AND(OR(ISNUMBER(G22),G21=0),ISNUMBER(H22)),H22,"")</f>
        <v/>
      </c>
      <c r="I23" s="47" t="str">
        <f>IF(AND(OR(ISNUMBER(H22),H21=0),ISNUMBER(I22)),I22,"")</f>
        <v/>
      </c>
      <c r="J23" s="47" t="str">
        <f t="shared" ref="J23" si="69">IF(AND(OR(ISNUMBER(I22),I21=0),ISNUMBER(J22)),J22,"")</f>
        <v/>
      </c>
      <c r="K23" s="47" t="str">
        <f t="shared" ref="K23" si="70">IF(AND(OR(ISNUMBER(J22),J21=0),ISNUMBER(K22)),K22,"")</f>
        <v/>
      </c>
      <c r="S23" s="49"/>
      <c r="T23" s="49"/>
      <c r="U23" s="49"/>
      <c r="V23" s="49"/>
      <c r="W23" s="49"/>
      <c r="X23" s="49"/>
      <c r="Y23" s="49"/>
      <c r="Z23" s="49"/>
      <c r="AA23" s="49"/>
      <c r="AB23" s="49"/>
      <c r="AC23" s="49"/>
      <c r="AD23" s="49"/>
      <c r="AE23" s="49"/>
      <c r="AF23" s="49"/>
      <c r="AU23" s="226"/>
      <c r="AV23" s="227"/>
      <c r="AW23" s="227"/>
      <c r="AX23" s="227"/>
      <c r="AY23" s="227"/>
      <c r="AZ23" s="227"/>
      <c r="BA23" s="227"/>
      <c r="BB23" s="227"/>
      <c r="BC23" s="228"/>
    </row>
    <row r="24" spans="1:64" ht="13" customHeight="1" x14ac:dyDescent="0.25">
      <c r="A24" s="71" t="s">
        <v>203</v>
      </c>
      <c r="B24" s="13" t="str">
        <f t="shared" ref="B24:J24" si="71">IF(B19="neutral",IF(AND(A19&lt;&gt;"neutral",C19&lt;&gt;"neutral"),IF(C24&lt;&gt;"end",C24,A24),"flat"),IF(B19="increase","up",IF(B19="decrease","down","")))</f>
        <v/>
      </c>
      <c r="C24" s="13" t="str">
        <f t="shared" si="71"/>
        <v/>
      </c>
      <c r="D24" s="13" t="str">
        <f t="shared" si="71"/>
        <v/>
      </c>
      <c r="E24" s="13" t="str">
        <f t="shared" si="71"/>
        <v/>
      </c>
      <c r="F24" s="13" t="str">
        <f t="shared" si="71"/>
        <v/>
      </c>
      <c r="G24" s="13" t="str">
        <f t="shared" si="71"/>
        <v/>
      </c>
      <c r="H24" s="13" t="str">
        <f t="shared" si="71"/>
        <v/>
      </c>
      <c r="I24" s="13" t="str">
        <f>IF(I19="neutral",IF(AND(H19&lt;&gt;"neutral",J19&lt;&gt;"neutral"),IF(J24&lt;&gt;"end",J24,H24),"flat"),IF(I19="increase","up",IF(I19="decrease","down","")))</f>
        <v/>
      </c>
      <c r="J24" s="13" t="str">
        <f t="shared" si="71"/>
        <v/>
      </c>
      <c r="K24" s="144" t="str">
        <f>IF(K19="neutral",IF(AND(J19&lt;&gt;"neutral",L19&lt;&gt;"neutral"),IF(L24&lt;&gt;"end",L24,J24),"flat"),IF(K19="increase","up",IF(K19="decrease","down","")))</f>
        <v/>
      </c>
      <c r="L24" s="39" t="s">
        <v>95</v>
      </c>
      <c r="Q24" s="232" t="str">
        <f>IFERROR(prefix&amp;country&amp;" represented "&amp;AH22&amp;"%"&amp;" of Canada’s FDI stock in "&amp;maxyear&amp;" (IIC basis)"&amp;AJ22&amp;". As a result, "&amp;LOWER(prefix)&amp;country&amp;" ranked as the "&amp;IF(N7=1,"",AK22&amp;" ")&amp;"largest"&amp;IF(N7=1,""," ("&amp;AL22&amp;" in "&amp;continent&amp;")")&amp;" investor country of FDI stock in Canada in "&amp;maxyear&amp;".","")</f>
        <v/>
      </c>
      <c r="R24" s="233"/>
      <c r="S24" s="233"/>
      <c r="T24" s="233"/>
      <c r="U24" s="233"/>
      <c r="V24" s="233"/>
      <c r="W24" s="233"/>
      <c r="X24" s="233"/>
      <c r="Y24" s="233"/>
      <c r="Z24" s="233"/>
      <c r="AA24" s="233"/>
      <c r="AB24" s="233"/>
      <c r="AC24" s="233"/>
      <c r="AD24" s="233"/>
      <c r="AE24" s="233"/>
      <c r="AF24" s="234"/>
      <c r="AU24" s="229"/>
      <c r="AV24" s="230"/>
      <c r="AW24" s="230"/>
      <c r="AX24" s="230"/>
      <c r="AY24" s="230"/>
      <c r="AZ24" s="230"/>
      <c r="BA24" s="230"/>
      <c r="BB24" s="230"/>
      <c r="BC24" s="231"/>
      <c r="BD24" s="161"/>
    </row>
    <row r="25" spans="1:64" x14ac:dyDescent="0.25">
      <c r="B25" s="32"/>
      <c r="C25" s="6"/>
      <c r="D25" s="6"/>
      <c r="E25" s="6"/>
      <c r="F25" s="6"/>
      <c r="G25" s="6"/>
      <c r="H25" s="6"/>
      <c r="I25" s="6" t="str">
        <f t="shared" ref="I25:J25" si="72">IF(AND(J21&lt;&gt;I21,I21&gt;0,ISNUMBER(I21)),_xlfn.RRI(COUNTIF($B21:$K21,I21),INDEX($A5:$K7,3,MATCH(I21,$A21:$K21,0)-1),I7),"")</f>
        <v/>
      </c>
      <c r="J25" s="6" t="str">
        <f t="shared" si="72"/>
        <v/>
      </c>
      <c r="K25" s="6"/>
      <c r="Q25" s="50"/>
      <c r="R25" s="50"/>
      <c r="S25" s="49"/>
      <c r="T25" s="49"/>
      <c r="U25" s="49"/>
      <c r="V25" s="49"/>
      <c r="W25" s="49"/>
      <c r="X25" s="49"/>
      <c r="Y25" s="49"/>
      <c r="Z25" s="49"/>
      <c r="AA25" s="49"/>
      <c r="AB25" s="49"/>
      <c r="AC25" s="49"/>
      <c r="AD25" s="49"/>
      <c r="AE25" s="49"/>
      <c r="AF25" s="49"/>
      <c r="AU25" s="220" t="str">
        <f>IFERROR("Sur la base du PII, "&amp;LOWER(prefixFr)&amp;countryFr&amp;" comptai"&amp;IF(prefixFr3="aux ","en","")&amp;"t pour "&amp;BF22&amp;" du stock d’IDE au Canada en "&amp;maxyear&amp;BH22&amp;". Par conséquent, "&amp;LOWER(prefixFr)&amp;countryFr&amp;IF(N7=1," sont la principale source du stock",IF(prefixFr3="aux "," se sont classés"," s'est classée")&amp;" au "&amp;BI22&amp;CHAR(160)&amp;"rang ("&amp;BJ22&amp;" en "&amp;continentFr&amp;") des sources")&amp;" d’IDE au Canada en "&amp;maxyear&amp;".","")</f>
        <v/>
      </c>
      <c r="AV25" s="221"/>
      <c r="AW25" s="221"/>
      <c r="AX25" s="221"/>
      <c r="AY25" s="221"/>
      <c r="AZ25" s="221"/>
      <c r="BA25" s="221"/>
      <c r="BB25" s="221"/>
      <c r="BC25" s="222"/>
    </row>
    <row r="26" spans="1:64" ht="13" thickBot="1" x14ac:dyDescent="0.3">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row>
    <row r="27" spans="1:64" ht="13" thickTop="1" x14ac:dyDescent="0.25"/>
    <row r="28" spans="1:64" x14ac:dyDescent="0.25">
      <c r="X28" s="1">
        <f>IFERROR(FIND(".",V28),0)</f>
        <v>0</v>
      </c>
      <c r="Z28" s="1">
        <f>IFERROR(LEN(RIGHT(U28,LEN(U28)-FIND(".",U28))),0)</f>
        <v>0</v>
      </c>
      <c r="BA28" s="1" t="s">
        <v>399</v>
      </c>
      <c r="BB28" s="1" t="s">
        <v>357</v>
      </c>
    </row>
    <row r="29" spans="1:64" ht="13" x14ac:dyDescent="0.3">
      <c r="A29" s="7" t="s">
        <v>33</v>
      </c>
      <c r="N29" s="147" t="s">
        <v>200</v>
      </c>
      <c r="O29" s="148">
        <f>MIN(B40:K40)</f>
        <v>0</v>
      </c>
      <c r="Q29" s="1" t="s">
        <v>283</v>
      </c>
      <c r="AU29" s="1" t="s">
        <v>195</v>
      </c>
    </row>
    <row r="30" spans="1:64" ht="39" x14ac:dyDescent="0.3">
      <c r="A30" s="10"/>
      <c r="B30" s="11">
        <f>maxyear-9</f>
        <v>-9</v>
      </c>
      <c r="C30" s="11">
        <f>maxyear-8</f>
        <v>-8</v>
      </c>
      <c r="D30" s="11">
        <f>maxyear-7</f>
        <v>-7</v>
      </c>
      <c r="E30" s="11">
        <f>maxyear-6</f>
        <v>-6</v>
      </c>
      <c r="F30" s="11">
        <f>maxyear-5</f>
        <v>-5</v>
      </c>
      <c r="G30" s="11">
        <f>maxyear-4</f>
        <v>-4</v>
      </c>
      <c r="H30" s="11">
        <f>maxyear-3</f>
        <v>-3</v>
      </c>
      <c r="I30" s="11">
        <f>maxyear-2</f>
        <v>-2</v>
      </c>
      <c r="J30" s="11">
        <f>maxyear-1</f>
        <v>-1</v>
      </c>
      <c r="K30" s="11">
        <f>maxyear</f>
        <v>0</v>
      </c>
      <c r="M30" s="23" t="s">
        <v>1</v>
      </c>
      <c r="N30" s="145" t="s">
        <v>2</v>
      </c>
      <c r="O30" s="146" t="str">
        <f>"Average annual growth rate, "&amp;O29&amp;"-"&amp;maxyear</f>
        <v>Average annual growth rate, 0-0</v>
      </c>
      <c r="Q30" s="37" t="s">
        <v>99</v>
      </c>
      <c r="R30" s="37" t="s">
        <v>164</v>
      </c>
      <c r="S30" s="37" t="s">
        <v>118</v>
      </c>
      <c r="T30" s="37" t="s">
        <v>100</v>
      </c>
      <c r="U30" s="37" t="s">
        <v>104</v>
      </c>
      <c r="V30" s="37" t="s">
        <v>275</v>
      </c>
      <c r="W30" s="37" t="s">
        <v>188</v>
      </c>
      <c r="X30" s="37" t="str">
        <f>"&lt;Threshold events in a row"</f>
        <v>&lt;Threshold events in a row</v>
      </c>
      <c r="Y30" s="37" t="s">
        <v>97</v>
      </c>
      <c r="Z30" s="37" t="s">
        <v>98</v>
      </c>
      <c r="AA30" s="37" t="s">
        <v>243</v>
      </c>
      <c r="AB30" s="37" t="s">
        <v>244</v>
      </c>
      <c r="AC30" s="37" t="s">
        <v>102</v>
      </c>
      <c r="AD30" s="37" t="s">
        <v>103</v>
      </c>
      <c r="AE30" s="36"/>
      <c r="AF30" s="36" t="s">
        <v>101</v>
      </c>
      <c r="AG30" s="36" t="s">
        <v>249</v>
      </c>
      <c r="AH30" s="36" t="s">
        <v>248</v>
      </c>
      <c r="AI30" s="36" t="s">
        <v>255</v>
      </c>
      <c r="AJ30" s="36" t="s">
        <v>256</v>
      </c>
      <c r="AK30" s="36" t="s">
        <v>257</v>
      </c>
      <c r="AL30" s="36" t="s">
        <v>254</v>
      </c>
      <c r="AM30" s="36" t="s">
        <v>250</v>
      </c>
      <c r="AN30" s="36" t="s">
        <v>251</v>
      </c>
      <c r="AO30" s="36" t="s">
        <v>155</v>
      </c>
      <c r="AP30" s="36" t="s">
        <v>252</v>
      </c>
      <c r="AQ30" s="36" t="s">
        <v>253</v>
      </c>
      <c r="AR30" s="36" t="s">
        <v>155</v>
      </c>
      <c r="AS30" s="36" t="s">
        <v>268</v>
      </c>
      <c r="AU30" s="37" t="s">
        <v>104</v>
      </c>
      <c r="AV30" s="37" t="s">
        <v>275</v>
      </c>
      <c r="AW30" s="37" t="s">
        <v>188</v>
      </c>
      <c r="AX30" s="37" t="s">
        <v>102</v>
      </c>
      <c r="AY30" s="37" t="s">
        <v>103</v>
      </c>
      <c r="AZ30" s="36"/>
      <c r="BA30" s="36" t="s">
        <v>101</v>
      </c>
      <c r="BB30" s="37" t="s">
        <v>284</v>
      </c>
      <c r="BC30" s="37" t="s">
        <v>285</v>
      </c>
      <c r="BD30" s="36" t="s">
        <v>268</v>
      </c>
    </row>
    <row r="31" spans="1:64" ht="13" x14ac:dyDescent="0.3">
      <c r="A31" s="15" t="s">
        <v>3</v>
      </c>
      <c r="B31" s="9" t="str">
        <f>IFERROR(INDEX(FDI_UIC,MATCH($A31,FDI_UIC_ID,0),MATCH(B$30,FDI_UIC_col,0)),"")</f>
        <v/>
      </c>
      <c r="C31" s="9" t="str">
        <f>IFERROR(INDEX(FDI_UIC,MATCH($A31,FDI_UIC_ID,0),MATCH(C$30,FDI_UIC_col,0)),"")</f>
        <v/>
      </c>
      <c r="D31" s="9" t="e">
        <f t="shared" ref="D31:K31" si="73">INDEX(FDI_UIC,MATCH($A31,FDI_UIC_ID,0),MATCH(D$30,FDI_UIC_col,0))</f>
        <v>#N/A</v>
      </c>
      <c r="E31" s="9" t="e">
        <f t="shared" si="73"/>
        <v>#N/A</v>
      </c>
      <c r="F31" s="9" t="e">
        <f t="shared" si="73"/>
        <v>#N/A</v>
      </c>
      <c r="G31" s="9" t="e">
        <f t="shared" si="73"/>
        <v>#N/A</v>
      </c>
      <c r="H31" s="9" t="e">
        <f t="shared" si="73"/>
        <v>#N/A</v>
      </c>
      <c r="I31" s="9" t="e">
        <f t="shared" si="73"/>
        <v>#N/A</v>
      </c>
      <c r="J31" s="9" t="e">
        <f t="shared" si="73"/>
        <v>#N/A</v>
      </c>
      <c r="K31" s="9" t="e">
        <f t="shared" si="73"/>
        <v>#N/A</v>
      </c>
      <c r="O31" s="21" t="e">
        <f>_xlfn.RRI(maxyear-O29,VLOOKUP(A31,A30:K32,MATCH(O29,A30:K30)),VLOOKUP(A31,A30:K32,MATCH(maxyear,A30:K30)))</f>
        <v>#N/A</v>
      </c>
      <c r="Q31" s="39"/>
      <c r="R31" s="39"/>
      <c r="S31" s="39"/>
      <c r="T31" s="40"/>
      <c r="U31" s="40"/>
      <c r="V31" s="40"/>
      <c r="X31" s="40"/>
      <c r="Y31" s="39"/>
      <c r="Z31" s="39"/>
      <c r="AA31" s="39"/>
      <c r="AB31" s="39"/>
      <c r="AC31" s="39"/>
      <c r="AD31" s="39"/>
      <c r="AE31" s="39"/>
      <c r="AF31" s="38" t="e">
        <f>"Using the UIC approach, "&amp;country&amp;"'"&amp;IF(RIGHT(country,1)&lt;&gt;"s","s","")&amp;" FDI stock stood at "&amp;$AO45&amp;" in "&amp;maxyear&amp;", which is "&amp;IF($K$32&gt;$K$7,"higher","lower")&amp;" than the "&amp;$AN45&amp;" calculated using the IIC approach. "</f>
        <v>#VALUE!</v>
      </c>
      <c r="AG31" s="141"/>
      <c r="AH31" s="141"/>
      <c r="AI31" s="38"/>
      <c r="AJ31" s="38"/>
      <c r="AK31" s="38"/>
      <c r="AL31" s="38"/>
      <c r="AM31" s="38"/>
      <c r="AN31" s="38"/>
      <c r="AO31" s="38"/>
      <c r="AP31" s="38"/>
      <c r="AQ31" s="38"/>
      <c r="AR31" s="38"/>
      <c r="AS31" s="38"/>
      <c r="AU31" s="40"/>
      <c r="AV31" s="40"/>
      <c r="AX31" s="40"/>
      <c r="AY31" s="39"/>
      <c r="AZ31" s="39"/>
      <c r="BA31" s="38" t="e">
        <f>"Selon l’approche du PIU, le stock d’IDE en provenance "&amp;prefixFr2&amp;countryFr&amp;" s’élevait à "&amp;BH45&amp;" en "&amp;maxyear&amp;", ce qui est "&amp;IF($K$32&gt;$K$7,"supérieur","inférieur")&amp;" à la valeur mesurée sur la base du PII, qui est de "&amp;BG45&amp;". "</f>
        <v>#N/A</v>
      </c>
      <c r="BB31" s="160"/>
      <c r="BC31" s="160"/>
      <c r="BD31" s="160"/>
    </row>
    <row r="32" spans="1:64" ht="13" x14ac:dyDescent="0.25">
      <c r="A32" s="16" t="str">
        <f>country</f>
        <v>Australia</v>
      </c>
      <c r="B32" s="8" t="str">
        <f t="shared" ref="B32:K32" si="74">IFERROR(INDEX(FDI_UIC,MATCH(country,FDI_UIC_ID,0),MATCH(B$30,FDI_UIC_col,0)),"")</f>
        <v/>
      </c>
      <c r="C32" s="8" t="str">
        <f t="shared" si="74"/>
        <v/>
      </c>
      <c r="D32" s="8" t="str">
        <f t="shared" si="74"/>
        <v/>
      </c>
      <c r="E32" s="8" t="str">
        <f t="shared" si="74"/>
        <v/>
      </c>
      <c r="F32" s="8" t="str">
        <f t="shared" si="74"/>
        <v/>
      </c>
      <c r="G32" s="8" t="str">
        <f t="shared" si="74"/>
        <v/>
      </c>
      <c r="H32" s="8" t="str">
        <f t="shared" si="74"/>
        <v/>
      </c>
      <c r="I32" s="8" t="str">
        <f t="shared" si="74"/>
        <v/>
      </c>
      <c r="J32" s="8" t="str">
        <f t="shared" si="74"/>
        <v/>
      </c>
      <c r="K32" s="8" t="str">
        <f t="shared" si="74"/>
        <v/>
      </c>
      <c r="M32" s="8" t="e">
        <f>INDEX(FDI_UIC,MATCH(country,FDI_UIC_ID,0),MATCH(M$30,FDI_UIC_col,0))</f>
        <v>#N/A</v>
      </c>
      <c r="N32" s="8" t="e">
        <f>INDEX(FDI_UIC,MATCH(country,FDI_UIC_ID,0),MATCH(N$30,FDI_UIC_col,0))</f>
        <v>#N/A</v>
      </c>
      <c r="O32" s="21" t="e">
        <f>_xlfn.RRI(maxyear-O29,VLOOKUP(country,A30:K32,MATCH(O29,A30:K30)),VLOOKUP(country,A30:K32,MATCH(maxyear,A30:K30)))</f>
        <v>#VALUE!</v>
      </c>
      <c r="Q32" s="39"/>
      <c r="R32" s="39"/>
      <c r="S32" s="39"/>
      <c r="T32" s="40"/>
      <c r="U32" s="40"/>
      <c r="V32" s="40"/>
      <c r="W32" s="40"/>
      <c r="X32" s="141">
        <v>0</v>
      </c>
      <c r="Y32" s="39"/>
      <c r="Z32" s="39"/>
      <c r="AA32" s="39"/>
      <c r="AB32" s="39"/>
      <c r="AC32" s="39"/>
      <c r="AD32" s="39"/>
      <c r="AE32" s="39"/>
      <c r="AF32" s="38" t="e">
        <f>$AS45&amp;$AS46&amp;"On a UIC basis, "</f>
        <v>#VALUE!</v>
      </c>
      <c r="AG32" s="141"/>
      <c r="AH32" s="141"/>
      <c r="AI32" s="38"/>
      <c r="AJ32" s="38"/>
      <c r="AK32" s="38"/>
      <c r="AL32" s="38"/>
      <c r="AM32" s="38"/>
      <c r="AN32" s="38"/>
      <c r="AO32" s="38"/>
      <c r="AP32" s="38"/>
      <c r="AQ32" s="38"/>
      <c r="AR32" s="38"/>
      <c r="AS32" s="38"/>
      <c r="AU32" s="40"/>
      <c r="AV32" s="40"/>
      <c r="AW32" s="40"/>
      <c r="AX32" s="39"/>
      <c r="AY32" s="39"/>
      <c r="AZ32" s="39"/>
      <c r="BA32" s="38" t="e">
        <f>$BK$45&amp;$BK$46&amp;"Sur la base du PIU, "</f>
        <v>#VALUE!</v>
      </c>
      <c r="BB32" s="160" t="str">
        <f>IF($AH32,RNDFR($AN32,0,0,0,1),"")</f>
        <v/>
      </c>
      <c r="BC32" s="160" t="str">
        <f>IF($AH32,RNDFR($AQ32),"")</f>
        <v/>
      </c>
      <c r="BD32" s="160"/>
    </row>
    <row r="33" spans="1:63" ht="13" x14ac:dyDescent="0.3">
      <c r="A33" s="4"/>
      <c r="B33" s="5"/>
      <c r="C33" s="5"/>
      <c r="D33" s="5"/>
      <c r="E33" s="5"/>
      <c r="F33" s="5"/>
      <c r="G33" s="4"/>
      <c r="H33" s="4"/>
      <c r="Q33" s="38">
        <v>1</v>
      </c>
      <c r="R33" s="38" t="str">
        <f>IF(COUNTIF(B$46:K$46, $Q33)&gt;0,INDEX($A$44:$K$49,6,MATCH($Q33,$A$46:$K$46,0)),"")</f>
        <v/>
      </c>
      <c r="S33" s="38" t="str">
        <f>IF(COUNTIF($B$46:$K$46, $Q33)&gt;0, COUNTIF($B$46:$K$46, $Q33), "")</f>
        <v/>
      </c>
      <c r="T33" s="39" t="str">
        <f>IF($Q33&lt;=SUM($B$45:$K$45),IF($S33&gt;1,"CAGR","YoY"),"")</f>
        <v/>
      </c>
      <c r="U33" s="41" t="str">
        <f>IFERROR(IF($R33="flat","",IF(SUMIF($B$46:$K$46,$Q33,$B$47:$K$47)=0,"",RNDP(SUMIF($B$46:$K$46,$Q33,$B$47:$K$47),1))),"")</f>
        <v/>
      </c>
      <c r="V33" s="60" t="str">
        <f t="shared" ref="V33:V34" si="75">IF($T33="","",IF(AND($T34="",$Q33&lt;&gt;1),"Since "&amp;$Y33&amp;", FDI stock ",IF(ISEVEN($Q33),"It then ","FDI stock ")))</f>
        <v/>
      </c>
      <c r="W33" s="60" t="str">
        <f>IF($T33="","",IF($R33="flat", "stayed relatively stable", IF($T33="CAGR",IF($R33="down", "decreased","increased"),IF($R33="down", "fell ","jumped "))))</f>
        <v/>
      </c>
      <c r="X33" s="141">
        <f t="shared" ref="X33:X42" si="76">IF(AND($T33&lt;&gt;"",$S33&lt;$S$3,IF($Y33&lt;maxyear-3,IFERROR($S$1-$U33&gt;0,TRUE),IFERROR($S$2-$U33&gt;0,TRUE))),$X32+1,0)</f>
        <v>0</v>
      </c>
      <c r="Y33" s="38">
        <f t="shared" ref="Y33:Y42" si="77">IFERROR(IF($Y32+$S32=maxyear,maxyear,INDEX($A$30:$K$30,1,MATCH($Q33,$A$46:$K$46,0))-1),"")</f>
        <v>0</v>
      </c>
      <c r="Z33" s="38" t="str">
        <f t="shared" ref="Z33:Z42" si="78">IF($S33&lt;&gt;"",$Y33+$S33,"")</f>
        <v/>
      </c>
      <c r="AA33" s="38" t="str">
        <f>IFERROR(INDEX($B$30:$K$32,3,MATCH($Y33,$B$30:$K$30,0)),"")</f>
        <v/>
      </c>
      <c r="AB33" s="38" t="str">
        <f>IFERROR(INDEX($B$30:$K$32,3,MATCH(IFERROR(VALUE(LEFT($Z33, SEARCH(" ",$Z33)-1)),$Z33),$B$30:$K$30,0)),"")</f>
        <v/>
      </c>
      <c r="AC33" s="38" t="str">
        <f>IF($R33="flat","",IFERROR(RND($AA33)&amp;IF(AND($T34="",$Q33&lt;&gt;1),""," in "&amp;$Y33),""))</f>
        <v/>
      </c>
      <c r="AD33" s="38" t="str">
        <f>IFERROR(IF($Z33=maxyear,"",IF($R33="flat","",RND($AB33)&amp;" in "&amp;$Z33)),"")</f>
        <v/>
      </c>
      <c r="AE33" s="38" t="str">
        <f t="shared" ref="AE33:AE42" si="79">IF(AND($Z33=maxyear,$T33&lt;&gt;"YoY"),IF(R33&lt;&gt;"flat","reach ","")&amp;"its "&amp;maxyear&amp;" value",IF(R33="flat", Z33,""))&amp;IF(ISERR($U33),"",IF(AND($U33&lt;&gt;"",$T33="CAGR")," at an average annual rate of "&amp;$U33,"")&amp;IF($Z33=maxyear-1,", before reaching its "&amp;maxyear&amp;" value",""))</f>
        <v/>
      </c>
      <c r="AF33" s="40" t="str">
        <f>IF(OR($T33="",$Z32=maxyear-1,$AG33),"",$V33&amp;$W33&amp;IF($T33="YoY",$U33,"")&amp;" from "&amp;$AC33&amp;" to "&amp;$AD33&amp;AE33&amp;IF($Y33+$S33&gt;=maxyear-1," (see Chart 1)","")&amp;". ")</f>
        <v/>
      </c>
      <c r="AG33" s="141">
        <f>IF($X33+$X34&gt;1,IF($X33&gt;0,TRUE,0),0)</f>
        <v>0</v>
      </c>
      <c r="AH33" s="141">
        <f>IF(AND($AG33,NOT($AG34)),TRUE,0)</f>
        <v>0</v>
      </c>
      <c r="AI33" s="38" t="str">
        <f ca="1">IF($AH33,OFFSET($Y34,-$X33,0),"")</f>
        <v/>
      </c>
      <c r="AJ33" s="38" t="str">
        <f ca="1">IFERROR(RND(INDEX($B$5:$K$7,3,MATCH($AI33,$B$5:$K$5,0))),"")</f>
        <v/>
      </c>
      <c r="AK33" s="38" t="str">
        <f t="shared" ref="AK33:AK42" si="80">IF($AH33,$Y34,"")</f>
        <v/>
      </c>
      <c r="AL33" s="38" t="str">
        <f>IFERROR(RND(INDEX($B$5:$K$7,3,MATCH($AK33,$B$5:$K$5,0))),"")</f>
        <v/>
      </c>
      <c r="AM33" s="38" t="str">
        <f>IF($AH33,INDEX($Q$30:$AD$42,MATCH($AN33,$AA$30:$AA$42,0),MATCH($Y$30,$Q$30:$AD$30,0)),"")</f>
        <v/>
      </c>
      <c r="AN33" s="38" t="str">
        <f t="shared" ref="AN33:AN42" ca="1" si="81">IF($AH33,MIN(OFFSET($AA34,0,0,-($X33+1),1)),"")</f>
        <v/>
      </c>
      <c r="AO33" s="38" t="str">
        <f>IF($AH33,INDEX($Q$30:$AD$42,MATCH($AN33,$AA$30:$AA$42,0),MATCH($AC$30,$Q$30:$AD$30,0)),"")</f>
        <v/>
      </c>
      <c r="AP33" s="38" t="str">
        <f>IF($AH33,INDEX($Q$30:$AD$42,MATCH($AQ33,$AA$30:$AA$42,0),MATCH($Y$30,$Q$30:$AD$30,0)),"")</f>
        <v/>
      </c>
      <c r="AQ33" s="38" t="str">
        <f ca="1">IF($AH33,MAX(OFFSET($AA34,0,0,-($X33+1),1)),"")</f>
        <v/>
      </c>
      <c r="AR33" s="38" t="str">
        <f>IF($AH33,IFERROR(RND($AQ33)&amp;" in "&amp;$AP33,""),"")</f>
        <v/>
      </c>
      <c r="AS33" s="38" t="str">
        <f t="shared" ref="AS33:AS42" si="82">IF($AH33,"FDI stock fluctuated between "&amp;$AI33&amp;" and "&amp;$AK33&amp;" with a high value of "&amp;$AR33&amp;" and a low value of "&amp;$AO33&amp;IF($Y33+$S33=maxyear," (see Chart 1)","")&amp;". ","")</f>
        <v/>
      </c>
      <c r="AU33" s="41" t="str">
        <f>IFERROR(IF($R33="flat","",IF(SUMIF($B$46:$K$46,$Q33,$B$47:$K$47)=0,"",RNDPFR(SUMIF($B$46:$K$46,$Q33,$B$47:$K$47),1))),"")</f>
        <v/>
      </c>
      <c r="AV33" s="60" t="str">
        <f t="shared" ref="AV33:AV42" si="83">IF($T33="","",IF(AND($Y33+$S33&gt;=maxyear-1,$Q33&lt;&gt;1),"A partir de "&amp;$Y33&amp;", le stock d’IDE a ",IF(ISEVEN($Q33),"Il a ensuite ","Le stock d’IDE a ")))</f>
        <v/>
      </c>
      <c r="AW33" s="60" t="str">
        <f t="shared" ref="AW33:AW42" si="84">IF($T33="","",IF($R33="flat", "resté relativement stable jusqu'en ", IF($T33="CAGR",IF($R33="down", "diminué","augmenté"),IF($R33="down", "baissé de "&amp;$AU33,"bondi de "&amp;$AU33))&amp;IF(AND($Q33=1,$T33&lt;&gt;"YoY")," de ",IF($Z33=maxyear,IF($T33&lt;&gt;"YoY"," à un taux annuel moyen de "&amp;$AU33,""),IF(AND($AU33&lt;&gt;"",NOT(OR(AND($AM32&lt;&gt;$Y33,$AP32&lt;&gt;$Y33,$AH32),$R32="flat")))," pour atteindre ","")))))</f>
        <v/>
      </c>
      <c r="AX33" s="38" t="str">
        <f>IF($R33="flat","",IFERROR(IF(AND(OR($Y33+$S33&lt;maxyear-1,$Q33=1),$T33&lt;&gt;"YoY"),RNDFR($AA33)&amp;" en "&amp;$Y33,RNDFR($AA33,0,0,0,1)),""))</f>
        <v/>
      </c>
      <c r="AY33" s="38" t="str">
        <f>IF($R33="flat","",IFERROR(IF($Z33=maxyear,"",RNDFR($AB33)&amp;IF($Y33+$S33&lt;=maxyear-1," en "&amp;$Z33,"")),""))</f>
        <v/>
      </c>
      <c r="AZ33" s="38" t="str">
        <f t="shared" ref="AZ33:AZ42" si="85">IF(ISERR($AU33),"",IF(AND($AU33&lt;&gt;"",$T33="CAGR",$Z33&lt;&gt;maxyear)," à un taux annuel moyen de "&amp;$AU33,"")&amp;IF($Z33=maxyear-1,", avant d'atteindre sa valeur de "&amp;maxyear,IF(AND($Z33=maxyear,$T33&lt;&gt;"YoY"),IF(R33&lt;&gt;"flat",", pour atteindre ","")&amp;"sa valeur de "&amp;maxyear,"")))</f>
        <v/>
      </c>
      <c r="BA33" s="38" t="str">
        <f>IF(OR($T33="",$Z32=maxyear-1,$AG33),"",LOWER(LEFT($AV33,1))&amp;RIGHT($AV33,LEN($AV33)-1)&amp;$AW33&amp;IF($T33="YoY"," entre "&amp;$Y33&amp;" et "&amp;$Z33&amp;", soit de ","")&amp;$AX33&amp;IF($Z33=maxyear,""," à "&amp;$AY33)&amp;AZ33&amp;IF($Y33+$S33&gt;=maxyear-1," (voir la figure"&amp;CHAR(160)&amp;"1)","")&amp;". ")</f>
        <v/>
      </c>
      <c r="BB33" s="160" t="str">
        <f>IF($AH33,RNDFR($AN33,0,0,0,1),"")</f>
        <v/>
      </c>
      <c r="BC33" s="160" t="str">
        <f>IF($AH33,RNDFR($AQ33),"")</f>
        <v/>
      </c>
      <c r="BD33" s="160" t="str">
        <f t="shared" ref="BD33:BD42" si="86">IF($AH33,"Le stock d'IDE "&amp;prefixFr2&amp;countryFr&amp;" a oscillé entre "&amp;BB33&amp;" et "&amp;BC33&amp;" entre "&amp;$AI33&amp;" et "&amp;$AK33&amp;IF($Y33+$S33=maxyear," (voir la Figure"&amp;CHAR(160)&amp;"1)","")&amp;". ","")</f>
        <v/>
      </c>
    </row>
    <row r="34" spans="1:63" ht="13" x14ac:dyDescent="0.25">
      <c r="A34" s="12" t="s">
        <v>30</v>
      </c>
      <c r="B34" s="12"/>
      <c r="C34" s="11" t="str">
        <f>IF(C35="","",C$5)</f>
        <v/>
      </c>
      <c r="D34" s="11" t="str">
        <f t="shared" ref="D34" si="87">IF(D35="","",D$5)</f>
        <v/>
      </c>
      <c r="E34" s="11" t="str">
        <f t="shared" ref="E34" si="88">IF(E35="","",E$5)</f>
        <v/>
      </c>
      <c r="F34" s="11" t="str">
        <f t="shared" ref="F34" si="89">IF(F35="","",F$5)</f>
        <v/>
      </c>
      <c r="G34" s="11" t="str">
        <f t="shared" ref="G34" si="90">IF(G35="","",G$5)</f>
        <v/>
      </c>
      <c r="H34" s="11" t="str">
        <f t="shared" ref="H34" si="91">IF(H35="","",H$5)</f>
        <v/>
      </c>
      <c r="I34" s="11" t="str">
        <f t="shared" ref="I34" si="92">IF(I35="","",I$5)</f>
        <v/>
      </c>
      <c r="J34" s="11" t="str">
        <f t="shared" ref="J34" si="93">IF(J35="","",J$5)</f>
        <v/>
      </c>
      <c r="K34" s="11" t="str">
        <f t="shared" ref="K34" si="94">IF(K35="","",K$5)</f>
        <v/>
      </c>
      <c r="N34" s="25"/>
      <c r="O34" s="3"/>
      <c r="Q34" s="38">
        <v>2</v>
      </c>
      <c r="R34" s="38" t="str">
        <f t="shared" ref="R34:R42" si="95">IF(COUNTIF(B$46:K$46, $Q34)&gt;0,INDEX($A$44:$K$49,6,MATCH($Q34,$A$46:$K$46,0)),"")</f>
        <v/>
      </c>
      <c r="S34" s="38" t="str">
        <f t="shared" ref="S34:S42" si="96">IF(COUNTIF($B$46:$K$46, $Q34)&gt;0, COUNTIF($B$46:$K$46, $Q34), "")</f>
        <v/>
      </c>
      <c r="T34" s="39" t="str">
        <f t="shared" ref="T34:T42" si="97">IF($Q34&lt;=SUM($B$45:$K$45),IF($S34&gt;1,"CAGR","YoY"),"")</f>
        <v/>
      </c>
      <c r="U34" s="41" t="str">
        <f>IFERROR(IF($R34="flat","",IF(SUMIF($B$46:$K$46,$Q34,$B$47:$K$47)=0,"",RNDP(SUMIF($B$46:$K$46,$Q34,$B$47:$K$47),1))),"")</f>
        <v/>
      </c>
      <c r="V34" s="60" t="str">
        <f t="shared" si="75"/>
        <v/>
      </c>
      <c r="W34" s="60" t="str">
        <f t="shared" ref="W34:W42" si="98">IF($T34="","",IF($R34="flat", "stayed relatively stable", IF($T34="CAGR",IF($R34="down", "decreased","increased"),IF($R34="down", "fell ","jumped "))))</f>
        <v/>
      </c>
      <c r="X34" s="141">
        <f t="shared" si="76"/>
        <v>0</v>
      </c>
      <c r="Y34" s="38" t="str">
        <f t="shared" si="77"/>
        <v/>
      </c>
      <c r="Z34" s="38" t="str">
        <f t="shared" si="78"/>
        <v/>
      </c>
      <c r="AA34" s="38" t="str">
        <f t="shared" ref="AA34:AA42" si="99">IFERROR(INDEX($B$30:$K$32,3,MATCH($Y34,$B$30:$K$30,0)),"")</f>
        <v/>
      </c>
      <c r="AB34" s="38" t="str">
        <f t="shared" ref="AB34:AB42" si="100">IFERROR(INDEX($B$30:$K$32,3,MATCH(IFERROR(VALUE(LEFT($Z34, SEARCH(" ",$Z34)-1)),$Z34),$B$30:$K$30,0)),"")</f>
        <v/>
      </c>
      <c r="AC34" s="38" t="str">
        <f>IF($R34="flat","",IFERROR(RND($AA34)&amp;IF(AND($T35="",$Q34&lt;&gt;1),""," in "&amp;$Y34),""))</f>
        <v/>
      </c>
      <c r="AD34" s="38" t="str">
        <f>IFERROR(IF($Z34=maxyear,"",IF($R34="flat","",RND($AB34)&amp;" in "&amp;$Z34)),"")</f>
        <v/>
      </c>
      <c r="AE34" s="38" t="str">
        <f t="shared" si="79"/>
        <v/>
      </c>
      <c r="AF34" s="38" t="str">
        <f t="shared" ref="AF34:AF42" si="101">IF(OR($T34="",$Z33=maxyear-1,$AG34),"",$V34&amp;$W34&amp;IF($T34="YoY",$U34,"")&amp;IF(OR(AND($AM33&lt;&gt;$Y34,$AP33&lt;&gt;$Y34,$AH33),$R33="flat")," from "&amp;$AC34,"")&amp;IF($R34="flat"," until "," to ")&amp;$AD34&amp;AE34&amp;IF($Y34+$S34&gt;=maxyear-1," (see Chart 1)","")&amp;". ")</f>
        <v/>
      </c>
      <c r="AG34" s="141">
        <f t="shared" ref="AG34:AG42" si="102">IF($X34+$X35&gt;1,IF($X34&gt;0,TRUE,0),0)</f>
        <v>0</v>
      </c>
      <c r="AH34" s="141">
        <f t="shared" ref="AH34:AH42" si="103">IF(AND($AG34,NOT($AG35)),TRUE,0)</f>
        <v>0</v>
      </c>
      <c r="AI34" s="38" t="str">
        <f t="shared" ref="AI34:AI42" ca="1" si="104">IF($AH34,OFFSET($Y35,-$X34,0),"")</f>
        <v/>
      </c>
      <c r="AJ34" s="38" t="str">
        <f ca="1">IFERROR(RND(INDEX($B$5:$K$7,3,MATCH($AI34,$B$5:$K$5,0))),"")</f>
        <v/>
      </c>
      <c r="AK34" s="38" t="str">
        <f t="shared" si="80"/>
        <v/>
      </c>
      <c r="AL34" s="38" t="str">
        <f>IFERROR(RND(INDEX($B$5:$K$7,3,MATCH($AK34,$B$5:$K$5,0))),"")</f>
        <v/>
      </c>
      <c r="AM34" s="38" t="str">
        <f t="shared" ref="AM34:AM42" si="105">IF($AH34,INDEX($Q$30:$AD$42,MATCH($AN34,$AA$30:$AA$42,0),MATCH($Y$30,$Q$30:$AD$30,0)),"")</f>
        <v/>
      </c>
      <c r="AN34" s="38" t="str">
        <f t="shared" ca="1" si="81"/>
        <v/>
      </c>
      <c r="AO34" s="38" t="str">
        <f t="shared" ref="AO34:AO42" si="106">IF($AH34,INDEX($Q$30:$AD$42,MATCH($AN34,$AA$30:$AA$42,0),MATCH($AC$30,$Q$30:$AD$30,0)),"")</f>
        <v/>
      </c>
      <c r="AP34" s="38" t="str">
        <f t="shared" ref="AP34:AP42" si="107">IF($AH34,INDEX($Q$30:$AD$42,MATCH($AQ34,$AA$30:$AA$42,0),MATCH($Y$30,$Q$30:$AD$30,0)),"")</f>
        <v/>
      </c>
      <c r="AQ34" s="38" t="str">
        <f t="shared" ref="AQ34:AQ42" ca="1" si="108">IF($AH34,MAX(OFFSET($AA35,0,0,-($X34+1),1)),"")</f>
        <v/>
      </c>
      <c r="AR34" s="38" t="str">
        <f>IF($AH34,IFERROR(RND($AQ34)&amp;" in "&amp;$AP34,""),"")</f>
        <v/>
      </c>
      <c r="AS34" s="38" t="str">
        <f t="shared" si="82"/>
        <v/>
      </c>
      <c r="AU34" s="41" t="str">
        <f t="shared" ref="AU34:AU42" si="109">IFERROR(IF($R34="flat","",IF(SUMIF($B$46:$K$46,$Q34,$B$47:$K$47)=0,"",RNDPFR(SUMIF($B$46:$K$46,$Q34,$B$47:$K$47),1))),"")</f>
        <v/>
      </c>
      <c r="AV34" s="60" t="str">
        <f t="shared" si="83"/>
        <v/>
      </c>
      <c r="AW34" s="60" t="str">
        <f t="shared" si="84"/>
        <v/>
      </c>
      <c r="AX34" s="38" t="str">
        <f>IF($R34="flat","",IFERROR(IF(AND(OR($Y34+$S34&lt;maxyear-1,$Q34=1),$T34&lt;&gt;"YoY"),RNDFR($AA34)&amp;" en "&amp;$Y34,RNDFR($AA34,0,0,0,1)),""))</f>
        <v/>
      </c>
      <c r="AY34" s="38" t="str">
        <f>IF($R34="flat","",IFERROR(IF($Z34=maxyear,"",RNDFR($AB34)&amp;IF($Y34+$S34&lt;=maxyear-1," en "&amp;$Z34,"")),""))</f>
        <v/>
      </c>
      <c r="AZ34" s="38" t="str">
        <f t="shared" si="85"/>
        <v/>
      </c>
      <c r="BA34" s="38" t="str">
        <f t="shared" ref="BA34:BA42" si="110">IF(OR($T34="",$Z33=maxyear-1,$AG34),"",$AV34&amp;$AW34&amp;IF(OR(AND($AM33&lt;&gt;$Y34,$AP33&lt;&gt;$Y34,$AH33),$R33="flat")," de "&amp;$AX34,"")&amp;IF(AND($AU34&lt;&gt;"",NOT(OR(AND($AM33&lt;&gt;$Y34,$AP33&lt;&gt;$Y34,$AH33),$R33="flat"))),"",IF(Z34&lt;&gt;maxyear," à ",""))&amp;$AY34&amp;AZ34&amp;IF($Y34+$S34&gt;=maxyear-1," (voir la figure"&amp;CHAR(160)&amp;"1)","")&amp;". ")</f>
        <v/>
      </c>
      <c r="BB34" s="160" t="str">
        <f>IF($AH34,RNDFR($AN34,0,0,0,1),"")</f>
        <v/>
      </c>
      <c r="BC34" s="160" t="str">
        <f>IF($AH34,RNDFR($AQ34),"")</f>
        <v/>
      </c>
      <c r="BD34" s="160" t="str">
        <f t="shared" si="86"/>
        <v/>
      </c>
    </row>
    <row r="35" spans="1:63" x14ac:dyDescent="0.25">
      <c r="A35" s="13"/>
      <c r="B35" s="13"/>
      <c r="C35" s="14" t="str">
        <f>IFERROR(C32-B32,"")</f>
        <v/>
      </c>
      <c r="D35" s="14" t="str">
        <f t="shared" ref="D35:G35" si="111">IFERROR(D32-C32,"")</f>
        <v/>
      </c>
      <c r="E35" s="14" t="str">
        <f t="shared" si="111"/>
        <v/>
      </c>
      <c r="F35" s="14" t="str">
        <f t="shared" si="111"/>
        <v/>
      </c>
      <c r="G35" s="14" t="str">
        <f t="shared" si="111"/>
        <v/>
      </c>
      <c r="H35" s="14" t="str">
        <f>IFERROR(H32-G32,"")</f>
        <v/>
      </c>
      <c r="I35" s="14" t="str">
        <f t="shared" ref="I35:K35" si="112">IFERROR(I32-H32,"")</f>
        <v/>
      </c>
      <c r="J35" s="14" t="str">
        <f t="shared" si="112"/>
        <v/>
      </c>
      <c r="K35" s="14" t="str">
        <f t="shared" si="112"/>
        <v/>
      </c>
      <c r="O35" s="186"/>
      <c r="Q35" s="38">
        <v>3</v>
      </c>
      <c r="R35" s="38" t="str">
        <f t="shared" si="95"/>
        <v/>
      </c>
      <c r="S35" s="38" t="str">
        <f t="shared" si="96"/>
        <v/>
      </c>
      <c r="T35" s="39" t="str">
        <f t="shared" si="97"/>
        <v/>
      </c>
      <c r="U35" s="41" t="str">
        <f t="shared" ref="U35:U42" si="113">IFERROR(IF($R35="flat","",IF(SUMIF($B$46:$K$46,$Q35,$B$47:$K$47)=0,"",RNDP(SUMIF($B$46:$K$46,$Q35,$B$47:$K$47),1))),"")</f>
        <v/>
      </c>
      <c r="V35" s="60" t="str">
        <f>IF($T35="","",IF(AND($T36="",$Q35&lt;&gt;1),"Since "&amp;$Y35&amp;", FDI stock ",IF(ISEVEN($Q35),"It then ","FDI stock ")))</f>
        <v/>
      </c>
      <c r="W35" s="60" t="str">
        <f t="shared" si="98"/>
        <v/>
      </c>
      <c r="X35" s="141">
        <f t="shared" si="76"/>
        <v>0</v>
      </c>
      <c r="Y35" s="38" t="str">
        <f t="shared" si="77"/>
        <v/>
      </c>
      <c r="Z35" s="38" t="str">
        <f t="shared" si="78"/>
        <v/>
      </c>
      <c r="AA35" s="38" t="str">
        <f t="shared" si="99"/>
        <v/>
      </c>
      <c r="AB35" s="38" t="str">
        <f t="shared" si="100"/>
        <v/>
      </c>
      <c r="AC35" s="38" t="str">
        <f>IF($R35="flat","",IFERROR(RND($AA35)&amp;IF(AND($T36="",$Q35&lt;&gt;1),""," in "&amp;$Y35),""))</f>
        <v/>
      </c>
      <c r="AD35" s="38" t="str">
        <f>IFERROR(IF($Z35=maxyear,"",IF($R35="flat","",RND($AB35)&amp;" in "&amp;$Z35)),"")</f>
        <v/>
      </c>
      <c r="AE35" s="38" t="str">
        <f t="shared" si="79"/>
        <v/>
      </c>
      <c r="AF35" s="38" t="str">
        <f t="shared" si="101"/>
        <v/>
      </c>
      <c r="AG35" s="141">
        <f>IF($X35+$X36&gt;1,IF($X35&gt;0,TRUE,0),0)</f>
        <v>0</v>
      </c>
      <c r="AH35" s="141">
        <f t="shared" si="103"/>
        <v>0</v>
      </c>
      <c r="AI35" s="38" t="str">
        <f t="shared" ca="1" si="104"/>
        <v/>
      </c>
      <c r="AJ35" s="38" t="str">
        <f ca="1">IFERROR(RND(INDEX($B$5:$K$7,3,MATCH($AI35,$B$5:$K$5,0))),"")</f>
        <v/>
      </c>
      <c r="AK35" s="38" t="str">
        <f t="shared" si="80"/>
        <v/>
      </c>
      <c r="AL35" s="38" t="str">
        <f>IFERROR(RND(INDEX($B$5:$K$7,3,MATCH($AK35,$B$5:$K$5,0))),"")</f>
        <v/>
      </c>
      <c r="AM35" s="38" t="str">
        <f t="shared" si="105"/>
        <v/>
      </c>
      <c r="AN35" s="38" t="str">
        <f t="shared" ca="1" si="81"/>
        <v/>
      </c>
      <c r="AO35" s="38" t="str">
        <f t="shared" si="106"/>
        <v/>
      </c>
      <c r="AP35" s="38" t="str">
        <f t="shared" si="107"/>
        <v/>
      </c>
      <c r="AQ35" s="38" t="str">
        <f t="shared" ca="1" si="108"/>
        <v/>
      </c>
      <c r="AR35" s="38" t="str">
        <f>IF($AH35,IFERROR(RND($AQ35)&amp;" in "&amp;$AP35,""),"")</f>
        <v/>
      </c>
      <c r="AS35" s="38" t="str">
        <f t="shared" si="82"/>
        <v/>
      </c>
      <c r="AU35" s="41" t="str">
        <f t="shared" si="109"/>
        <v/>
      </c>
      <c r="AV35" s="60" t="str">
        <f t="shared" si="83"/>
        <v/>
      </c>
      <c r="AW35" s="60" t="str">
        <f t="shared" si="84"/>
        <v/>
      </c>
      <c r="AX35" s="38" t="str">
        <f>IF($R35="flat","",IFERROR(IF(AND(OR($Y35+$S35&lt;maxyear-1,$Q35=1),$T35&lt;&gt;"YoY"),RNDFR($AA35)&amp;" en "&amp;$Y35,RNDFR($AA35,0,0,0,1)),""))</f>
        <v/>
      </c>
      <c r="AY35" s="38" t="str">
        <f>IF($R35="flat","",IFERROR(IF($Z35=maxyear,"",RNDFR($AB35)&amp;IF($Y35+$S35&lt;=maxyear-1," en "&amp;$Z35,"")),""))</f>
        <v/>
      </c>
      <c r="AZ35" s="38" t="str">
        <f t="shared" si="85"/>
        <v/>
      </c>
      <c r="BA35" s="38" t="str">
        <f t="shared" si="110"/>
        <v/>
      </c>
      <c r="BB35" s="160" t="str">
        <f>IF($AH35,RNDFR($AN35,0,0,0,1),"")</f>
        <v/>
      </c>
      <c r="BC35" s="160" t="str">
        <f>IF($AH35,RNDFR($AQ35),"")</f>
        <v/>
      </c>
      <c r="BD35" s="160" t="str">
        <f t="shared" si="86"/>
        <v/>
      </c>
    </row>
    <row r="36" spans="1:63" x14ac:dyDescent="0.25">
      <c r="Q36" s="38">
        <v>4</v>
      </c>
      <c r="R36" s="38" t="str">
        <f t="shared" si="95"/>
        <v/>
      </c>
      <c r="S36" s="38" t="str">
        <f t="shared" si="96"/>
        <v/>
      </c>
      <c r="T36" s="39" t="str">
        <f t="shared" si="97"/>
        <v/>
      </c>
      <c r="U36" s="41" t="str">
        <f t="shared" si="113"/>
        <v/>
      </c>
      <c r="V36" s="60" t="str">
        <f t="shared" ref="V36:V42" si="114">IF($T36="","",IF(AND($T37="",$Q36&lt;&gt;1),"Since "&amp;$Y36&amp;", FDI stock ",IF(ISEVEN($Q36),"It then ","FDI stock ")))</f>
        <v/>
      </c>
      <c r="W36" s="60" t="str">
        <f t="shared" si="98"/>
        <v/>
      </c>
      <c r="X36" s="141">
        <f t="shared" si="76"/>
        <v>0</v>
      </c>
      <c r="Y36" s="38" t="str">
        <f t="shared" si="77"/>
        <v/>
      </c>
      <c r="Z36" s="38" t="str">
        <f t="shared" si="78"/>
        <v/>
      </c>
      <c r="AA36" s="38" t="str">
        <f t="shared" si="99"/>
        <v/>
      </c>
      <c r="AB36" s="38" t="str">
        <f t="shared" si="100"/>
        <v/>
      </c>
      <c r="AC36" s="38" t="str">
        <f>IF($R36="flat","",IFERROR(RND($AA36)&amp;IF(AND($T37="",$Q36&lt;&gt;1),""," in "&amp;$Y36),""))</f>
        <v/>
      </c>
      <c r="AD36" s="38" t="str">
        <f>IFERROR(IF($Z36=maxyear,"",IF($R36="flat","",RND($AB36)&amp;" in "&amp;$Z36)),"")</f>
        <v/>
      </c>
      <c r="AE36" s="38" t="str">
        <f t="shared" si="79"/>
        <v/>
      </c>
      <c r="AF36" s="38" t="str">
        <f t="shared" si="101"/>
        <v/>
      </c>
      <c r="AG36" s="141">
        <f t="shared" si="102"/>
        <v>0</v>
      </c>
      <c r="AH36" s="141">
        <f>IF(AND($AG36,NOT($AG37)),TRUE,0)</f>
        <v>0</v>
      </c>
      <c r="AI36" s="38" t="str">
        <f t="shared" ca="1" si="104"/>
        <v/>
      </c>
      <c r="AJ36" s="38" t="str">
        <f ca="1">IFERROR(RND(INDEX($B$5:$K$7,3,MATCH($AI36,$B$5:$K$5,0))),"")</f>
        <v/>
      </c>
      <c r="AK36" s="38" t="str">
        <f t="shared" si="80"/>
        <v/>
      </c>
      <c r="AL36" s="38" t="str">
        <f>IFERROR(RND(INDEX($B$5:$K$7,3,MATCH($AK36,$B$5:$K$5,0))),"")</f>
        <v/>
      </c>
      <c r="AM36" s="38" t="str">
        <f t="shared" si="105"/>
        <v/>
      </c>
      <c r="AN36" s="38" t="str">
        <f t="shared" ca="1" si="81"/>
        <v/>
      </c>
      <c r="AO36" s="38" t="str">
        <f t="shared" si="106"/>
        <v/>
      </c>
      <c r="AP36" s="38" t="str">
        <f t="shared" si="107"/>
        <v/>
      </c>
      <c r="AQ36" s="38" t="str">
        <f t="shared" ca="1" si="108"/>
        <v/>
      </c>
      <c r="AR36" s="38" t="str">
        <f>IF($AH36,IFERROR(RND($AQ36)&amp;" in "&amp;$AP36,""),"")</f>
        <v/>
      </c>
      <c r="AS36" s="38" t="str">
        <f>IF($AH36,"FDI stock fluctuated between "&amp;$AI36&amp;" and "&amp;$AK36&amp;" with a high value of "&amp;$AR36&amp;" and a low value of "&amp;$AO36&amp;IF($Y36+$S36=maxyear," (see Chart 1)","")&amp;". ","")</f>
        <v/>
      </c>
      <c r="AU36" s="41" t="str">
        <f t="shared" si="109"/>
        <v/>
      </c>
      <c r="AV36" s="60" t="str">
        <f t="shared" si="83"/>
        <v/>
      </c>
      <c r="AW36" s="60" t="str">
        <f t="shared" si="84"/>
        <v/>
      </c>
      <c r="AX36" s="38" t="str">
        <f>IF($R36="flat","",IFERROR(IF(AND(OR($Y36+$S36&lt;maxyear-1,$Q36=1),$T36&lt;&gt;"YoY"),RNDFR($AA36)&amp;" en "&amp;$Y36,RNDFR($AA36,0,0,0,1)),""))</f>
        <v/>
      </c>
      <c r="AY36" s="38" t="str">
        <f>IF($R36="flat","",IFERROR(IF($Z36=maxyear,"",RNDFR($AB36)&amp;IF($Y36+$S36&lt;=maxyear-1," en "&amp;$Z36,"")),""))</f>
        <v/>
      </c>
      <c r="AZ36" s="38" t="str">
        <f t="shared" si="85"/>
        <v/>
      </c>
      <c r="BA36" s="38" t="str">
        <f t="shared" si="110"/>
        <v/>
      </c>
      <c r="BB36" s="160" t="str">
        <f>IF($AH36,RNDFR($AN36,0,0,0,1),"")</f>
        <v/>
      </c>
      <c r="BC36" s="160" t="str">
        <f>IF($AH36,RNDFR($AQ36),"")</f>
        <v/>
      </c>
      <c r="BD36" s="160" t="str">
        <f t="shared" si="86"/>
        <v/>
      </c>
    </row>
    <row r="37" spans="1:63" ht="13" x14ac:dyDescent="0.25">
      <c r="A37" s="11" t="s">
        <v>31</v>
      </c>
      <c r="B37" s="12"/>
      <c r="C37" s="11" t="str">
        <f t="shared" ref="C37" si="115">IF(C38="","",C$5)</f>
        <v/>
      </c>
      <c r="D37" s="11" t="str">
        <f t="shared" ref="D37" si="116">IF(D38="","",D$5)</f>
        <v/>
      </c>
      <c r="E37" s="11" t="str">
        <f t="shared" ref="E37" si="117">IF(E38="","",E$5)</f>
        <v/>
      </c>
      <c r="F37" s="11" t="str">
        <f t="shared" ref="F37" si="118">IF(F38="","",F$5)</f>
        <v/>
      </c>
      <c r="G37" s="11" t="str">
        <f t="shared" ref="G37" si="119">IF(G38="","",G$5)</f>
        <v/>
      </c>
      <c r="H37" s="11" t="str">
        <f t="shared" ref="H37" si="120">IF(H38="","",H$5)</f>
        <v/>
      </c>
      <c r="I37" s="11" t="str">
        <f t="shared" ref="I37" si="121">IF(I38="","",I$5)</f>
        <v/>
      </c>
      <c r="J37" s="11" t="str">
        <f t="shared" ref="J37" si="122">IF(J38="","",J$5)</f>
        <v/>
      </c>
      <c r="K37" s="11" t="str">
        <f t="shared" ref="K37" si="123">IF(K38="","",K$5)</f>
        <v/>
      </c>
      <c r="Q37" s="38">
        <v>5</v>
      </c>
      <c r="R37" s="38" t="str">
        <f t="shared" si="95"/>
        <v/>
      </c>
      <c r="S37" s="38" t="str">
        <f t="shared" si="96"/>
        <v/>
      </c>
      <c r="T37" s="39" t="str">
        <f t="shared" si="97"/>
        <v/>
      </c>
      <c r="U37" s="41" t="str">
        <f t="shared" si="113"/>
        <v/>
      </c>
      <c r="V37" s="60" t="str">
        <f t="shared" si="114"/>
        <v/>
      </c>
      <c r="W37" s="60" t="str">
        <f t="shared" si="98"/>
        <v/>
      </c>
      <c r="X37" s="141">
        <f t="shared" si="76"/>
        <v>0</v>
      </c>
      <c r="Y37" s="38" t="str">
        <f t="shared" si="77"/>
        <v/>
      </c>
      <c r="Z37" s="38" t="str">
        <f t="shared" si="78"/>
        <v/>
      </c>
      <c r="AA37" s="38" t="str">
        <f t="shared" si="99"/>
        <v/>
      </c>
      <c r="AB37" s="38" t="str">
        <f t="shared" si="100"/>
        <v/>
      </c>
      <c r="AC37" s="38" t="str">
        <f>IF($R37="flat","",IFERROR(RND($AA37)&amp;IF(AND($T38="",$Q37&lt;&gt;1),""," in "&amp;$Y37),""))</f>
        <v/>
      </c>
      <c r="AD37" s="38" t="str">
        <f>IFERROR(IF($Z37=maxyear,"",IF($R37="flat","",RND($AB37)&amp;" in "&amp;$Z37)),"")</f>
        <v/>
      </c>
      <c r="AE37" s="38" t="str">
        <f t="shared" si="79"/>
        <v/>
      </c>
      <c r="AF37" s="38" t="str">
        <f t="shared" si="101"/>
        <v/>
      </c>
      <c r="AG37" s="141">
        <f t="shared" si="102"/>
        <v>0</v>
      </c>
      <c r="AH37" s="141">
        <f t="shared" si="103"/>
        <v>0</v>
      </c>
      <c r="AI37" s="38" t="str">
        <f t="shared" ca="1" si="104"/>
        <v/>
      </c>
      <c r="AJ37" s="38" t="str">
        <f ca="1">IFERROR(RND(INDEX($B$5:$K$7,3,MATCH($AI37,$B$5:$K$5,0))),"")</f>
        <v/>
      </c>
      <c r="AK37" s="38" t="str">
        <f t="shared" si="80"/>
        <v/>
      </c>
      <c r="AL37" s="38" t="str">
        <f>IFERROR(RND(INDEX($B$5:$K$7,3,MATCH($AK37,$B$5:$K$5,0))),"")</f>
        <v/>
      </c>
      <c r="AM37" s="38" t="str">
        <f t="shared" si="105"/>
        <v/>
      </c>
      <c r="AN37" s="38" t="str">
        <f t="shared" ca="1" si="81"/>
        <v/>
      </c>
      <c r="AO37" s="38" t="str">
        <f t="shared" si="106"/>
        <v/>
      </c>
      <c r="AP37" s="38" t="str">
        <f t="shared" si="107"/>
        <v/>
      </c>
      <c r="AQ37" s="38" t="str">
        <f t="shared" ca="1" si="108"/>
        <v/>
      </c>
      <c r="AR37" s="38" t="str">
        <f>IF($AH37,IFERROR(RND($AQ37)&amp;" in "&amp;$AP37,""),"")</f>
        <v/>
      </c>
      <c r="AS37" s="38" t="str">
        <f t="shared" si="82"/>
        <v/>
      </c>
      <c r="AU37" s="41" t="str">
        <f t="shared" si="109"/>
        <v/>
      </c>
      <c r="AV37" s="60" t="str">
        <f t="shared" si="83"/>
        <v/>
      </c>
      <c r="AW37" s="60" t="str">
        <f t="shared" si="84"/>
        <v/>
      </c>
      <c r="AX37" s="38" t="str">
        <f>IF($R37="flat","",IFERROR(IF(AND(OR($Y37+$S37&lt;maxyear-1,$Q37=1),$T37&lt;&gt;"YoY"),RNDFR($AA37)&amp;" en "&amp;$Y37,RNDFR($AA37,0,0,0,1)),""))</f>
        <v/>
      </c>
      <c r="AY37" s="38" t="str">
        <f>IF($R37="flat","",IFERROR(IF($Z37=maxyear,"",RNDFR($AB37)&amp;IF($Y37+$S37&lt;=maxyear-1," en "&amp;$Z37,"")),""))</f>
        <v/>
      </c>
      <c r="AZ37" s="38" t="str">
        <f t="shared" si="85"/>
        <v/>
      </c>
      <c r="BA37" s="38" t="str">
        <f t="shared" si="110"/>
        <v/>
      </c>
      <c r="BB37" s="160" t="str">
        <f>IF($AH37,RNDFR($AN37,0,0,0,1),"")</f>
        <v/>
      </c>
      <c r="BC37" s="160" t="str">
        <f>IF($AH37,RNDFR($AQ37),"")</f>
        <v/>
      </c>
      <c r="BD37" s="160" t="str">
        <f t="shared" si="86"/>
        <v/>
      </c>
    </row>
    <row r="38" spans="1:63" x14ac:dyDescent="0.25">
      <c r="A38" s="13"/>
      <c r="B38" s="13"/>
      <c r="C38" s="18" t="str">
        <f>IFERROR(C35/B32,"")</f>
        <v/>
      </c>
      <c r="D38" s="18" t="str">
        <f t="shared" ref="D38:K38" si="124">IFERROR(D35/C32,"")</f>
        <v/>
      </c>
      <c r="E38" s="18" t="str">
        <f t="shared" si="124"/>
        <v/>
      </c>
      <c r="F38" s="18" t="str">
        <f t="shared" si="124"/>
        <v/>
      </c>
      <c r="G38" s="18" t="str">
        <f t="shared" si="124"/>
        <v/>
      </c>
      <c r="H38" s="18" t="str">
        <f t="shared" si="124"/>
        <v/>
      </c>
      <c r="I38" s="18" t="str">
        <f t="shared" si="124"/>
        <v/>
      </c>
      <c r="J38" s="18" t="str">
        <f t="shared" si="124"/>
        <v/>
      </c>
      <c r="K38" s="18" t="str">
        <f t="shared" si="124"/>
        <v/>
      </c>
      <c r="Q38" s="38">
        <v>6</v>
      </c>
      <c r="R38" s="38" t="str">
        <f t="shared" si="95"/>
        <v/>
      </c>
      <c r="S38" s="38" t="str">
        <f t="shared" si="96"/>
        <v/>
      </c>
      <c r="T38" s="39" t="str">
        <f t="shared" si="97"/>
        <v/>
      </c>
      <c r="U38" s="41" t="str">
        <f t="shared" si="113"/>
        <v/>
      </c>
      <c r="V38" s="60" t="str">
        <f t="shared" si="114"/>
        <v/>
      </c>
      <c r="W38" s="60" t="str">
        <f t="shared" si="98"/>
        <v/>
      </c>
      <c r="X38" s="141">
        <f t="shared" si="76"/>
        <v>0</v>
      </c>
      <c r="Y38" s="38" t="str">
        <f t="shared" si="77"/>
        <v/>
      </c>
      <c r="Z38" s="38" t="str">
        <f t="shared" si="78"/>
        <v/>
      </c>
      <c r="AA38" s="38" t="str">
        <f t="shared" si="99"/>
        <v/>
      </c>
      <c r="AB38" s="38" t="str">
        <f t="shared" si="100"/>
        <v/>
      </c>
      <c r="AC38" s="38" t="str">
        <f>IF($R38="flat","",IFERROR(RND($AA38)&amp;IF(AND($T39="",$Q38&lt;&gt;1),""," in "&amp;$Y38),""))</f>
        <v/>
      </c>
      <c r="AD38" s="38" t="str">
        <f>IFERROR(IF($Z38=maxyear,"",IF($R38="flat","",RND($AB38)&amp;" in "&amp;$Z38)),"")</f>
        <v/>
      </c>
      <c r="AE38" s="38" t="str">
        <f t="shared" si="79"/>
        <v/>
      </c>
      <c r="AF38" s="38" t="str">
        <f t="shared" si="101"/>
        <v/>
      </c>
      <c r="AG38" s="141">
        <f t="shared" si="102"/>
        <v>0</v>
      </c>
      <c r="AH38" s="141">
        <f t="shared" si="103"/>
        <v>0</v>
      </c>
      <c r="AI38" s="38" t="str">
        <f t="shared" ca="1" si="104"/>
        <v/>
      </c>
      <c r="AJ38" s="38" t="str">
        <f ca="1">IFERROR(RND(INDEX($B$5:$K$7,3,MATCH($AI38,$B$5:$K$5,0))),"")</f>
        <v/>
      </c>
      <c r="AK38" s="38" t="str">
        <f t="shared" si="80"/>
        <v/>
      </c>
      <c r="AL38" s="38" t="str">
        <f>IFERROR(RND(INDEX($B$5:$K$7,3,MATCH($AK38,$B$5:$K$5,0))),"")</f>
        <v/>
      </c>
      <c r="AM38" s="38" t="str">
        <f t="shared" si="105"/>
        <v/>
      </c>
      <c r="AN38" s="38" t="str">
        <f t="shared" ca="1" si="81"/>
        <v/>
      </c>
      <c r="AO38" s="38" t="str">
        <f t="shared" si="106"/>
        <v/>
      </c>
      <c r="AP38" s="38" t="str">
        <f t="shared" si="107"/>
        <v/>
      </c>
      <c r="AQ38" s="38" t="str">
        <f t="shared" ca="1" si="108"/>
        <v/>
      </c>
      <c r="AR38" s="38" t="str">
        <f>IF($AH38,IFERROR(RND($AQ38)&amp;" in "&amp;$AP38,""),"")</f>
        <v/>
      </c>
      <c r="AS38" s="38" t="str">
        <f t="shared" si="82"/>
        <v/>
      </c>
      <c r="AU38" s="41" t="str">
        <f t="shared" si="109"/>
        <v/>
      </c>
      <c r="AV38" s="60" t="str">
        <f t="shared" si="83"/>
        <v/>
      </c>
      <c r="AW38" s="60" t="str">
        <f t="shared" si="84"/>
        <v/>
      </c>
      <c r="AX38" s="38" t="str">
        <f>IF($R38="flat","",IFERROR(IF(AND(OR($Y38+$S38&lt;maxyear-1,$Q38=1),$T38&lt;&gt;"YoY"),RNDFR($AA38)&amp;" en "&amp;$Y38,RNDFR($AA38,0,0,0,1)),""))</f>
        <v/>
      </c>
      <c r="AY38" s="38" t="str">
        <f>IF($R38="flat","",IFERROR(IF($Z38=maxyear,"",RNDFR($AB38)&amp;IF($Y38+$S38&lt;=maxyear-1," en "&amp;$Z38,"")),""))</f>
        <v/>
      </c>
      <c r="AZ38" s="38" t="str">
        <f t="shared" si="85"/>
        <v/>
      </c>
      <c r="BA38" s="38" t="str">
        <f t="shared" si="110"/>
        <v/>
      </c>
      <c r="BB38" s="160" t="str">
        <f>IF($AH38,RNDFR($AN38,0,0,0,1),"")</f>
        <v/>
      </c>
      <c r="BC38" s="160" t="str">
        <f>IF($AH38,RNDFR($AQ38),"")</f>
        <v/>
      </c>
      <c r="BD38" s="160" t="str">
        <f t="shared" si="86"/>
        <v/>
      </c>
    </row>
    <row r="39" spans="1:63" x14ac:dyDescent="0.25">
      <c r="Q39" s="38">
        <v>7</v>
      </c>
      <c r="R39" s="38" t="str">
        <f t="shared" si="95"/>
        <v/>
      </c>
      <c r="S39" s="38" t="str">
        <f t="shared" si="96"/>
        <v/>
      </c>
      <c r="T39" s="39" t="str">
        <f t="shared" si="97"/>
        <v/>
      </c>
      <c r="U39" s="41" t="str">
        <f t="shared" si="113"/>
        <v/>
      </c>
      <c r="V39" s="60" t="str">
        <f t="shared" si="114"/>
        <v/>
      </c>
      <c r="W39" s="60" t="str">
        <f t="shared" si="98"/>
        <v/>
      </c>
      <c r="X39" s="141">
        <f t="shared" si="76"/>
        <v>0</v>
      </c>
      <c r="Y39" s="38" t="str">
        <f t="shared" si="77"/>
        <v/>
      </c>
      <c r="Z39" s="38" t="str">
        <f t="shared" si="78"/>
        <v/>
      </c>
      <c r="AA39" s="38" t="str">
        <f t="shared" si="99"/>
        <v/>
      </c>
      <c r="AB39" s="38" t="str">
        <f t="shared" si="100"/>
        <v/>
      </c>
      <c r="AC39" s="38" t="str">
        <f>IF($R39="flat","",IFERROR(RND($AA39)&amp;IF(AND($T40="",$Q39&lt;&gt;1),""," in "&amp;$Y39),""))</f>
        <v/>
      </c>
      <c r="AD39" s="38" t="str">
        <f>IFERROR(IF($Z39=maxyear,"",IF($R39="flat","",RND($AB39)&amp;" in "&amp;$Z39)),"")</f>
        <v/>
      </c>
      <c r="AE39" s="38" t="str">
        <f t="shared" si="79"/>
        <v/>
      </c>
      <c r="AF39" s="38" t="str">
        <f t="shared" si="101"/>
        <v/>
      </c>
      <c r="AG39" s="141">
        <f t="shared" si="102"/>
        <v>0</v>
      </c>
      <c r="AH39" s="141">
        <f t="shared" si="103"/>
        <v>0</v>
      </c>
      <c r="AI39" s="38" t="str">
        <f t="shared" ca="1" si="104"/>
        <v/>
      </c>
      <c r="AJ39" s="38" t="str">
        <f ca="1">IFERROR(RND(INDEX($B$5:$K$7,3,MATCH($AI39,$B$5:$K$5,0))),"")</f>
        <v/>
      </c>
      <c r="AK39" s="38" t="str">
        <f t="shared" si="80"/>
        <v/>
      </c>
      <c r="AL39" s="38" t="str">
        <f>IFERROR(RND(INDEX($B$5:$K$7,3,MATCH($AK39,$B$5:$K$5,0))),"")</f>
        <v/>
      </c>
      <c r="AM39" s="38" t="str">
        <f t="shared" si="105"/>
        <v/>
      </c>
      <c r="AN39" s="38" t="str">
        <f t="shared" ca="1" si="81"/>
        <v/>
      </c>
      <c r="AO39" s="38" t="str">
        <f t="shared" si="106"/>
        <v/>
      </c>
      <c r="AP39" s="38" t="str">
        <f t="shared" si="107"/>
        <v/>
      </c>
      <c r="AQ39" s="38" t="str">
        <f t="shared" ca="1" si="108"/>
        <v/>
      </c>
      <c r="AR39" s="38" t="str">
        <f>IF($AH39,IFERROR(RND($AQ39)&amp;" in "&amp;$AP39,""),"")</f>
        <v/>
      </c>
      <c r="AS39" s="38" t="str">
        <f t="shared" si="82"/>
        <v/>
      </c>
      <c r="AU39" s="41" t="str">
        <f t="shared" si="109"/>
        <v/>
      </c>
      <c r="AV39" s="60" t="str">
        <f t="shared" si="83"/>
        <v/>
      </c>
      <c r="AW39" s="60" t="str">
        <f t="shared" si="84"/>
        <v/>
      </c>
      <c r="AX39" s="38" t="str">
        <f>IF($R39="flat","",IFERROR(IF(AND(OR($Y39+$S39&lt;maxyear-1,$Q39=1),$T39&lt;&gt;"YoY"),RNDFR($AA39)&amp;" en "&amp;$Y39,RNDFR($AA39,0,0,0,1)),""))</f>
        <v/>
      </c>
      <c r="AY39" s="38" t="str">
        <f>IF($R39="flat","",IFERROR(IF($Z39=maxyear,"",RNDFR($AB39)&amp;IF($Y39+$S39&lt;=maxyear-1," en "&amp;$Z39,"")),""))</f>
        <v/>
      </c>
      <c r="AZ39" s="38" t="str">
        <f t="shared" si="85"/>
        <v/>
      </c>
      <c r="BA39" s="38" t="str">
        <f t="shared" si="110"/>
        <v/>
      </c>
      <c r="BB39" s="160" t="str">
        <f>IF($AH39,RNDFR($AN39,0,0,0,1),"")</f>
        <v/>
      </c>
      <c r="BC39" s="160" t="str">
        <f>IF($AH39,RNDFR($AQ39),"")</f>
        <v/>
      </c>
      <c r="BD39" s="160" t="str">
        <f t="shared" si="86"/>
        <v/>
      </c>
    </row>
    <row r="40" spans="1:63" ht="13" x14ac:dyDescent="0.25">
      <c r="A40" s="11" t="s">
        <v>32</v>
      </c>
      <c r="B40" s="11" t="str">
        <f>IF(OR(B41="",B32=0),"",B$5)</f>
        <v/>
      </c>
      <c r="C40" s="11" t="str">
        <f t="shared" ref="C40" si="125">IF(OR(C41="",C32=0),"",C$5)</f>
        <v/>
      </c>
      <c r="D40" s="11" t="str">
        <f t="shared" ref="D40" si="126">IF(OR(D41="",D32=0),"",D$5)</f>
        <v/>
      </c>
      <c r="E40" s="11" t="str">
        <f t="shared" ref="E40" si="127">IF(OR(E41="",E32=0),"",E$5)</f>
        <v/>
      </c>
      <c r="F40" s="11" t="str">
        <f t="shared" ref="F40" si="128">IF(OR(F41="",F32=0),"",F$5)</f>
        <v/>
      </c>
      <c r="G40" s="11" t="str">
        <f t="shared" ref="G40" si="129">IF(OR(G41="",G32=0),"",G$5)</f>
        <v/>
      </c>
      <c r="H40" s="11" t="str">
        <f t="shared" ref="H40" si="130">IF(OR(H41="",H32=0),"",H$5)</f>
        <v/>
      </c>
      <c r="I40" s="11" t="str">
        <f t="shared" ref="I40" si="131">IF(OR(I41="",I32=0),"",I$5)</f>
        <v/>
      </c>
      <c r="J40" s="11" t="str">
        <f t="shared" ref="J40" si="132">IF(OR(J41="",J32=0),"",J$5)</f>
        <v/>
      </c>
      <c r="K40" s="11" t="str">
        <f t="shared" ref="K40" si="133">IF(OR(K41="",K32=0),"",K$5)</f>
        <v/>
      </c>
      <c r="Q40" s="38">
        <v>8</v>
      </c>
      <c r="R40" s="38" t="str">
        <f t="shared" si="95"/>
        <v/>
      </c>
      <c r="S40" s="38" t="str">
        <f t="shared" si="96"/>
        <v/>
      </c>
      <c r="T40" s="39" t="str">
        <f t="shared" si="97"/>
        <v/>
      </c>
      <c r="U40" s="41" t="str">
        <f t="shared" si="113"/>
        <v/>
      </c>
      <c r="V40" s="60" t="str">
        <f t="shared" si="114"/>
        <v/>
      </c>
      <c r="W40" s="60" t="str">
        <f t="shared" si="98"/>
        <v/>
      </c>
      <c r="X40" s="141">
        <f t="shared" si="76"/>
        <v>0</v>
      </c>
      <c r="Y40" s="38" t="str">
        <f t="shared" si="77"/>
        <v/>
      </c>
      <c r="Z40" s="38" t="str">
        <f t="shared" si="78"/>
        <v/>
      </c>
      <c r="AA40" s="38" t="str">
        <f t="shared" si="99"/>
        <v/>
      </c>
      <c r="AB40" s="38" t="str">
        <f t="shared" si="100"/>
        <v/>
      </c>
      <c r="AC40" s="38" t="str">
        <f>IF($R40="flat","",IFERROR(RND($AA40)&amp;IF(AND($T41="",$Q40&lt;&gt;1),""," in "&amp;$Y40),""))</f>
        <v/>
      </c>
      <c r="AD40" s="38" t="str">
        <f>IFERROR(IF($Z40=maxyear,"",IF($R40="flat","",RND($AB40)&amp;" in "&amp;$Z40)),"")</f>
        <v/>
      </c>
      <c r="AE40" s="38" t="str">
        <f t="shared" si="79"/>
        <v/>
      </c>
      <c r="AF40" s="38" t="str">
        <f t="shared" si="101"/>
        <v/>
      </c>
      <c r="AG40" s="141">
        <f t="shared" si="102"/>
        <v>0</v>
      </c>
      <c r="AH40" s="141">
        <f t="shared" si="103"/>
        <v>0</v>
      </c>
      <c r="AI40" s="38" t="str">
        <f t="shared" ca="1" si="104"/>
        <v/>
      </c>
      <c r="AJ40" s="38" t="str">
        <f ca="1">IFERROR(RND(INDEX($B$5:$K$7,3,MATCH($AI40,$B$5:$K$5,0))),"")</f>
        <v/>
      </c>
      <c r="AK40" s="38" t="str">
        <f t="shared" si="80"/>
        <v/>
      </c>
      <c r="AL40" s="38" t="str">
        <f>IFERROR(RND(INDEX($B$5:$K$7,3,MATCH($AK40,$B$5:$K$5,0))),"")</f>
        <v/>
      </c>
      <c r="AM40" s="38" t="str">
        <f t="shared" si="105"/>
        <v/>
      </c>
      <c r="AN40" s="38" t="str">
        <f t="shared" ca="1" si="81"/>
        <v/>
      </c>
      <c r="AO40" s="38" t="str">
        <f t="shared" si="106"/>
        <v/>
      </c>
      <c r="AP40" s="38" t="str">
        <f t="shared" si="107"/>
        <v/>
      </c>
      <c r="AQ40" s="38" t="str">
        <f t="shared" ca="1" si="108"/>
        <v/>
      </c>
      <c r="AR40" s="38" t="str">
        <f>IF($AH40,IFERROR(RND($AQ40)&amp;" in "&amp;$AP40,""),"")</f>
        <v/>
      </c>
      <c r="AS40" s="38" t="str">
        <f t="shared" si="82"/>
        <v/>
      </c>
      <c r="AU40" s="41" t="str">
        <f t="shared" si="109"/>
        <v/>
      </c>
      <c r="AV40" s="60" t="str">
        <f t="shared" si="83"/>
        <v/>
      </c>
      <c r="AW40" s="60" t="str">
        <f t="shared" si="84"/>
        <v/>
      </c>
      <c r="AX40" s="38" t="str">
        <f>IF($R40="flat","",IFERROR(IF(AND(OR($Y40+$S40&lt;maxyear-1,$Q40=1),$T40&lt;&gt;"YoY"),RNDFR($AA40)&amp;" en "&amp;$Y40,RNDFR($AA40,0,0,0,1)),""))</f>
        <v/>
      </c>
      <c r="AY40" s="38" t="str">
        <f>IF($R40="flat","",IFERROR(IF($Z40=maxyear,"",RNDFR($AB40)&amp;IF($Y40+$S40&lt;=maxyear-1," en "&amp;$Z40,"")),""))</f>
        <v/>
      </c>
      <c r="AZ40" s="38" t="str">
        <f t="shared" si="85"/>
        <v/>
      </c>
      <c r="BA40" s="38" t="str">
        <f t="shared" si="110"/>
        <v/>
      </c>
      <c r="BB40" s="160" t="str">
        <f>IF($AH40,RNDFR($AN40,0,0,0,1),"")</f>
        <v/>
      </c>
      <c r="BC40" s="160" t="str">
        <f>IF($AH40,RNDFR($AQ40),"")</f>
        <v/>
      </c>
      <c r="BD40" s="160" t="str">
        <f t="shared" si="86"/>
        <v/>
      </c>
    </row>
    <row r="41" spans="1:63" x14ac:dyDescent="0.25">
      <c r="A41" s="18"/>
      <c r="B41" s="18" t="str">
        <f>IFERROR(B32/B31,"")</f>
        <v/>
      </c>
      <c r="C41" s="18" t="str">
        <f t="shared" ref="C41:K41" si="134">IFERROR(C32/C31,"")</f>
        <v/>
      </c>
      <c r="D41" s="18" t="str">
        <f t="shared" si="134"/>
        <v/>
      </c>
      <c r="E41" s="18" t="str">
        <f t="shared" si="134"/>
        <v/>
      </c>
      <c r="F41" s="18" t="str">
        <f t="shared" si="134"/>
        <v/>
      </c>
      <c r="G41" s="18" t="str">
        <f t="shared" si="134"/>
        <v/>
      </c>
      <c r="H41" s="18" t="str">
        <f t="shared" si="134"/>
        <v/>
      </c>
      <c r="I41" s="18" t="str">
        <f t="shared" si="134"/>
        <v/>
      </c>
      <c r="J41" s="18" t="str">
        <f t="shared" si="134"/>
        <v/>
      </c>
      <c r="K41" s="18" t="str">
        <f t="shared" si="134"/>
        <v/>
      </c>
      <c r="Q41" s="38">
        <v>9</v>
      </c>
      <c r="R41" s="38" t="str">
        <f t="shared" si="95"/>
        <v/>
      </c>
      <c r="S41" s="38" t="str">
        <f t="shared" si="96"/>
        <v/>
      </c>
      <c r="T41" s="39" t="str">
        <f t="shared" si="97"/>
        <v/>
      </c>
      <c r="U41" s="41" t="str">
        <f t="shared" si="113"/>
        <v/>
      </c>
      <c r="V41" s="60" t="str">
        <f t="shared" si="114"/>
        <v/>
      </c>
      <c r="W41" s="60" t="str">
        <f t="shared" si="98"/>
        <v/>
      </c>
      <c r="X41" s="141">
        <f t="shared" si="76"/>
        <v>0</v>
      </c>
      <c r="Y41" s="38" t="str">
        <f t="shared" si="77"/>
        <v/>
      </c>
      <c r="Z41" s="38" t="str">
        <f t="shared" si="78"/>
        <v/>
      </c>
      <c r="AA41" s="38" t="str">
        <f t="shared" si="99"/>
        <v/>
      </c>
      <c r="AB41" s="38" t="str">
        <f t="shared" si="100"/>
        <v/>
      </c>
      <c r="AC41" s="38" t="str">
        <f>IF($R41="flat","",IFERROR(RND($AA41)&amp;IF(AND($T42="",$Q41&lt;&gt;1),""," in "&amp;$Y41),""))</f>
        <v/>
      </c>
      <c r="AD41" s="38" t="str">
        <f>IFERROR(IF($Z41=maxyear,"",IF($R41="flat","",RND($AB41)&amp;" in "&amp;$Z41)),"")</f>
        <v/>
      </c>
      <c r="AE41" s="38" t="str">
        <f t="shared" si="79"/>
        <v/>
      </c>
      <c r="AF41" s="38" t="str">
        <f t="shared" si="101"/>
        <v/>
      </c>
      <c r="AG41" s="141">
        <f t="shared" si="102"/>
        <v>0</v>
      </c>
      <c r="AH41" s="141">
        <f t="shared" si="103"/>
        <v>0</v>
      </c>
      <c r="AI41" s="38" t="str">
        <f t="shared" ca="1" si="104"/>
        <v/>
      </c>
      <c r="AJ41" s="38" t="str">
        <f ca="1">IFERROR(RND(INDEX($B$5:$K$7,3,MATCH($AI41,$B$5:$K$5,0))),"")</f>
        <v/>
      </c>
      <c r="AK41" s="38" t="str">
        <f t="shared" si="80"/>
        <v/>
      </c>
      <c r="AL41" s="38" t="str">
        <f>IFERROR(RND(INDEX($B$5:$K$7,3,MATCH($AK41,$B$5:$K$5,0))),"")</f>
        <v/>
      </c>
      <c r="AM41" s="38" t="str">
        <f t="shared" si="105"/>
        <v/>
      </c>
      <c r="AN41" s="38" t="str">
        <f t="shared" ca="1" si="81"/>
        <v/>
      </c>
      <c r="AO41" s="38" t="str">
        <f t="shared" si="106"/>
        <v/>
      </c>
      <c r="AP41" s="38" t="str">
        <f t="shared" si="107"/>
        <v/>
      </c>
      <c r="AQ41" s="38" t="str">
        <f t="shared" ca="1" si="108"/>
        <v/>
      </c>
      <c r="AR41" s="38" t="str">
        <f>IF($AH41,IFERROR(RND($AQ41)&amp;" in "&amp;$AP41,""),"")</f>
        <v/>
      </c>
      <c r="AS41" s="38" t="str">
        <f t="shared" si="82"/>
        <v/>
      </c>
      <c r="AU41" s="41" t="str">
        <f t="shared" si="109"/>
        <v/>
      </c>
      <c r="AV41" s="60" t="str">
        <f t="shared" si="83"/>
        <v/>
      </c>
      <c r="AW41" s="60" t="str">
        <f t="shared" si="84"/>
        <v/>
      </c>
      <c r="AX41" s="38" t="str">
        <f>IF($R41="flat","",IFERROR(IF(AND(OR($Y41+$S41&lt;maxyear-1,$Q41=1),$T41&lt;&gt;"YoY"),RNDFR($AA41)&amp;" en "&amp;$Y41,RNDFR($AA41,0,0,0,1)),""))</f>
        <v/>
      </c>
      <c r="AY41" s="38" t="str">
        <f>IF($R41="flat","",IFERROR(IF($Z41=maxyear,"",RNDFR($AB41)&amp;IF($Y41+$S41&lt;=maxyear-1," en "&amp;$Z41,"")),""))</f>
        <v/>
      </c>
      <c r="AZ41" s="38" t="str">
        <f t="shared" si="85"/>
        <v/>
      </c>
      <c r="BA41" s="38" t="str">
        <f t="shared" si="110"/>
        <v/>
      </c>
      <c r="BB41" s="160" t="str">
        <f>IF($AH41,RNDFR($AN41,0,0,0,1),"")</f>
        <v/>
      </c>
      <c r="BC41" s="160" t="str">
        <f>IF($AH41,RNDFR($AQ41),"")</f>
        <v/>
      </c>
      <c r="BD41" s="160" t="str">
        <f t="shared" si="86"/>
        <v/>
      </c>
    </row>
    <row r="42" spans="1:63" x14ac:dyDescent="0.25">
      <c r="B42" s="6"/>
      <c r="C42" s="6"/>
      <c r="D42" s="6"/>
      <c r="E42" s="6"/>
      <c r="F42" s="6"/>
      <c r="G42" s="6"/>
      <c r="H42" s="6"/>
      <c r="I42" s="6"/>
      <c r="J42" s="6"/>
      <c r="K42" s="6"/>
      <c r="Q42" s="38">
        <v>10</v>
      </c>
      <c r="R42" s="38" t="str">
        <f t="shared" si="95"/>
        <v/>
      </c>
      <c r="S42" s="38" t="str">
        <f t="shared" si="96"/>
        <v/>
      </c>
      <c r="T42" s="39" t="str">
        <f t="shared" si="97"/>
        <v/>
      </c>
      <c r="U42" s="41" t="str">
        <f t="shared" si="113"/>
        <v/>
      </c>
      <c r="V42" s="60" t="str">
        <f t="shared" si="114"/>
        <v/>
      </c>
      <c r="W42" s="60" t="str">
        <f t="shared" si="98"/>
        <v/>
      </c>
      <c r="X42" s="141">
        <f t="shared" si="76"/>
        <v>0</v>
      </c>
      <c r="Y42" s="38" t="str">
        <f t="shared" si="77"/>
        <v/>
      </c>
      <c r="Z42" s="38" t="str">
        <f t="shared" si="78"/>
        <v/>
      </c>
      <c r="AA42" s="38" t="str">
        <f t="shared" si="99"/>
        <v/>
      </c>
      <c r="AB42" s="38" t="str">
        <f t="shared" si="100"/>
        <v/>
      </c>
      <c r="AC42" s="38" t="str">
        <f>IF($R42="flat","",IFERROR(RND($AA42)&amp;IF(AND($T43="",$Q42&lt;&gt;1),""," in "&amp;$Y42),""))</f>
        <v/>
      </c>
      <c r="AD42" s="38" t="str">
        <f>IFERROR(IF($Z42=maxyear,"",IF($R42="flat","",RND($AB42)&amp;" in "&amp;$Z42)),"")</f>
        <v/>
      </c>
      <c r="AE42" s="38" t="str">
        <f t="shared" si="79"/>
        <v/>
      </c>
      <c r="AF42" s="38" t="str">
        <f t="shared" si="101"/>
        <v/>
      </c>
      <c r="AG42" s="141">
        <f t="shared" si="102"/>
        <v>0</v>
      </c>
      <c r="AH42" s="141">
        <f t="shared" si="103"/>
        <v>0</v>
      </c>
      <c r="AI42" s="38" t="str">
        <f t="shared" ca="1" si="104"/>
        <v/>
      </c>
      <c r="AJ42" s="38" t="str">
        <f ca="1">IFERROR(RND(INDEX($B$5:$K$7,3,MATCH($AI42,$B$5:$K$5,0))),"")</f>
        <v/>
      </c>
      <c r="AK42" s="38" t="str">
        <f t="shared" si="80"/>
        <v/>
      </c>
      <c r="AL42" s="38" t="str">
        <f>IFERROR(RND(INDEX($B$5:$K$7,3,MATCH($AK42,$B$5:$K$5,0))),"")</f>
        <v/>
      </c>
      <c r="AM42" s="38" t="str">
        <f t="shared" si="105"/>
        <v/>
      </c>
      <c r="AN42" s="38" t="str">
        <f t="shared" ca="1" si="81"/>
        <v/>
      </c>
      <c r="AO42" s="38" t="str">
        <f t="shared" si="106"/>
        <v/>
      </c>
      <c r="AP42" s="38" t="str">
        <f t="shared" si="107"/>
        <v/>
      </c>
      <c r="AQ42" s="38" t="str">
        <f t="shared" ca="1" si="108"/>
        <v/>
      </c>
      <c r="AR42" s="38" t="str">
        <f>IF($AH42,IFERROR(RND($AQ42)&amp;" in "&amp;$AP42,""),"")</f>
        <v/>
      </c>
      <c r="AS42" s="38" t="str">
        <f t="shared" si="82"/>
        <v/>
      </c>
      <c r="AU42" s="41" t="str">
        <f t="shared" si="109"/>
        <v/>
      </c>
      <c r="AV42" s="60" t="str">
        <f t="shared" si="83"/>
        <v/>
      </c>
      <c r="AW42" s="60" t="str">
        <f t="shared" si="84"/>
        <v/>
      </c>
      <c r="AX42" s="38" t="str">
        <f>IF($R42="flat","",IFERROR(IF(AND(OR($Y42+$S42&lt;maxyear-1,$Q42=1),$T42&lt;&gt;"YoY"),RNDFR($AA42)&amp;" en "&amp;$Y42,RNDFR($AA42,0,0,0,1)),""))</f>
        <v/>
      </c>
      <c r="AY42" s="38" t="str">
        <f>IF($R42="flat","",IFERROR(IF($Z42=maxyear,"",RNDFR($AB42)&amp;IF($Y42+$S42&lt;=maxyear-1," en "&amp;$Z42,"")),""))</f>
        <v/>
      </c>
      <c r="AZ42" s="38" t="str">
        <f t="shared" si="85"/>
        <v/>
      </c>
      <c r="BA42" s="38" t="str">
        <f t="shared" si="110"/>
        <v/>
      </c>
      <c r="BB42" s="160" t="str">
        <f>IF($AH42,RNDFR($AN42,0,0,0,1),"")</f>
        <v/>
      </c>
      <c r="BC42" s="160" t="str">
        <f>IF($AH42,RNDFR($AQ42),"")</f>
        <v/>
      </c>
      <c r="BD42" s="160" t="str">
        <f t="shared" si="86"/>
        <v/>
      </c>
    </row>
    <row r="43" spans="1:63" x14ac:dyDescent="0.25">
      <c r="A43" s="1" t="s">
        <v>94</v>
      </c>
      <c r="B43" s="34">
        <v>0.04</v>
      </c>
      <c r="C43" s="6"/>
      <c r="D43" s="6"/>
      <c r="E43" s="6"/>
      <c r="F43" s="6"/>
      <c r="G43" s="6"/>
      <c r="H43" s="6"/>
      <c r="I43" s="6"/>
      <c r="J43" s="6"/>
      <c r="K43" s="6"/>
      <c r="Q43" s="42"/>
      <c r="R43" s="42"/>
      <c r="S43" s="42"/>
      <c r="T43" s="20"/>
      <c r="U43" s="43"/>
      <c r="V43" s="43"/>
      <c r="W43" s="43"/>
      <c r="X43" s="43"/>
      <c r="Y43" s="42"/>
      <c r="Z43" s="42"/>
      <c r="AA43" s="42"/>
      <c r="AB43" s="42"/>
      <c r="AC43" s="42"/>
      <c r="AD43" s="42"/>
      <c r="AE43" s="42"/>
      <c r="AF43" s="44"/>
      <c r="AU43" s="223" t="e">
        <f>IFERROR(BA31&amp;BA32&amp;BA33&amp;BD33&amp;BA34&amp;BD34&amp;BA35&amp;BD35&amp;BA36&amp;BD36&amp;BA37&amp;BD37&amp;BA38&amp;BD38&amp;BA39&amp;BD39&amp;BA40&amp;BD40&amp;BA41&amp;BD41&amp;BA42&amp;BD42,"Les données sur l'IDE en provenance "&amp;prefixFr3&amp;countryFr&amp;" sur la base de PIU ne sont pas disponibles. ")</f>
        <v>#N/A</v>
      </c>
      <c r="AV43" s="224"/>
      <c r="AW43" s="224"/>
      <c r="AX43" s="224"/>
      <c r="AY43" s="224"/>
      <c r="AZ43" s="224"/>
      <c r="BA43" s="224"/>
      <c r="BB43" s="224"/>
      <c r="BC43" s="225"/>
    </row>
    <row r="44" spans="1:63" ht="15.5" customHeight="1" x14ac:dyDescent="0.35">
      <c r="A44" s="11" t="s">
        <v>188</v>
      </c>
      <c r="B44" s="8" t="str">
        <f t="shared" ref="B44" si="135">IF(ISNUMBER(A32),IF(AND(B32&lt;A32*(1+$B43),B32&gt;A32*(1-$B43)),"neutral",IF(B32&gt;A32,"increase","decrease")),"")</f>
        <v/>
      </c>
      <c r="C44" s="8" t="str">
        <f t="shared" ref="C44" si="136">IF(ISNUMBER(B32),IF(AND(C32&lt;B32*(1+$B43),C32&gt;B32*(1-$B43)),"neutral",IF(C32&gt;B32,"increase","decrease")),"")</f>
        <v/>
      </c>
      <c r="D44" s="8" t="str">
        <f t="shared" ref="D44" si="137">IF(ISNUMBER(C32),IF(AND(D32&lt;C32*(1+$B43),D32&gt;C32*(1-$B43)),"neutral",IF(D32&gt;C32,"increase","decrease")),"")</f>
        <v/>
      </c>
      <c r="E44" s="8" t="str">
        <f t="shared" ref="E44" si="138">IF(ISNUMBER(D32),IF(AND(E32&lt;D32*(1+$B43),E32&gt;D32*(1-$B43)),"neutral",IF(E32&gt;D32,"increase","decrease")),"")</f>
        <v/>
      </c>
      <c r="F44" s="8" t="str">
        <f t="shared" ref="F44" si="139">IF(ISNUMBER(E32),IF(AND(F32&lt;E32*(1+$B43),F32&gt;E32*(1-$B43)),"neutral",IF(F32&gt;E32,"increase","decrease")),"")</f>
        <v/>
      </c>
      <c r="G44" s="8" t="str">
        <f t="shared" ref="G44" si="140">IF(ISNUMBER(F32),IF(AND(G32&lt;F32*(1+$B43),G32&gt;F32*(1-$B43)),"neutral",IF(G32&gt;F32,"increase","decrease")),"")</f>
        <v/>
      </c>
      <c r="H44" s="8" t="str">
        <f t="shared" ref="H44" si="141">IF(ISNUMBER(G32),IF(AND(H32&lt;G32*(1+$B43),H32&gt;G32*(1-$B43)),"neutral",IF(H32&gt;G32,"increase","decrease")),"")</f>
        <v/>
      </c>
      <c r="I44" s="8" t="str">
        <f t="shared" ref="I44" si="142">IF(ISNUMBER(H32),IF(AND(I32&lt;H32*(1+$B43),I32&gt;H32*(1-$B43)),"neutral",IF(I32&gt;H32,"increase","decrease")),"")</f>
        <v/>
      </c>
      <c r="J44" s="8" t="str">
        <f t="shared" ref="J44" si="143">IF(ISNUMBER(I32),IF(AND(J32&lt;I32*(1+$B43),J32&gt;I32*(1-$B43)),"neutral",IF(J32&gt;I32,"increase","decrease")),"")</f>
        <v/>
      </c>
      <c r="K44" s="142" t="str">
        <f t="shared" ref="K44" si="144">IF(ISNUMBER(J32),IF(AND(K32&lt;J32*(1+$B43),K32&gt;J32*(1-$B43)),"neutral",IF(K32&gt;J32,"increase","decrease")),"")</f>
        <v/>
      </c>
      <c r="L44" s="143" t="s">
        <v>95</v>
      </c>
      <c r="M44" s="35"/>
      <c r="AF44" s="189"/>
      <c r="AH44" s="150" t="s">
        <v>134</v>
      </c>
      <c r="AI44" s="150" t="s">
        <v>135</v>
      </c>
      <c r="AJ44" s="150" t="s">
        <v>271</v>
      </c>
      <c r="AL44" s="150" t="s">
        <v>391</v>
      </c>
      <c r="AM44" s="150" t="s">
        <v>392</v>
      </c>
      <c r="AN44" s="150" t="s">
        <v>393</v>
      </c>
      <c r="AO44" s="150" t="s">
        <v>394</v>
      </c>
      <c r="AP44" s="195" t="s">
        <v>378</v>
      </c>
      <c r="AR44" s="149" t="s">
        <v>379</v>
      </c>
      <c r="AS44" s="149" t="s">
        <v>274</v>
      </c>
      <c r="AU44" s="226"/>
      <c r="AV44" s="227"/>
      <c r="AW44" s="227"/>
      <c r="AX44" s="227"/>
      <c r="AY44" s="227"/>
      <c r="AZ44" s="227"/>
      <c r="BA44" s="227"/>
      <c r="BB44" s="227"/>
      <c r="BC44" s="228"/>
      <c r="BF44" s="150" t="s">
        <v>380</v>
      </c>
      <c r="BG44" s="150" t="s">
        <v>395</v>
      </c>
      <c r="BH44" s="150" t="s">
        <v>396</v>
      </c>
      <c r="BI44" s="149" t="s">
        <v>379</v>
      </c>
      <c r="BK44" s="149" t="s">
        <v>274</v>
      </c>
    </row>
    <row r="45" spans="1:63" ht="15.5" customHeight="1" x14ac:dyDescent="0.35">
      <c r="A45" s="11" t="s">
        <v>117</v>
      </c>
      <c r="B45" s="8" t="str">
        <f>IF(LEN(C49)&lt;1,"",IF(AND(LEN(C49)&gt;1,LEN(B49)&lt;1),0,IF(AND(B49="flat",A49&lt;&gt;"flat",C49&lt;&gt;"flat"),0,IF(B49=A49,0,1))))</f>
        <v/>
      </c>
      <c r="C45" s="8" t="str">
        <f>IF(LEN(D49)&lt;1,"",IF(AND(LEN(D49)&gt;1,LEN(C49)&lt;1),0,IF(AND(C49="flat",B49&lt;&gt;"flat",D49&lt;&gt;"flat"),0,IF(C49=B49,0,1))))</f>
        <v/>
      </c>
      <c r="D45" s="8" t="str">
        <f t="shared" ref="D45:J45" si="145">IF(LEN(E49)&lt;1,"",IF(AND(LEN(E49)&gt;1,LEN(D49)&lt;1),0,IF(AND(D49="flat",C49&lt;&gt;"flat",E49&lt;&gt;"flat"),0,IF(D49=C49,0,1))))</f>
        <v/>
      </c>
      <c r="E45" s="8" t="str">
        <f t="shared" si="145"/>
        <v/>
      </c>
      <c r="F45" s="8" t="str">
        <f t="shared" si="145"/>
        <v/>
      </c>
      <c r="G45" s="8" t="str">
        <f t="shared" si="145"/>
        <v/>
      </c>
      <c r="H45" s="8" t="str">
        <f t="shared" si="145"/>
        <v/>
      </c>
      <c r="I45" s="8" t="str">
        <f t="shared" si="145"/>
        <v/>
      </c>
      <c r="J45" s="8" t="str">
        <f t="shared" si="145"/>
        <v/>
      </c>
      <c r="K45" s="8">
        <f>IF(LEN(L49)&lt;1,"",IF(AND(LEN(L49)&gt;1,LEN(K49)&lt;1),0,IF(AND(K49="flat",J49&lt;&gt;"flat",L49&lt;&gt;"flat"),0,IF(K49=J49,0,1))))</f>
        <v>0</v>
      </c>
      <c r="L45" s="33"/>
      <c r="M45" s="35"/>
      <c r="Q45" s="223" t="str">
        <f>IFERROR(AF31&amp;AF32&amp;AF33&amp;AS33&amp;AF34&amp;AS34&amp;AF35&amp;AS35&amp;AF36&amp;AS36&amp;AF37&amp;AS37&amp;AF38&amp;AS38&amp;AF39&amp;AS39&amp;AF40&amp;AS40&amp;AF41&amp;AS41&amp;AF42&amp;AS42,"Data on Foreign Direct Investment from "&amp;country&amp;" on a UIC basis are unavailable. ")</f>
        <v xml:space="preserve">Data on Foreign Direct Investment from Australia on a UIC basis are unavailable. </v>
      </c>
      <c r="R45" s="224"/>
      <c r="S45" s="224"/>
      <c r="T45" s="224"/>
      <c r="U45" s="224"/>
      <c r="V45" s="224"/>
      <c r="W45" s="224"/>
      <c r="X45" s="224"/>
      <c r="Y45" s="224"/>
      <c r="Z45" s="224"/>
      <c r="AA45" s="224"/>
      <c r="AB45" s="224"/>
      <c r="AC45" s="224"/>
      <c r="AD45" s="224"/>
      <c r="AE45" s="224"/>
      <c r="AF45" s="225"/>
      <c r="AH45" s="38" t="e">
        <f>ABS(K7-K32)</f>
        <v>#VALUE!</v>
      </c>
      <c r="AI45" s="38" t="e">
        <f>IF($K$32&lt;$K$7,AH45/K7,AH45/K32)</f>
        <v>#VALUE!</v>
      </c>
      <c r="AJ45" s="38" t="e">
        <f>RNDP(AI45)</f>
        <v>#VALUE!</v>
      </c>
      <c r="AL45" s="38" t="str">
        <f>IFERROR(RND($K$7),"")</f>
        <v/>
      </c>
      <c r="AM45" s="38" t="str">
        <f>IFERROR(RND($K$32),"")</f>
        <v/>
      </c>
      <c r="AN45" s="38" t="e">
        <f>RNDD($K$7,MAX($AL$46,$AM$46),0,0,0)</f>
        <v>#VALUE!</v>
      </c>
      <c r="AO45" s="38" t="e">
        <f>RNDD($K$32,MAX($AL$46,$AM$46),0,0,0)</f>
        <v>#VALUE!</v>
      </c>
      <c r="AP45" t="e">
        <f>ABS(RNDSF($K$7,LEN(SUBSTITUTE(AN46,".","")),0,1)-RNDSF($K$32,LEN(SUBSTITUTE(AO46,".","")),0,1))</f>
        <v>#VALUE!</v>
      </c>
      <c r="AR45" s="38" t="e">
        <f>RND(AP45,MAX($AL$46,$AM$46))</f>
        <v>#VALUE!</v>
      </c>
      <c r="AS45" s="38" t="e">
        <f>"This suggests that at least "&amp;AR45&amp;", about "&amp;AJ45&amp;" of "&amp;adjective&amp;" FDI "</f>
        <v>#VALUE!</v>
      </c>
      <c r="AU45" s="226"/>
      <c r="AV45" s="227"/>
      <c r="AW45" s="227"/>
      <c r="AX45" s="227"/>
      <c r="AY45" s="227"/>
      <c r="AZ45" s="227"/>
      <c r="BA45" s="227"/>
      <c r="BB45" s="227"/>
      <c r="BC45" s="228"/>
      <c r="BD45" s="162"/>
      <c r="BF45" s="38" t="e">
        <f>RNDPFR(AI45)</f>
        <v>#VALUE!</v>
      </c>
      <c r="BG45" s="38" t="e">
        <f>RNDDFR($K$7,MAX($AL$46,$AM$46),0,0,0)</f>
        <v>#VALUE!</v>
      </c>
      <c r="BH45" s="38" t="e">
        <f>RNDDFR($K$32,MAX($AL$46,$AM$46),0,0,0)</f>
        <v>#VALUE!</v>
      </c>
      <c r="BI45" s="38" t="e">
        <f>RNDFR(AP45,MAX($AL$46,$AM$46))</f>
        <v>#VALUE!</v>
      </c>
      <c r="BK45" s="38" t="e">
        <f>"Ceci indique qu’au moins "&amp;BI45&amp;" ou environ "&amp;BF45&amp;" de l’IDE "&amp;prefixFr2&amp;countryFr</f>
        <v>#VALUE!</v>
      </c>
    </row>
    <row r="46" spans="1:63" ht="13" x14ac:dyDescent="0.25">
      <c r="A46" s="11" t="s">
        <v>96</v>
      </c>
      <c r="B46" s="8" t="str">
        <f>IF(LEN(C44)&lt;1,"",IF(AND(LEN(C44)&gt;1,LEN(B44)&lt;1),0,IF(B44=A44,A46,IF(AND(B44="neutral",A44&lt;&gt;"neutral",C44&lt;&gt;"neutral"),IF(LEN(C46)&gt;0,C46,A46),SUM($B45:B45)))))</f>
        <v/>
      </c>
      <c r="C46" s="8" t="str">
        <f>IF(LEN(D44)&lt;1,"",IF(AND(LEN(D44)&gt;1,LEN(C44)&lt;1),0,IF(C44=B44,B46,IF(AND(C44="neutral",B44&lt;&gt;"neutral",D44&lt;&gt;"neutral"),IF(LEN(D46)&gt;0,D46,B46),SUM($B45:C45)))))</f>
        <v/>
      </c>
      <c r="D46" s="8" t="str">
        <f>IF(LEN(E44)&lt;1,"",IF(AND(LEN(E44)&gt;1,LEN(D44)&lt;1),0,IF(D44=C44,C46,IF(AND(D44="neutral",C44&lt;&gt;"neutral",E44&lt;&gt;"neutral"),IF(LEN(E46)&gt;0,E46,C46),SUM($B45:D45)))))</f>
        <v/>
      </c>
      <c r="E46" s="8" t="str">
        <f>IF(LEN(F44)&lt;1,"",IF(AND(LEN(F44)&gt;1,LEN(E44)&lt;1),0,IF(E44=D44,D46,IF(AND(E44="neutral",D44&lt;&gt;"neutral",F44&lt;&gt;"neutral"),IF(LEN(F46)&gt;0,F46,D46),SUM($B45:E45)))))</f>
        <v/>
      </c>
      <c r="F46" s="8" t="str">
        <f>IF(LEN(G44)&lt;1,"",IF(AND(LEN(G44)&gt;1,LEN(F44)&lt;1),0,IF(F44=E44,E46,IF(AND(F44="neutral",E44&lt;&gt;"neutral",G44&lt;&gt;"neutral"),IF(LEN(G46)&gt;0,G46,E46),SUM($B45:F45)))))</f>
        <v/>
      </c>
      <c r="G46" s="8" t="str">
        <f>IF(LEN(H44)&lt;1,"",IF(AND(LEN(H44)&gt;1,LEN(G44)&lt;1),0,IF(G44=F44,F46,IF(AND(G44="neutral",F44&lt;&gt;"neutral",H44&lt;&gt;"neutral"),IF(LEN(H46)&gt;0,H46,F46),SUM($B45:G45)))))</f>
        <v/>
      </c>
      <c r="H46" s="8" t="str">
        <f>IF(LEN(I44)&lt;1,"",IF(AND(LEN(I44)&gt;1,LEN(H44)&lt;1),0,IF(H44=G44,G46,IF(AND(H44="neutral",G44&lt;&gt;"neutral",I44&lt;&gt;"neutral"),IF(LEN(I46)&gt;0,I46,G46),SUM($B45:H45)))))</f>
        <v/>
      </c>
      <c r="I46" s="8" t="str">
        <f>IF(LEN(J44)&lt;1,"",IF(AND(LEN(J44)&gt;1,LEN(I44)&lt;1),0,IF(I44=H44,H46,IF(AND(I44="neutral",H44&lt;&gt;"neutral",J44&lt;&gt;"neutral"),IF(LEN(J46)&gt;0,J46,H46),SUM($B45:I45)))))</f>
        <v/>
      </c>
      <c r="J46" s="8" t="str">
        <f>IF(LEN(K44)&lt;1,"",IF(AND(LEN(K44)&gt;1,LEN(J44)&lt;1),0,IF(J44=I44,I46,IF(AND(J44="neutral",I44&lt;&gt;"neutral",K44&lt;&gt;"neutral"),IF(LEN(K46)&gt;0,K46,I46),SUM($B45:J45)))))</f>
        <v/>
      </c>
      <c r="K46" s="8">
        <f>IF(LEN(L44)&lt;1,"",IF(AND(LEN(L44)&gt;1,LEN(K44)&lt;1),0,IF(K44=J44,J46,IF(AND(K44="neutral",J44&lt;&gt;"neutral",L44&lt;&gt;"neutral"),IF(LEN(L46)&gt;0,L46,J46),SUM($B45:K45)))))</f>
        <v>0</v>
      </c>
      <c r="L46" s="33"/>
      <c r="Q46" s="226"/>
      <c r="R46" s="227"/>
      <c r="S46" s="227"/>
      <c r="T46" s="227"/>
      <c r="U46" s="227"/>
      <c r="V46" s="227"/>
      <c r="W46" s="227"/>
      <c r="X46" s="227"/>
      <c r="Y46" s="227"/>
      <c r="Z46" s="227"/>
      <c r="AA46" s="227"/>
      <c r="AB46" s="227"/>
      <c r="AC46" s="227"/>
      <c r="AD46" s="227"/>
      <c r="AE46" s="227"/>
      <c r="AF46" s="228"/>
      <c r="AK46" s="185" t="s">
        <v>390</v>
      </c>
      <c r="AL46" s="38">
        <f>IFERROR(LEN(MID(AL45,FIND(".",AL45)+1,FIND(CHAR(160),AL45)-FIND(".",AL45)-1)),0)</f>
        <v>0</v>
      </c>
      <c r="AM46" s="38">
        <f>IFERROR(LEN(MID(AM45,FIND(".",AM45)+1,FIND(CHAR(160),AM45)-FIND(".",AM45)-1)),0)</f>
        <v>0</v>
      </c>
      <c r="AN46" s="38" t="e">
        <f>RNDD($K$7,MAX($AL$46,$AM$46),0,0,1)</f>
        <v>#VALUE!</v>
      </c>
      <c r="AO46" s="38" t="e">
        <f>RNDD($K$32,MAX($AL$46,$AM$46),0,0,1)</f>
        <v>#VALUE!</v>
      </c>
      <c r="AS46" s="38" t="str">
        <f>IF($K$32&lt;$K$7,"on an IIC basis was ultimately from other source countries, i.e. investments transiting through and not originating from "&amp;LOWER(prefix)&amp;country&amp;". ", "has transited through an intermediary country before reaching Canada. ")</f>
        <v xml:space="preserve">has transited through an intermediary country before reaching Canada. </v>
      </c>
      <c r="AU46" s="226"/>
      <c r="AV46" s="227"/>
      <c r="AW46" s="227"/>
      <c r="AX46" s="227"/>
      <c r="AY46" s="227"/>
      <c r="AZ46" s="227"/>
      <c r="BA46" s="227"/>
      <c r="BB46" s="227"/>
      <c r="BC46" s="228"/>
      <c r="BD46" s="162"/>
      <c r="BK46" s="38" t="e">
        <f>IF(AF32&lt;AF7," selon le PII, provenaient ultimement d’autres pays sources, c.-à-d. d’investissements transitant par "&amp;LOWER(prefixFr)&amp;country&amp;" et ne provenant pas de ce dernier. Le pays a été utilisé comme un mécanisme transitoire pour cette part de l’IDE, très probablement en vue de réduire le fardeau fiscal. ", " ont transité par d’autres pays avant d’arriver au Canada. ")</f>
        <v>#VALUE!</v>
      </c>
    </row>
    <row r="47" spans="1:63" ht="13" x14ac:dyDescent="0.25">
      <c r="A47" s="11" t="s">
        <v>92</v>
      </c>
      <c r="B47" s="18" t="str">
        <f>IF(AND(C46&lt;&gt;B46,B46&gt;0,ISNUMBER(B46)),((B32/(INDEX($A30:$K32,3,MATCH(B46,$A46:$K46,0)-1)))^(1/(COUNTIF($B46:$K46,B46))))-1,"")</f>
        <v/>
      </c>
      <c r="C47" s="18" t="str">
        <f>IF(AND(D46&lt;&gt;C46,C46&gt;0,ISNUMBER(C46)),_xlfn.RRI(COUNTIF($B46:$K46,C46),INDEX($A30:$K32,3,MATCH(C46,$A46:$K46,0)-1),C32),"")</f>
        <v/>
      </c>
      <c r="D47" s="18" t="str">
        <f t="shared" ref="D47:K47" si="146">IF(AND(E46&lt;&gt;D46,D46&gt;0,ISNUMBER(D46)),_xlfn.RRI(COUNTIF($B46:$K46,D46),INDEX($A30:$K32,3,MATCH(D46,$A46:$K46,0)-1),D32),"")</f>
        <v/>
      </c>
      <c r="E47" s="18" t="str">
        <f t="shared" si="146"/>
        <v/>
      </c>
      <c r="F47" s="18" t="str">
        <f t="shared" si="146"/>
        <v/>
      </c>
      <c r="G47" s="18" t="str">
        <f t="shared" si="146"/>
        <v/>
      </c>
      <c r="H47" s="18" t="str">
        <f t="shared" si="146"/>
        <v/>
      </c>
      <c r="I47" s="18" t="str">
        <f t="shared" si="146"/>
        <v/>
      </c>
      <c r="J47" s="18" t="str">
        <f t="shared" si="146"/>
        <v/>
      </c>
      <c r="K47" s="18" t="str">
        <f t="shared" si="146"/>
        <v/>
      </c>
      <c r="Q47" s="226"/>
      <c r="R47" s="227"/>
      <c r="S47" s="227"/>
      <c r="T47" s="227"/>
      <c r="U47" s="227"/>
      <c r="V47" s="227"/>
      <c r="W47" s="227"/>
      <c r="X47" s="227"/>
      <c r="Y47" s="227"/>
      <c r="Z47" s="227"/>
      <c r="AA47" s="227"/>
      <c r="AB47" s="227"/>
      <c r="AC47" s="227"/>
      <c r="AD47" s="227"/>
      <c r="AE47" s="227"/>
      <c r="AF47" s="228"/>
      <c r="AH47" s="150">
        <f>maxyear</f>
        <v>0</v>
      </c>
      <c r="AI47" s="150">
        <f>maxyear-1</f>
        <v>-1</v>
      </c>
      <c r="AJ47" s="150" t="s">
        <v>188</v>
      </c>
      <c r="AK47" s="150" t="s">
        <v>266</v>
      </c>
      <c r="AL47" s="150" t="s">
        <v>269</v>
      </c>
      <c r="AU47" s="226"/>
      <c r="AV47" s="227"/>
      <c r="AW47" s="227"/>
      <c r="AX47" s="227"/>
      <c r="AY47" s="227"/>
      <c r="AZ47" s="227"/>
      <c r="BA47" s="227"/>
      <c r="BB47" s="227"/>
      <c r="BC47" s="228"/>
      <c r="BD47" s="162"/>
      <c r="BF47" s="150">
        <f>maxyear</f>
        <v>0</v>
      </c>
      <c r="BG47" s="150">
        <f>maxyear-1</f>
        <v>-1</v>
      </c>
      <c r="BH47" s="150" t="s">
        <v>188</v>
      </c>
      <c r="BI47" s="150" t="s">
        <v>266</v>
      </c>
      <c r="BJ47" s="150" t="s">
        <v>269</v>
      </c>
    </row>
    <row r="48" spans="1:63" ht="13" x14ac:dyDescent="0.25">
      <c r="A48" s="11" t="s">
        <v>93</v>
      </c>
      <c r="B48" s="47" t="str">
        <f t="shared" ref="B48" si="147">IF(AND(OR(ISNUMBER(A47),A46=0),ISNUMBER(B47)),B47,"")</f>
        <v/>
      </c>
      <c r="C48" s="47" t="str">
        <f t="shared" ref="C48" si="148">IF(AND(OR(ISNUMBER(B47),B46=0),ISNUMBER(C47)),C47,"")</f>
        <v/>
      </c>
      <c r="D48" s="47" t="str">
        <f t="shared" ref="D48" si="149">IF(AND(OR(ISNUMBER(C47),C46=0),ISNUMBER(D47)),D47,"")</f>
        <v/>
      </c>
      <c r="E48" s="47" t="str">
        <f t="shared" ref="E48" si="150">IF(AND(OR(ISNUMBER(D47),D46=0),ISNUMBER(E47)),E47,"")</f>
        <v/>
      </c>
      <c r="F48" s="47" t="str">
        <f t="shared" ref="F48" si="151">IF(AND(OR(ISNUMBER(E47),E46=0),ISNUMBER(F47)),F47,"")</f>
        <v/>
      </c>
      <c r="G48" s="47" t="str">
        <f t="shared" ref="G48" si="152">IF(AND(OR(ISNUMBER(F47),F46=0),ISNUMBER(G47)),G47,"")</f>
        <v/>
      </c>
      <c r="H48" s="47" t="str">
        <f t="shared" ref="H48" si="153">IF(AND(OR(ISNUMBER(G47),G46=0),ISNUMBER(H47)),H47,"")</f>
        <v/>
      </c>
      <c r="I48" s="47" t="str">
        <f t="shared" ref="I48" si="154">IF(AND(OR(ISNUMBER(H47),H46=0),ISNUMBER(I47)),I47,"")</f>
        <v/>
      </c>
      <c r="J48" s="47" t="str">
        <f t="shared" ref="J48" si="155">IF(AND(OR(ISNUMBER(I47),I46=0),ISNUMBER(J47)),J47,"")</f>
        <v/>
      </c>
      <c r="K48" s="47" t="str">
        <f t="shared" ref="K48" si="156">IF(AND(OR(ISNUMBER(J47),J46=0),ISNUMBER(K47)),K47,"")</f>
        <v/>
      </c>
      <c r="Q48" s="229"/>
      <c r="R48" s="230"/>
      <c r="S48" s="230"/>
      <c r="T48" s="230"/>
      <c r="U48" s="230"/>
      <c r="V48" s="230"/>
      <c r="W48" s="230"/>
      <c r="X48" s="230"/>
      <c r="Y48" s="230"/>
      <c r="Z48" s="230"/>
      <c r="AA48" s="230"/>
      <c r="AB48" s="230"/>
      <c r="AC48" s="230"/>
      <c r="AD48" s="230"/>
      <c r="AE48" s="230"/>
      <c r="AF48" s="231"/>
      <c r="AH48" s="38" t="e">
        <f>RNDP($K$41,0,1)</f>
        <v>#VALUE!</v>
      </c>
      <c r="AI48" s="38" t="e">
        <f>RNDP($J$41,0,1)</f>
        <v>#VALUE!</v>
      </c>
      <c r="AJ48" s="38" t="e">
        <f>IF($AH48&gt;$AI48,", up from "&amp;$AI48&amp;"%"&amp;" in "&amp;maxyear-1,IF($AH48&lt;$AI48,", down from "&amp;$AI48&amp;"%"&amp;" in "&amp;maxyear-1,", unchanged from the previous year"))</f>
        <v>#VALUE!</v>
      </c>
      <c r="AK48" s="38" t="e">
        <f>N32&amp;IF(AND(MOD(ABS(N32),100)&gt;10,MOD(ABS(N32),100)&lt;14),"th",CHOOSE(MOD(ABS(N32),10)+1,"th","st","nd","rd","th","th","th","th","th","th"))</f>
        <v>#N/A</v>
      </c>
      <c r="AL48" s="38" t="e">
        <f>M32&amp;IF(AND(MOD(ABS(M32),100)&gt;10,MOD(ABS(M32),100)&lt;14),"th",CHOOSE(MOD(ABS(M32),10)+1,"th","st","nd","rd","th","th","th","th","th","th"))</f>
        <v>#N/A</v>
      </c>
      <c r="AO48" s="1" t="s">
        <v>411</v>
      </c>
      <c r="AP48" s="1" t="e">
        <f>RIGHT(AL45,LEN(AL45)-FIND(CHAR(160),AL45))</f>
        <v>#VALUE!</v>
      </c>
      <c r="AU48" s="226"/>
      <c r="AV48" s="227"/>
      <c r="AW48" s="227"/>
      <c r="AX48" s="227"/>
      <c r="AY48" s="227"/>
      <c r="AZ48" s="227"/>
      <c r="BA48" s="227"/>
      <c r="BB48" s="227"/>
      <c r="BC48" s="228"/>
      <c r="BD48" s="162"/>
      <c r="BF48" s="38" t="e">
        <f>RNDPFR($K$41)</f>
        <v>#VALUE!</v>
      </c>
      <c r="BG48" s="38" t="e">
        <f>RNDPFR($J$41)</f>
        <v>#VALUE!</v>
      </c>
      <c r="BH48" s="38" t="e">
        <f>IF($AH48&gt;$AI48,", en hausse par rapport au niveau de "&amp;$BG48&amp;" observé en "&amp;maxyear-1,IF($AH48&lt;$AI48,", en baisse par rapport au niveau de "&amp;$BG48&amp;" observé en "&amp;maxyear-1,", inchangé par rapport à l'année précédente"))</f>
        <v>#VALUE!</v>
      </c>
      <c r="BI48" s="38" t="e">
        <f>N32&amp;"e"</f>
        <v>#N/A</v>
      </c>
      <c r="BJ48" s="38" t="e">
        <f>M32&amp;"e"</f>
        <v>#N/A</v>
      </c>
    </row>
    <row r="49" spans="1:64" ht="13" x14ac:dyDescent="0.25">
      <c r="A49" s="71" t="s">
        <v>203</v>
      </c>
      <c r="B49" s="13" t="str">
        <f t="shared" ref="B49:J49" si="157">IF(B44="neutral",IF(AND(A44&lt;&gt;"neutral",C44&lt;&gt;"neutral"),IF(C49&lt;&gt;"end",C49,A49),"flat"),IF(B44="increase","up",IF(B44="decrease","down","")))</f>
        <v/>
      </c>
      <c r="C49" s="13" t="str">
        <f t="shared" si="157"/>
        <v/>
      </c>
      <c r="D49" s="13" t="str">
        <f t="shared" si="157"/>
        <v/>
      </c>
      <c r="E49" s="13" t="str">
        <f t="shared" si="157"/>
        <v/>
      </c>
      <c r="F49" s="13" t="str">
        <f t="shared" si="157"/>
        <v/>
      </c>
      <c r="G49" s="13" t="str">
        <f t="shared" si="157"/>
        <v/>
      </c>
      <c r="H49" s="13" t="str">
        <f t="shared" si="157"/>
        <v/>
      </c>
      <c r="I49" s="13" t="str">
        <f t="shared" si="157"/>
        <v/>
      </c>
      <c r="J49" s="13" t="str">
        <f t="shared" si="157"/>
        <v/>
      </c>
      <c r="K49" s="144" t="str">
        <f>IF(K44="neutral",IF(AND(J44&lt;&gt;"neutral",L44&lt;&gt;"neutral"),IF(L49&lt;&gt;"end",L49,J49),"flat"),IF(K44="increase","up",IF(K44="decrease","down","")))</f>
        <v/>
      </c>
      <c r="L49" s="39" t="s">
        <v>95</v>
      </c>
      <c r="Q49" s="70"/>
      <c r="R49" s="70"/>
      <c r="S49" s="70"/>
      <c r="T49" s="70"/>
      <c r="U49" s="70"/>
      <c r="V49" s="70"/>
      <c r="W49" s="70"/>
      <c r="X49" s="70"/>
      <c r="Y49" s="70"/>
      <c r="Z49" s="70"/>
      <c r="AA49" s="132"/>
      <c r="AB49" s="132"/>
      <c r="AC49" s="70"/>
      <c r="AD49" s="70"/>
      <c r="AE49" s="132"/>
      <c r="AF49" s="70"/>
      <c r="AO49" s="1" t="s">
        <v>412</v>
      </c>
      <c r="AP49" s="1" t="e">
        <f>RIGHT(AM45,LEN(AM45)-FIND(CHAR(160),AM45))</f>
        <v>#VALUE!</v>
      </c>
      <c r="AU49" s="226"/>
      <c r="AV49" s="227"/>
      <c r="AW49" s="227"/>
      <c r="AX49" s="227"/>
      <c r="AY49" s="227"/>
      <c r="AZ49" s="227"/>
      <c r="BA49" s="227"/>
      <c r="BB49" s="227"/>
      <c r="BC49" s="228"/>
    </row>
    <row r="50" spans="1:64" x14ac:dyDescent="0.25">
      <c r="B50" s="32"/>
      <c r="C50" s="6"/>
      <c r="D50" s="6"/>
      <c r="E50" s="6"/>
      <c r="F50" s="6"/>
      <c r="G50" s="6"/>
      <c r="H50" s="6"/>
      <c r="I50" s="6"/>
      <c r="J50" s="6"/>
      <c r="K50" s="6"/>
      <c r="Q50" s="232" t="e">
        <f>prefix&amp;country&amp;" represented "&amp;AH48&amp;"%"&amp;" of Canada’s FDI stock in "&amp;maxyear&amp;" (UIC basis)"&amp;AJ48&amp;". As a result, "&amp;LOWER(prefix)&amp;country&amp;" ranked as the "&amp;IF(N32=1,"",AK48&amp;" ")&amp;"largest"&amp;IF(N32=1,""," ("&amp;AL48&amp;" in "&amp;continent&amp;")")&amp;" investor country of FDI stock in Canada in "&amp;maxyear&amp;"."</f>
        <v>#N/A</v>
      </c>
      <c r="R50" s="233"/>
      <c r="S50" s="233"/>
      <c r="T50" s="233"/>
      <c r="U50" s="233"/>
      <c r="V50" s="233"/>
      <c r="W50" s="233"/>
      <c r="X50" s="233"/>
      <c r="Y50" s="233"/>
      <c r="Z50" s="233"/>
      <c r="AA50" s="233"/>
      <c r="AB50" s="233"/>
      <c r="AC50" s="233"/>
      <c r="AD50" s="233"/>
      <c r="AE50" s="233"/>
      <c r="AF50" s="234"/>
      <c r="AM50"/>
      <c r="AU50" s="229"/>
      <c r="AV50" s="230"/>
      <c r="AW50" s="230"/>
      <c r="AX50" s="230"/>
      <c r="AY50" s="230"/>
      <c r="AZ50" s="230"/>
      <c r="BA50" s="230"/>
      <c r="BB50" s="230"/>
      <c r="BC50" s="231"/>
      <c r="BD50" s="161"/>
    </row>
    <row r="51" spans="1:64" ht="13" thickBo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220" t="e">
        <f>"Sur la base du PIU, "&amp;LOWER(prefixFr)&amp;countryFr&amp;" comptai"&amp;IF(prefixFr3="aux ","en","")&amp;"t pour "&amp;BF48&amp;" du stock d’IDE au Canada en "&amp;maxyear&amp;BH48&amp;". Par conséquent, "&amp;LOWER(prefixFr)&amp;countryFr&amp;IF(N32=1," sont la principale source du stock",IF(prefixFr3="aux "," se sont classés"," s'est classée")&amp;" au "&amp;BI48&amp;CHAR(160)&amp;"rang ("&amp;BJ48&amp;" en "&amp;continentFr&amp;") des sources")&amp;" d’IDE au Canada en "&amp;maxyear&amp;"."</f>
        <v>#N/A</v>
      </c>
      <c r="AV51" s="221"/>
      <c r="AW51" s="221"/>
      <c r="AX51" s="221"/>
      <c r="AY51" s="221"/>
      <c r="AZ51" s="221"/>
      <c r="BA51" s="221"/>
      <c r="BB51" s="221"/>
      <c r="BC51" s="222"/>
      <c r="BD51" s="19"/>
      <c r="BE51" s="19"/>
      <c r="BF51" s="19"/>
      <c r="BG51" s="19"/>
      <c r="BH51" s="19"/>
      <c r="BI51" s="19"/>
      <c r="BJ51" s="19"/>
      <c r="BK51" s="19"/>
      <c r="BL51" s="19"/>
    </row>
    <row r="52" spans="1:64" ht="13" thickTop="1" x14ac:dyDescent="0.25">
      <c r="A52" s="20"/>
      <c r="B52" s="20"/>
      <c r="C52" s="20"/>
      <c r="D52" s="20"/>
      <c r="E52" s="20"/>
      <c r="F52" s="20"/>
      <c r="G52" s="20"/>
      <c r="H52" s="20"/>
      <c r="I52" s="20"/>
      <c r="J52" s="20"/>
      <c r="K52" s="20"/>
      <c r="O52" s="20"/>
    </row>
    <row r="53" spans="1:64" customFormat="1" x14ac:dyDescent="0.25">
      <c r="AW53" t="s">
        <v>400</v>
      </c>
      <c r="BA53" t="str">
        <f>AV57&amp;AW57&amp;" entre "&amp;$Y57&amp;" et "&amp;$Z57&amp;", soit de "&amp;AX57&amp;" à "&amp;AY57</f>
        <v xml:space="preserve"> entre 0 et , soit de  à </v>
      </c>
    </row>
    <row r="54" spans="1:64" ht="13" x14ac:dyDescent="0.3">
      <c r="A54" s="7" t="s">
        <v>259</v>
      </c>
      <c r="N54" s="147" t="s">
        <v>200</v>
      </c>
      <c r="O54" s="148">
        <f>MIN(B65:K65)</f>
        <v>0</v>
      </c>
      <c r="Q54" s="1" t="s">
        <v>283</v>
      </c>
      <c r="AU54" s="1" t="s">
        <v>195</v>
      </c>
    </row>
    <row r="55" spans="1:64" ht="39" x14ac:dyDescent="0.3">
      <c r="A55" s="10"/>
      <c r="B55" s="11">
        <f>maxyear-9</f>
        <v>-9</v>
      </c>
      <c r="C55" s="11">
        <f>maxyear-8</f>
        <v>-8</v>
      </c>
      <c r="D55" s="11">
        <f>maxyear-7</f>
        <v>-7</v>
      </c>
      <c r="E55" s="11">
        <f>maxyear-6</f>
        <v>-6</v>
      </c>
      <c r="F55" s="11">
        <f>maxyear-5</f>
        <v>-5</v>
      </c>
      <c r="G55" s="11">
        <f>maxyear-4</f>
        <v>-4</v>
      </c>
      <c r="H55" s="11">
        <f>maxyear-3</f>
        <v>-3</v>
      </c>
      <c r="I55" s="11">
        <f>maxyear-2</f>
        <v>-2</v>
      </c>
      <c r="J55" s="11">
        <f>maxyear-1</f>
        <v>-1</v>
      </c>
      <c r="K55" s="11">
        <f>maxyear</f>
        <v>0</v>
      </c>
      <c r="M55" s="23" t="s">
        <v>1</v>
      </c>
      <c r="N55" s="145" t="s">
        <v>2</v>
      </c>
      <c r="O55" s="146" t="str">
        <f>"Average annual growth rate, "&amp;O54&amp;"-"&amp;maxyear</f>
        <v>Average annual growth rate, 0-0</v>
      </c>
      <c r="Q55" s="37" t="s">
        <v>99</v>
      </c>
      <c r="R55" s="37" t="s">
        <v>164</v>
      </c>
      <c r="S55" s="37" t="s">
        <v>118</v>
      </c>
      <c r="T55" s="37" t="s">
        <v>100</v>
      </c>
      <c r="U55" s="37" t="s">
        <v>104</v>
      </c>
      <c r="V55" s="37" t="s">
        <v>275</v>
      </c>
      <c r="W55" s="37" t="s">
        <v>188</v>
      </c>
      <c r="X55" s="37" t="str">
        <f>"&lt;Threshold events in a row"</f>
        <v>&lt;Threshold events in a row</v>
      </c>
      <c r="Y55" s="37" t="s">
        <v>97</v>
      </c>
      <c r="Z55" s="37" t="s">
        <v>98</v>
      </c>
      <c r="AA55" s="37" t="s">
        <v>243</v>
      </c>
      <c r="AB55" s="37" t="s">
        <v>244</v>
      </c>
      <c r="AC55" s="37" t="s">
        <v>102</v>
      </c>
      <c r="AD55" s="37" t="s">
        <v>103</v>
      </c>
      <c r="AE55" s="36"/>
      <c r="AF55" s="36" t="s">
        <v>101</v>
      </c>
      <c r="AG55" s="36" t="s">
        <v>249</v>
      </c>
      <c r="AH55" s="36" t="s">
        <v>248</v>
      </c>
      <c r="AI55" s="36" t="s">
        <v>255</v>
      </c>
      <c r="AJ55" s="36" t="s">
        <v>256</v>
      </c>
      <c r="AK55" s="36" t="s">
        <v>257</v>
      </c>
      <c r="AL55" s="36" t="s">
        <v>254</v>
      </c>
      <c r="AM55" s="36" t="s">
        <v>250</v>
      </c>
      <c r="AN55" s="36" t="s">
        <v>251</v>
      </c>
      <c r="AO55" s="36" t="s">
        <v>155</v>
      </c>
      <c r="AP55" s="36" t="s">
        <v>252</v>
      </c>
      <c r="AQ55" s="36" t="s">
        <v>253</v>
      </c>
      <c r="AR55" s="36" t="s">
        <v>155</v>
      </c>
      <c r="AS55" s="36" t="s">
        <v>268</v>
      </c>
      <c r="AU55" s="37" t="s">
        <v>104</v>
      </c>
      <c r="AV55" s="37" t="s">
        <v>275</v>
      </c>
      <c r="AW55" s="37" t="s">
        <v>188</v>
      </c>
      <c r="AX55" s="37" t="s">
        <v>102</v>
      </c>
      <c r="AY55" s="37" t="s">
        <v>103</v>
      </c>
      <c r="AZ55" s="36"/>
      <c r="BA55" s="36" t="s">
        <v>101</v>
      </c>
      <c r="BB55" s="37" t="s">
        <v>284</v>
      </c>
      <c r="BC55" s="37" t="s">
        <v>285</v>
      </c>
      <c r="BD55" s="36" t="s">
        <v>268</v>
      </c>
    </row>
    <row r="56" spans="1:64" ht="13" x14ac:dyDescent="0.3">
      <c r="A56" s="15" t="s">
        <v>3</v>
      </c>
      <c r="B56" s="9" t="str">
        <f t="shared" ref="B56:K56" si="158">IFERROR(INDEX(CDIA_IIC,MATCH($A56,CDIA_IIC_ID,0),MATCH(B$55,CDIA_IIC_col,0)),"")</f>
        <v/>
      </c>
      <c r="C56" s="9" t="str">
        <f t="shared" si="158"/>
        <v/>
      </c>
      <c r="D56" s="9" t="str">
        <f t="shared" si="158"/>
        <v/>
      </c>
      <c r="E56" s="9" t="str">
        <f t="shared" si="158"/>
        <v/>
      </c>
      <c r="F56" s="9" t="str">
        <f t="shared" si="158"/>
        <v/>
      </c>
      <c r="G56" s="9" t="str">
        <f t="shared" si="158"/>
        <v/>
      </c>
      <c r="H56" s="9" t="str">
        <f t="shared" si="158"/>
        <v/>
      </c>
      <c r="I56" s="9" t="str">
        <f t="shared" si="158"/>
        <v/>
      </c>
      <c r="J56" s="9" t="str">
        <f t="shared" si="158"/>
        <v/>
      </c>
      <c r="K56" s="9" t="str">
        <f t="shared" si="158"/>
        <v/>
      </c>
      <c r="O56" s="21" t="e">
        <f>_xlfn.RRI(maxyear-O54,VLOOKUP(A56,A55:K57,MATCH(O54,A55:K55)),VLOOKUP(A56,A55:K57,MATCH(maxyear,A55:K55)))</f>
        <v>#VALUE!</v>
      </c>
      <c r="Q56" s="39"/>
      <c r="R56" s="39"/>
      <c r="S56" s="39"/>
      <c r="T56" s="40"/>
      <c r="U56" s="40"/>
      <c r="V56" s="40"/>
      <c r="W56" s="40"/>
      <c r="X56" s="141">
        <v>0</v>
      </c>
      <c r="Y56" s="40"/>
      <c r="Z56" s="40"/>
      <c r="AA56" s="139" t="str">
        <f>IFERROR(RND($K$57),"")</f>
        <v/>
      </c>
      <c r="AB56" s="139" t="str">
        <f>IF($K$57&gt;$J$57,"an increase","a decrease")</f>
        <v>a decrease</v>
      </c>
      <c r="AC56" s="139" t="e">
        <f>RNDP($K$63,1)</f>
        <v>#VALUE!</v>
      </c>
      <c r="AD56" s="140" t="str">
        <f>IFERROR(RND($K$60,1),"")</f>
        <v/>
      </c>
      <c r="AE56" s="140"/>
      <c r="AF56" s="40" t="e">
        <f>"In "&amp;maxyear&amp;", CDIA stock from "&amp;LOWER(prefix)&amp;country&amp;" stood at "&amp;$AA56&amp;", "&amp;$AB56&amp;" of "&amp;$AC56&amp;" or "&amp;$AD56&amp;" from "&amp;maxyear-1&amp;". "</f>
        <v>#N/A</v>
      </c>
      <c r="AG56" s="141"/>
      <c r="AH56" s="141"/>
      <c r="AI56" s="38"/>
      <c r="AJ56" s="38"/>
      <c r="AK56" s="38"/>
      <c r="AL56" s="38"/>
      <c r="AM56" s="38"/>
      <c r="AN56" s="38"/>
      <c r="AO56" s="38"/>
      <c r="AP56" s="38"/>
      <c r="AQ56" s="38"/>
      <c r="AR56" s="38"/>
      <c r="AS56" s="38"/>
      <c r="AU56" s="40"/>
      <c r="AV56" s="139" t="str">
        <f>IFERROR(RNDFR($K$57),"")</f>
        <v/>
      </c>
      <c r="AW56" s="139" t="str">
        <f>IF($K$57&gt;$J$57,"soit une augmentation de ","en baisse de ")</f>
        <v xml:space="preserve">en baisse de </v>
      </c>
      <c r="AX56" s="139" t="e">
        <f>RNDPFR($K$63,1)</f>
        <v>#VALUE!</v>
      </c>
      <c r="AY56" s="140" t="str">
        <f>IFERROR(RNDFR($K$60,1),"")</f>
        <v/>
      </c>
      <c r="AZ56" s="140"/>
      <c r="BA56" s="40" t="e">
        <f>"Le stock d’IDCE "&amp;prefixFr3&amp;countryFr&amp;" s’élevait à "&amp;AV56&amp;" en "&amp;maxyear&amp;", "&amp;AW56&amp;AX56&amp;", ou "&amp;AY56&amp;", par rapport à "&amp;maxyear-1&amp;". "</f>
        <v>#N/A</v>
      </c>
      <c r="BB56" s="160"/>
      <c r="BC56" s="160"/>
      <c r="BD56" s="160"/>
    </row>
    <row r="57" spans="1:64" ht="13" x14ac:dyDescent="0.25">
      <c r="A57" s="16" t="str">
        <f>country</f>
        <v>Australia</v>
      </c>
      <c r="B57" s="8" t="str">
        <f t="shared" ref="B57:K57" si="159">IFERROR(INDEX(CDIA_IIC,MATCH(country,CDIA_IIC_ID,0),MATCH(B$55,CDIA_IIC_col,0)),"")</f>
        <v/>
      </c>
      <c r="C57" s="8" t="str">
        <f t="shared" si="159"/>
        <v/>
      </c>
      <c r="D57" s="8" t="str">
        <f t="shared" si="159"/>
        <v/>
      </c>
      <c r="E57" s="8" t="str">
        <f t="shared" si="159"/>
        <v/>
      </c>
      <c r="F57" s="8" t="str">
        <f t="shared" si="159"/>
        <v/>
      </c>
      <c r="G57" s="8" t="str">
        <f t="shared" si="159"/>
        <v/>
      </c>
      <c r="H57" s="8" t="str">
        <f t="shared" si="159"/>
        <v/>
      </c>
      <c r="I57" s="8" t="str">
        <f t="shared" si="159"/>
        <v/>
      </c>
      <c r="J57" s="8" t="str">
        <f t="shared" si="159"/>
        <v/>
      </c>
      <c r="K57" s="8" t="str">
        <f t="shared" si="159"/>
        <v/>
      </c>
      <c r="M57" s="8" t="e">
        <f>INDEX(CDIA_IIC,MATCH(country,CDIA_IIC_ID,0),MATCH(M$55,CDIA_IIC_col,0))</f>
        <v>#N/A</v>
      </c>
      <c r="N57" s="8" t="e">
        <f>INDEX(CDIA_IIC,MATCH(country,CDIA_IIC_ID,0),MATCH(N$55,CDIA_IIC_col,0))</f>
        <v>#N/A</v>
      </c>
      <c r="O57" s="21" t="e">
        <f>_xlfn.RRI(maxyear-O54,VLOOKUP(country,A55:K57,MATCH(O54,A55:K55)),VLOOKUP(country,A55:K57,MATCH(maxyear,A55:K55)))</f>
        <v>#VALUE!</v>
      </c>
      <c r="Q57" s="38">
        <v>1</v>
      </c>
      <c r="R57" s="38" t="str">
        <f>IF(COUNTIF(B$71:K$71, $Q57)&gt;0,INDEX($A$69:$K$74,6,MATCH($Q57,$A$71:$K$71,0)),"")</f>
        <v/>
      </c>
      <c r="S57" s="38" t="str">
        <f>IF(COUNTIF($B$71:$K$71, $Q57)&gt;0, COUNTIF($B$71:$K$71, $Q57), "")</f>
        <v/>
      </c>
      <c r="T57" s="39" t="str">
        <f>IF($Q57&lt;=SUM($B$70:$K$70),IF($S57&gt;1,"CAGR","YoY"),"")</f>
        <v/>
      </c>
      <c r="U57" s="41" t="str">
        <f>IFERROR(IF($R57="flat","",IF(SUMIF($B$71:$K$71,$Q57,$B$72:$K$72)=0,"",RNDP(SUMIF($B$71:$K$71,$Q57,$B$72:$K$72),1))),"")</f>
        <v/>
      </c>
      <c r="V57" s="60" t="str">
        <f>IF($T57="","",IF(AND($T58="",$Q57&lt;&gt;1),"From "&amp;$Y57&amp;" onward, CDIA stock ",IF(ISEVEN($Q57),"It then ","CDIA stock ")))</f>
        <v/>
      </c>
      <c r="W57" s="60" t="str">
        <f>IF($T57="","",IF($R57="flat", "stayed relatively stable", IF($T57="CAGR",IF($R57="down", "decreased","increased"),IF($R57="down", "fell ","jumped "))))</f>
        <v/>
      </c>
      <c r="X57" s="141">
        <f t="shared" ref="X57:X66" si="160">IF(AND($T57&lt;&gt;"",$S57&lt;$S$3,IF($Y57&lt;maxyear-3,IFERROR($S$1-$U57&gt;0,TRUE),IFERROR($S$2-$U57&gt;0,TRUE))),$X56+1,0)</f>
        <v>0</v>
      </c>
      <c r="Y57" s="38">
        <f t="shared" ref="Y57:Y66" si="161">IFERROR(IF($Y56+$S56=maxyear,maxyear,INDEX($A$55:$K$55,1,MATCH($Q57,$A$71:$K$71,0))-1),"")</f>
        <v>0</v>
      </c>
      <c r="Z57" s="38" t="str">
        <f t="shared" ref="Z57:Z66" si="162">IF($S57&lt;&gt;"",$Y57+$S57,"")</f>
        <v/>
      </c>
      <c r="AA57" s="38" t="str">
        <f>IFERROR(INDEX($B$55:$K$57,3,MATCH($Y57,$B$55:$K$55,0)),"")</f>
        <v/>
      </c>
      <c r="AB57" s="38" t="str">
        <f>IFERROR(INDEX($B$55:$K$57,3,MATCH(IFERROR(VALUE(LEFT($Z57, SEARCH(" ",$Z57)-1)),$Z57),$B$55:$K$55,0)),"")</f>
        <v/>
      </c>
      <c r="AC57" s="38" t="str">
        <f>IF($R57="flat","",IFERROR(RND($AA57)&amp;IF(AND($T58="",$Q57&lt;&gt;1),""," in "&amp;$Y57),""))</f>
        <v/>
      </c>
      <c r="AD57" s="38" t="str">
        <f>IFERROR(IF($Z57=maxyear,"",IF($R57="flat","",RND($AB57)&amp;" in "&amp;$Z57)),"")</f>
        <v/>
      </c>
      <c r="AE57" s="38" t="str">
        <f t="shared" ref="AE57:AE66" si="163">IF(AND($Z57=maxyear,$T57&lt;&gt;"YoY"),IF(R57&lt;&gt;"flat","reach ","")&amp;"its "&amp;maxyear&amp;" value",IF(R57="flat", Z57,""))&amp;IF(ISERR($U57),"",IF(AND($U57&lt;&gt;"",$T57="CAGR")," at an average annual rate of "&amp;$U57,"")&amp;IF($Z57=maxyear-1,", before reaching its "&amp;maxyear&amp;" value",""))</f>
        <v/>
      </c>
      <c r="AF57" s="40" t="str">
        <f>IF(OR($T57="",$Z56=maxyear-1,$AG57),"",$V57&amp;$W57&amp;IF($T57="YoY",$U57,"")&amp;" from "&amp;$AC57&amp;" to "&amp;$AD57&amp;AE57&amp;IF($Y57+$S57&gt;=maxyear-1,IF(twoCharts," (see Chart 2)"," (see Chart 1)"),"")&amp;". ")</f>
        <v/>
      </c>
      <c r="AG57" s="141">
        <f>IF($X57+$X58&gt;1,IF($X57&gt;0,TRUE,0),0)</f>
        <v>0</v>
      </c>
      <c r="AH57" s="141">
        <f>IF(AND($AG57,NOT($AG58)),TRUE,0)</f>
        <v>0</v>
      </c>
      <c r="AI57" s="38" t="str">
        <f ca="1">IF($AH57,OFFSET($Y58,-$X57,0),"")</f>
        <v/>
      </c>
      <c r="AJ57" s="38" t="str">
        <f ca="1">IFERROR(RND(INDEX($B$5:$K$7,3,MATCH($AI57,$B$5:$K$5,0))),"")</f>
        <v/>
      </c>
      <c r="AK57" s="38" t="str">
        <f t="shared" ref="AK57:AK66" si="164">IF($AH57,$Y58,"")</f>
        <v/>
      </c>
      <c r="AL57" s="38" t="str">
        <f>IFERROR(RND(INDEX($B$5:$K$7,3,MATCH($AK57,$B$5:$K$5,0))),"")</f>
        <v/>
      </c>
      <c r="AM57" s="38" t="str">
        <f>IF($AH57,INDEX($Q$55:$AD$66,MATCH($AN57,$AA$55:$AA$66,0),MATCH($Y$55,$Q$55:$AD$55,0)),"")</f>
        <v/>
      </c>
      <c r="AN57" s="38" t="str">
        <f t="shared" ref="AN57:AN66" ca="1" si="165">IF($AH57,MIN(OFFSET($AA58,0,0,-($X57+1),1)),"")</f>
        <v/>
      </c>
      <c r="AO57" s="38" t="str">
        <f>IF($AH57,INDEX($Q$55:$AD$66,MATCH($AN57,$AA$55:$AA$66,0),MATCH($AC$55,$Q$55:$AD$55,0)),"")</f>
        <v/>
      </c>
      <c r="AP57" s="38" t="str">
        <f>IF($AH57,INDEX($Q$55:$AD$66,MATCH($AQ57,$AA$55:$AA$66,0),MATCH($Y$55,$Q$55:$AD$55,0)),"")</f>
        <v/>
      </c>
      <c r="AQ57" s="38" t="str">
        <f t="shared" ref="AQ57:AQ66" ca="1" si="166">IF($AH57,MAX(OFFSET($AA58,0,0,-($X57+1),1)),"")</f>
        <v/>
      </c>
      <c r="AR57" s="38" t="str">
        <f>IF($AH57,IFERROR(RND($AQ57)&amp;" in "&amp;$AP57,""),"")</f>
        <v/>
      </c>
      <c r="AS57" s="38" t="str">
        <f t="shared" ref="AS57:AS66" si="167">IF($AH57,"CDIA stock fluctuated between "&amp;$AI57&amp;" and "&amp;$AK57&amp;" with a high value of "&amp;$AR57&amp;" and a low value of "&amp;$AO57&amp;IF($Y57+$S57=maxyear,IF(twoCharts," (see Chart 2)"," (see Chart 1)"),"")&amp;". ","")</f>
        <v/>
      </c>
      <c r="AU57" s="41" t="str">
        <f>IFERROR(IF($R57="flat","",IF(SUMIF($B$71:$K$71,$Q57,$B$72:$K$72)=0,"",RNDPFR(SUMIF($B$71:$K$71,$Q57,$B$72:$K$72),1))),"")</f>
        <v/>
      </c>
      <c r="AV57" s="60" t="str">
        <f t="shared" ref="AV57:AV66" si="168">IF($T57="","",IF(AND($Y57+$S57&gt;=maxyear-1,$Q57&lt;&gt;1),"A partir de "&amp;$Y57&amp;", le stock d’IDCE a ",IF(ISEVEN($Q57),"Il a ensuite ","Le stock d’IDCE a ")))</f>
        <v/>
      </c>
      <c r="AW57" s="60" t="str">
        <f t="shared" ref="AW57:AW66" si="169">IF($T57="","",IF($R57="flat", "resté relativement stable jusqu'en ", IF($T57="CAGR",IF($R57="down", "diminué","augmenté"),IF($R57="down", "baissé de "&amp;$AU57,"bondi de "&amp;$AU57))&amp;IF(AND($Q57=1,$T57&lt;&gt;"YoY")," de ",IF($Z57=maxyear,IF($T57&lt;&gt;"YoY"," à un taux annuel moyen de "&amp;$AU57,""),IF(AND($AU57&lt;&gt;"",NOT(OR(AND($AM56&lt;&gt;$Y57,$AP56&lt;&gt;$Y57,$AH56),$R56="flat")))," pour atteindre ","")))))</f>
        <v/>
      </c>
      <c r="AX57" s="38" t="str">
        <f>IF($R57="flat","",IFERROR(IF(AND(OR($Y57+$S57&lt;maxyear-1,$Q57=1),$T57&lt;&gt;"YoY"),RNDFR($AA57)&amp;" en "&amp;$Y57,RNDFR($AA57,0,0,0,1)),""))</f>
        <v/>
      </c>
      <c r="AY57" s="38" t="str">
        <f>IF($R57="flat","",IFERROR(IF($Z57=maxyear,"",RNDFR($AB57)&amp;IF(AND($Q57=1,$T57&lt;&gt;"YoY")," en "&amp;$Z57,"")),""))</f>
        <v/>
      </c>
      <c r="AZ57" s="38" t="str">
        <f t="shared" ref="AZ57:AZ66" si="170">IF(ISERR($AU57),"",IF(AND($AU57&lt;&gt;"",$T57="CAGR",$Z57&lt;&gt;maxyear)," à un taux annuel moyen de "&amp;$AU57,"")&amp;IF($Z57=maxyear-1,", avant d'atteindre sa valeur de "&amp;maxyear,IF(AND($Z57=maxyear,$T57&lt;&gt;"YoY"),IF(R57&lt;&gt;"flat",", pour atteindre ","")&amp;"sa valeur de "&amp;maxyear,"")))</f>
        <v/>
      </c>
      <c r="BA57" s="38" t="str">
        <f>IF(OR($T57="",$Z56=maxyear-1,$AG57),"",$AV57&amp;$AW57&amp;IF($T57="YoY"," entre "&amp;$Y57&amp;" et "&amp;$Z57&amp;", soit de ","")&amp;$AX57&amp;IF($Z57=maxyear,""," à "&amp;$AY57)&amp;AZ57&amp;IF($Y57+$S57&gt;=maxyear-1,IF(twoCharts," (voir la figure"&amp;CHAR(160)&amp;"2)"," (voir la figure"&amp;CHAR(160)&amp;"1)"),"")&amp;". ")</f>
        <v/>
      </c>
      <c r="BB57" s="160" t="str">
        <f>IF($AH57,RNDFR($AN57,0,0,0,1),"")</f>
        <v/>
      </c>
      <c r="BC57" s="160" t="str">
        <f>IF($AH57,RNDFR($AQ57),"")</f>
        <v/>
      </c>
      <c r="BD57" s="160" t="str">
        <f t="shared" ref="BD57:BD66" si="171">IF($AH57,"Le stock d'IDCE "&amp;prefixFr3&amp;countryFr&amp;" a oscillé entre "&amp;BB57&amp;" et "&amp;BC57&amp;" entre "&amp;$AI57&amp;" et "&amp;$AK57&amp;IF($Y57+$S57=maxyear,IF(twoCharts," (voir la figure"&amp;CHAR(160)&amp;"2)"," (voir la figure"&amp;CHAR(160)&amp;"1)"),"")&amp;". ","")</f>
        <v/>
      </c>
    </row>
    <row r="58" spans="1:64" x14ac:dyDescent="0.25">
      <c r="Q58" s="38">
        <v>2</v>
      </c>
      <c r="R58" s="38" t="str">
        <f t="shared" ref="R58:R66" si="172">IF(COUNTIF(B$71:K$71, $Q58)&gt;0,INDEX($A$69:$K$74,6,MATCH($Q58,$A$71:$K$71,0)),"")</f>
        <v/>
      </c>
      <c r="S58" s="38" t="str">
        <f t="shared" ref="S58:S66" si="173">IF(COUNTIF($B$71:$K$71, $Q58)&gt;0, COUNTIF($B$71:$K$71, $Q58), "")</f>
        <v/>
      </c>
      <c r="T58" s="39" t="str">
        <f t="shared" ref="T58:T66" si="174">IF($Q58&lt;=SUM($B$70:$K$70),IF($S58&gt;1,"CAGR","YoY"),"")</f>
        <v/>
      </c>
      <c r="U58" s="41" t="str">
        <f t="shared" ref="U58:U66" si="175">IFERROR(IF($R58="flat","",IF(SUMIF($B$71:$K$71,$Q58,$B$72:$K$72)=0,"",RNDP(SUMIF($B$71:$K$71,$Q58,$B$72:$K$72),1))),"")</f>
        <v/>
      </c>
      <c r="V58" s="60" t="str">
        <f t="shared" ref="V58:V66" si="176">IF($T58="","",IF(AND($T59="",$Q58&lt;&gt;1),"From "&amp;$Y58&amp;" onward, CDIA stock ",IF(ISEVEN($Q58),"It then ","CDIA stock ")))</f>
        <v/>
      </c>
      <c r="W58" s="60" t="str">
        <f t="shared" ref="W58:W66" si="177">IF($T58="","",IF($R58="flat", "stayed relatively stable", IF($T58="CAGR",IF($R58="down", "decreased","increased"),IF($R58="down", "fell ","jumped "))))</f>
        <v/>
      </c>
      <c r="X58" s="141">
        <f t="shared" si="160"/>
        <v>0</v>
      </c>
      <c r="Y58" s="38" t="str">
        <f t="shared" si="161"/>
        <v/>
      </c>
      <c r="Z58" s="38" t="str">
        <f t="shared" si="162"/>
        <v/>
      </c>
      <c r="AA58" s="38" t="str">
        <f t="shared" ref="AA58:AA66" si="178">IFERROR(INDEX($B$55:$K$57,3,MATCH($Y58,$B$55:$K$55,0)),"")</f>
        <v/>
      </c>
      <c r="AB58" s="38" t="str">
        <f t="shared" ref="AB58:AB66" si="179">IFERROR(INDEX($B$55:$K$57,3,MATCH(IFERROR(VALUE(LEFT($Z58, SEARCH(" ",$Z58)-1)),$Z58),$B$55:$K$55,0)),"")</f>
        <v/>
      </c>
      <c r="AC58" s="38" t="str">
        <f>IF($R58="flat","",IFERROR(RND($AA58)&amp;IF(AND($T59="",$Q58&lt;&gt;1),""," in "&amp;$Y58),""))</f>
        <v/>
      </c>
      <c r="AD58" s="38" t="str">
        <f>IFERROR(IF($Z58=maxyear,"",IF($R58="flat","",RND($AB58)&amp;" in "&amp;$Z58)),"")</f>
        <v/>
      </c>
      <c r="AE58" s="38" t="str">
        <f t="shared" si="163"/>
        <v/>
      </c>
      <c r="AF58" s="38" t="str">
        <f t="shared" ref="AF58:AF66" si="180">IF(OR($T58="",$Z57=maxyear-1,$AG58),"",$V58&amp;$W58&amp;IF($T58="YoY",$U58,"")&amp;IF(OR(AND($AM57&lt;&gt;$Y58,$AP57&lt;&gt;$Y58,$AH57),$R57="flat")," from "&amp;$AC58,"")&amp;IF($R58="flat"," until "," to ")&amp;$AD58&amp;AE58&amp;IF($Y58+$S58&gt;=maxyear-1,IF(twoCharts," (see Chart 2)"," (see Chart 1)"),"")&amp;". ")</f>
        <v/>
      </c>
      <c r="AG58" s="141">
        <f t="shared" ref="AG58:AG66" si="181">IF($X58+$X59&gt;1,IF($X58&gt;0,TRUE,0),0)</f>
        <v>0</v>
      </c>
      <c r="AH58" s="141">
        <f t="shared" ref="AH58:AH66" si="182">IF(AND($AG58,NOT($AG59)),TRUE,0)</f>
        <v>0</v>
      </c>
      <c r="AI58" s="38" t="str">
        <f t="shared" ref="AI58:AI66" ca="1" si="183">IF($AH58,OFFSET($Y59,-$X58,0),"")</f>
        <v/>
      </c>
      <c r="AJ58" s="38" t="str">
        <f ca="1">IFERROR(RND(INDEX($B$5:$K$7,3,MATCH($AI58,$B$5:$K$5,0))),"")</f>
        <v/>
      </c>
      <c r="AK58" s="38" t="str">
        <f t="shared" si="164"/>
        <v/>
      </c>
      <c r="AL58" s="38" t="str">
        <f>IFERROR(RND(INDEX($B$5:$K$7,3,MATCH($AK58,$B$5:$K$5,0))),"")</f>
        <v/>
      </c>
      <c r="AM58" s="38" t="str">
        <f t="shared" ref="AM58:AM66" si="184">IF($AH58,INDEX($Q$55:$AD$66,MATCH($AN58,$AA$55:$AA$66,0),MATCH($Y$55,$Q$55:$AD$55,0)),"")</f>
        <v/>
      </c>
      <c r="AN58" s="38" t="str">
        <f t="shared" ca="1" si="165"/>
        <v/>
      </c>
      <c r="AO58" s="38" t="str">
        <f t="shared" ref="AO58:AO66" si="185">IF($AH58,INDEX($Q$55:$AD$66,MATCH($AN58,$AA$55:$AA$66,0),MATCH($AC$55,$Q$55:$AD$55,0)),"")</f>
        <v/>
      </c>
      <c r="AP58" s="38" t="str">
        <f t="shared" ref="AP58:AP66" si="186">IF($AH58,INDEX($Q$55:$AD$66,MATCH($AQ58,$AA$55:$AA$66,0),MATCH($Y$55,$Q$55:$AD$55,0)),"")</f>
        <v/>
      </c>
      <c r="AQ58" s="38" t="str">
        <f t="shared" ca="1" si="166"/>
        <v/>
      </c>
      <c r="AR58" s="38" t="str">
        <f>IF($AH58,IFERROR(RND($AQ58)&amp;" in "&amp;$AP58,""),"")</f>
        <v/>
      </c>
      <c r="AS58" s="38" t="str">
        <f t="shared" si="167"/>
        <v/>
      </c>
      <c r="AU58" s="41" t="str">
        <f t="shared" ref="AU58:AU66" si="187">IFERROR(IF($R58="flat","",IF(SUMIF($B$71:$K$71,$Q58,$B$72:$K$72)=0,"",RNDPFR(SUMIF($B$71:$K$71,$Q58,$B$72:$K$72),1))),"")</f>
        <v/>
      </c>
      <c r="AV58" s="60" t="str">
        <f t="shared" si="168"/>
        <v/>
      </c>
      <c r="AW58" s="60" t="str">
        <f t="shared" si="169"/>
        <v/>
      </c>
      <c r="AX58" s="38" t="str">
        <f>IF($R58="flat","",IFERROR(IF(AND(OR($Y58+$S58&lt;maxyear-1,$Q58=1),$T58&lt;&gt;"YoY"),RNDFR($AA58)&amp;" en "&amp;$Y58,RNDFR($AA58,0,0,0,1)),""))</f>
        <v/>
      </c>
      <c r="AY58" s="38" t="str">
        <f>IF($R58="flat","",IFERROR(IF($Z58=maxyear,"",RNDFR($AB58)&amp;IF($Y58+$S58&lt;=maxyear-1," en "&amp;$Z58,"")),""))</f>
        <v/>
      </c>
      <c r="AZ58" s="38" t="str">
        <f t="shared" si="170"/>
        <v/>
      </c>
      <c r="BA58" s="38" t="str">
        <f t="shared" ref="BA58:BA66" si="188">IF(OR($T58="",$Z57=maxyear-1,$AG58),"",$AV58&amp;$AW58&amp;IF(OR(AND($AM57&lt;&gt;$Y58,$AP57&lt;&gt;$Y58,$AH57),$R57="flat")," de "&amp;$AX58,"")&amp;IF(AND($AU58&lt;&gt;"",NOT(OR(AND($AM57&lt;&gt;$Y58,$AP57&lt;&gt;$Y58,$AH57),$R57="flat"))),"",IF(Z58&lt;&gt;maxyear," à ",""))&amp;$AY58&amp;AZ58&amp;IF($Y58+$S58&gt;=maxyear-1,IF(twoCharts," (voir la figure"&amp;CHAR(160)&amp;"2)"," (voir la figure"&amp;CHAR(160)&amp;"1)"),"")&amp;". ")</f>
        <v/>
      </c>
      <c r="BB58" s="160" t="str">
        <f>IF($AH58,RNDFR($AN58,0,0,0,1),"")</f>
        <v/>
      </c>
      <c r="BC58" s="160" t="str">
        <f>IF($AH58,RNDFR($AQ58),"")</f>
        <v/>
      </c>
      <c r="BD58" s="160" t="str">
        <f t="shared" si="171"/>
        <v/>
      </c>
    </row>
    <row r="59" spans="1:64" ht="13" x14ac:dyDescent="0.25">
      <c r="A59" s="12" t="s">
        <v>30</v>
      </c>
      <c r="B59" s="12"/>
      <c r="C59" s="11" t="str">
        <f>IF(C60="","",C$5)</f>
        <v/>
      </c>
      <c r="D59" s="11" t="str">
        <f t="shared" ref="D59" si="189">IF(D60="","",D$5)</f>
        <v/>
      </c>
      <c r="E59" s="11" t="str">
        <f t="shared" ref="E59" si="190">IF(E60="","",E$5)</f>
        <v/>
      </c>
      <c r="F59" s="11" t="str">
        <f t="shared" ref="F59" si="191">IF(F60="","",F$5)</f>
        <v/>
      </c>
      <c r="G59" s="11" t="str">
        <f t="shared" ref="G59" si="192">IF(G60="","",G$5)</f>
        <v/>
      </c>
      <c r="H59" s="11" t="str">
        <f t="shared" ref="H59" si="193">IF(H60="","",H$5)</f>
        <v/>
      </c>
      <c r="I59" s="11" t="str">
        <f t="shared" ref="I59" si="194">IF(I60="","",I$5)</f>
        <v/>
      </c>
      <c r="J59" s="11" t="str">
        <f t="shared" ref="J59" si="195">IF(J60="","",J$5)</f>
        <v/>
      </c>
      <c r="K59" s="11" t="str">
        <f t="shared" ref="K59" si="196">IF(K60="","",K$5)</f>
        <v/>
      </c>
      <c r="Q59" s="38">
        <v>3</v>
      </c>
      <c r="R59" s="38" t="str">
        <f t="shared" si="172"/>
        <v/>
      </c>
      <c r="S59" s="38" t="str">
        <f t="shared" si="173"/>
        <v/>
      </c>
      <c r="T59" s="39" t="str">
        <f t="shared" si="174"/>
        <v/>
      </c>
      <c r="U59" s="41" t="str">
        <f t="shared" si="175"/>
        <v/>
      </c>
      <c r="V59" s="60" t="str">
        <f t="shared" si="176"/>
        <v/>
      </c>
      <c r="W59" s="60" t="str">
        <f t="shared" si="177"/>
        <v/>
      </c>
      <c r="X59" s="141">
        <f t="shared" si="160"/>
        <v>0</v>
      </c>
      <c r="Y59" s="38" t="str">
        <f t="shared" si="161"/>
        <v/>
      </c>
      <c r="Z59" s="38" t="str">
        <f t="shared" si="162"/>
        <v/>
      </c>
      <c r="AA59" s="38" t="str">
        <f t="shared" si="178"/>
        <v/>
      </c>
      <c r="AB59" s="38" t="str">
        <f t="shared" si="179"/>
        <v/>
      </c>
      <c r="AC59" s="38" t="str">
        <f>IF($R59="flat","",IFERROR(RND($AA59)&amp;IF(AND($T60="",$Q59&lt;&gt;1),""," in "&amp;$Y59),""))</f>
        <v/>
      </c>
      <c r="AD59" s="38" t="str">
        <f>IFERROR(IF($Z59=maxyear,"",IF($R59="flat","",RND($AB59)&amp;" in "&amp;$Z59)),"")</f>
        <v/>
      </c>
      <c r="AE59" s="38" t="str">
        <f t="shared" si="163"/>
        <v/>
      </c>
      <c r="AF59" s="38" t="str">
        <f t="shared" si="180"/>
        <v/>
      </c>
      <c r="AG59" s="141">
        <f t="shared" si="181"/>
        <v>0</v>
      </c>
      <c r="AH59" s="141">
        <f t="shared" si="182"/>
        <v>0</v>
      </c>
      <c r="AI59" s="38" t="str">
        <f t="shared" ca="1" si="183"/>
        <v/>
      </c>
      <c r="AJ59" s="38" t="str">
        <f ca="1">IFERROR(RND(INDEX($B$5:$K$7,3,MATCH($AI59,$B$5:$K$5,0))),"")</f>
        <v/>
      </c>
      <c r="AK59" s="38" t="str">
        <f t="shared" si="164"/>
        <v/>
      </c>
      <c r="AL59" s="38" t="str">
        <f>IFERROR(RND(INDEX($B$5:$K$7,3,MATCH($AK59,$B$5:$K$5,0))),"")</f>
        <v/>
      </c>
      <c r="AM59" s="38" t="str">
        <f t="shared" si="184"/>
        <v/>
      </c>
      <c r="AN59" s="38" t="str">
        <f t="shared" ca="1" si="165"/>
        <v/>
      </c>
      <c r="AO59" s="38" t="str">
        <f t="shared" si="185"/>
        <v/>
      </c>
      <c r="AP59" s="38" t="str">
        <f t="shared" si="186"/>
        <v/>
      </c>
      <c r="AQ59" s="38" t="str">
        <f t="shared" ca="1" si="166"/>
        <v/>
      </c>
      <c r="AR59" s="38" t="str">
        <f>IF($AH59,IFERROR(RND($AQ59)&amp;" in "&amp;$AP59,""),"")</f>
        <v/>
      </c>
      <c r="AS59" s="38" t="str">
        <f t="shared" si="167"/>
        <v/>
      </c>
      <c r="AU59" s="41" t="str">
        <f t="shared" si="187"/>
        <v/>
      </c>
      <c r="AV59" s="60" t="str">
        <f t="shared" si="168"/>
        <v/>
      </c>
      <c r="AW59" s="60" t="str">
        <f t="shared" si="169"/>
        <v/>
      </c>
      <c r="AX59" s="38" t="str">
        <f>IF($R59="flat","",IFERROR(IF(AND(OR($Y59+$S59&lt;maxyear-1,$Q59=1),$T59&lt;&gt;"YoY"),RNDFR($AA59)&amp;" en "&amp;$Y59,RNDFR($AA59,0,0,0,1)),""))</f>
        <v/>
      </c>
      <c r="AY59" s="38" t="str">
        <f>IF($R59="flat","",IFERROR(IF($Z59=maxyear,"",RNDFR($AB59)&amp;IF($Y59+$S59&lt;=maxyear-1," en "&amp;$Z59,"")),""))</f>
        <v/>
      </c>
      <c r="AZ59" s="38" t="str">
        <f t="shared" si="170"/>
        <v/>
      </c>
      <c r="BA59" s="38" t="str">
        <f t="shared" si="188"/>
        <v/>
      </c>
      <c r="BB59" s="160" t="str">
        <f>IF($AH59,RNDFR($AN59,0,0,0,1),"")</f>
        <v/>
      </c>
      <c r="BC59" s="160" t="str">
        <f>IF($AH59,RNDFR($AQ59),"")</f>
        <v/>
      </c>
      <c r="BD59" s="160" t="str">
        <f t="shared" si="171"/>
        <v/>
      </c>
    </row>
    <row r="60" spans="1:64" x14ac:dyDescent="0.25">
      <c r="A60" s="13"/>
      <c r="B60" s="13"/>
      <c r="C60" s="14" t="str">
        <f>IFERROR(C57-B57,"")</f>
        <v/>
      </c>
      <c r="D60" s="14" t="str">
        <f t="shared" ref="D60:G60" si="197">IFERROR(D57-C57,"")</f>
        <v/>
      </c>
      <c r="E60" s="14" t="str">
        <f t="shared" si="197"/>
        <v/>
      </c>
      <c r="F60" s="14" t="str">
        <f t="shared" si="197"/>
        <v/>
      </c>
      <c r="G60" s="14" t="str">
        <f t="shared" si="197"/>
        <v/>
      </c>
      <c r="H60" s="14" t="str">
        <f>IFERROR(H57-G57,"")</f>
        <v/>
      </c>
      <c r="I60" s="14" t="str">
        <f t="shared" ref="I60:K60" si="198">IFERROR(I57-H57,"")</f>
        <v/>
      </c>
      <c r="J60" s="14" t="str">
        <f t="shared" si="198"/>
        <v/>
      </c>
      <c r="K60" s="14" t="str">
        <f t="shared" si="198"/>
        <v/>
      </c>
      <c r="Q60" s="38">
        <v>4</v>
      </c>
      <c r="R60" s="38" t="str">
        <f t="shared" si="172"/>
        <v/>
      </c>
      <c r="S60" s="38" t="str">
        <f t="shared" si="173"/>
        <v/>
      </c>
      <c r="T60" s="39" t="str">
        <f t="shared" si="174"/>
        <v/>
      </c>
      <c r="U60" s="41" t="str">
        <f t="shared" si="175"/>
        <v/>
      </c>
      <c r="V60" s="60" t="str">
        <f t="shared" si="176"/>
        <v/>
      </c>
      <c r="W60" s="60" t="str">
        <f t="shared" si="177"/>
        <v/>
      </c>
      <c r="X60" s="141">
        <f t="shared" si="160"/>
        <v>0</v>
      </c>
      <c r="Y60" s="38" t="str">
        <f t="shared" si="161"/>
        <v/>
      </c>
      <c r="Z60" s="38" t="str">
        <f t="shared" si="162"/>
        <v/>
      </c>
      <c r="AA60" s="38" t="str">
        <f t="shared" si="178"/>
        <v/>
      </c>
      <c r="AB60" s="38" t="str">
        <f t="shared" si="179"/>
        <v/>
      </c>
      <c r="AC60" s="38" t="str">
        <f>IF($R60="flat","",IFERROR(RND($AA60)&amp;IF(AND($T61="",$Q60&lt;&gt;1),""," in "&amp;$Y60),""))</f>
        <v/>
      </c>
      <c r="AD60" s="38" t="str">
        <f>IFERROR(IF($Z60=maxyear,"",IF($R60="flat","",RND($AB60)&amp;" in "&amp;$Z60)),"")</f>
        <v/>
      </c>
      <c r="AE60" s="38" t="str">
        <f t="shared" si="163"/>
        <v/>
      </c>
      <c r="AF60" s="38" t="str">
        <f t="shared" si="180"/>
        <v/>
      </c>
      <c r="AG60" s="141">
        <f t="shared" si="181"/>
        <v>0</v>
      </c>
      <c r="AH60" s="141">
        <f t="shared" si="182"/>
        <v>0</v>
      </c>
      <c r="AI60" s="38" t="str">
        <f t="shared" ca="1" si="183"/>
        <v/>
      </c>
      <c r="AJ60" s="38" t="str">
        <f ca="1">IFERROR(RND(INDEX($B$5:$K$7,3,MATCH($AI60,$B$5:$K$5,0))),"")</f>
        <v/>
      </c>
      <c r="AK60" s="38" t="str">
        <f t="shared" si="164"/>
        <v/>
      </c>
      <c r="AL60" s="38" t="str">
        <f>IFERROR(RND(INDEX($B$5:$K$7,3,MATCH($AK60,$B$5:$K$5,0))),"")</f>
        <v/>
      </c>
      <c r="AM60" s="38" t="str">
        <f t="shared" si="184"/>
        <v/>
      </c>
      <c r="AN60" s="38" t="str">
        <f t="shared" ca="1" si="165"/>
        <v/>
      </c>
      <c r="AO60" s="38" t="str">
        <f t="shared" si="185"/>
        <v/>
      </c>
      <c r="AP60" s="38" t="str">
        <f t="shared" si="186"/>
        <v/>
      </c>
      <c r="AQ60" s="38" t="str">
        <f t="shared" ca="1" si="166"/>
        <v/>
      </c>
      <c r="AR60" s="38" t="str">
        <f>IF($AH60,IFERROR(RND($AQ60)&amp;" in "&amp;$AP60,""),"")</f>
        <v/>
      </c>
      <c r="AS60" s="38" t="str">
        <f t="shared" si="167"/>
        <v/>
      </c>
      <c r="AU60" s="41" t="str">
        <f t="shared" si="187"/>
        <v/>
      </c>
      <c r="AV60" s="60" t="str">
        <f t="shared" si="168"/>
        <v/>
      </c>
      <c r="AW60" s="60" t="str">
        <f t="shared" si="169"/>
        <v/>
      </c>
      <c r="AX60" s="38" t="str">
        <f>IF($R60="flat","",IFERROR(IF(AND(OR($Y60+$S60&lt;maxyear-1,$Q60=1),$T60&lt;&gt;"YoY"),RNDFR($AA60)&amp;" en "&amp;$Y60,RNDFR($AA60,0,0,0,1)),""))</f>
        <v/>
      </c>
      <c r="AY60" s="38" t="str">
        <f>IF($R60="flat","",IFERROR(IF($Z60=maxyear,"",RNDFR($AB60)&amp;IF($Y60+$S60&lt;=maxyear-1," en "&amp;$Z60,"")),""))</f>
        <v/>
      </c>
      <c r="AZ60" s="38" t="str">
        <f t="shared" si="170"/>
        <v/>
      </c>
      <c r="BA60" s="38" t="str">
        <f t="shared" si="188"/>
        <v/>
      </c>
      <c r="BB60" s="160" t="str">
        <f>IF($AH60,RNDFR($AN60,0,0,0,1),"")</f>
        <v/>
      </c>
      <c r="BC60" s="160" t="str">
        <f>IF($AH60,RNDFR($AQ60),"")</f>
        <v/>
      </c>
      <c r="BD60" s="160" t="str">
        <f t="shared" si="171"/>
        <v/>
      </c>
    </row>
    <row r="61" spans="1:64" x14ac:dyDescent="0.25">
      <c r="Q61" s="38">
        <v>5</v>
      </c>
      <c r="R61" s="38" t="str">
        <f t="shared" si="172"/>
        <v/>
      </c>
      <c r="S61" s="38" t="str">
        <f t="shared" si="173"/>
        <v/>
      </c>
      <c r="T61" s="39" t="str">
        <f t="shared" si="174"/>
        <v/>
      </c>
      <c r="U61" s="41" t="str">
        <f t="shared" si="175"/>
        <v/>
      </c>
      <c r="V61" s="60" t="str">
        <f t="shared" si="176"/>
        <v/>
      </c>
      <c r="W61" s="60" t="str">
        <f t="shared" si="177"/>
        <v/>
      </c>
      <c r="X61" s="141">
        <f t="shared" si="160"/>
        <v>0</v>
      </c>
      <c r="Y61" s="38" t="str">
        <f t="shared" si="161"/>
        <v/>
      </c>
      <c r="Z61" s="38" t="str">
        <f t="shared" si="162"/>
        <v/>
      </c>
      <c r="AA61" s="38" t="str">
        <f t="shared" si="178"/>
        <v/>
      </c>
      <c r="AB61" s="38" t="str">
        <f t="shared" si="179"/>
        <v/>
      </c>
      <c r="AC61" s="38" t="str">
        <f>IF($R61="flat","",IFERROR(RND($AA61)&amp;IF(AND($T62="",$Q61&lt;&gt;1),""," in "&amp;$Y61),""))</f>
        <v/>
      </c>
      <c r="AD61" s="38" t="str">
        <f>IFERROR(IF($Z61=maxyear,"",IF($R61="flat","",RND($AB61)&amp;" in "&amp;$Z61)),"")</f>
        <v/>
      </c>
      <c r="AE61" s="38" t="str">
        <f t="shared" si="163"/>
        <v/>
      </c>
      <c r="AF61" s="38" t="str">
        <f t="shared" si="180"/>
        <v/>
      </c>
      <c r="AG61" s="141">
        <f t="shared" si="181"/>
        <v>0</v>
      </c>
      <c r="AH61" s="141">
        <f t="shared" si="182"/>
        <v>0</v>
      </c>
      <c r="AI61" s="38" t="str">
        <f t="shared" ca="1" si="183"/>
        <v/>
      </c>
      <c r="AJ61" s="38" t="str">
        <f ca="1">IFERROR(RND(INDEX($B$5:$K$7,3,MATCH($AI61,$B$5:$K$5,0))),"")</f>
        <v/>
      </c>
      <c r="AK61" s="38" t="str">
        <f t="shared" si="164"/>
        <v/>
      </c>
      <c r="AL61" s="38" t="str">
        <f>IFERROR(RND(INDEX($B$5:$K$7,3,MATCH($AK61,$B$5:$K$5,0))),"")</f>
        <v/>
      </c>
      <c r="AM61" s="38" t="str">
        <f t="shared" si="184"/>
        <v/>
      </c>
      <c r="AN61" s="38" t="str">
        <f t="shared" ca="1" si="165"/>
        <v/>
      </c>
      <c r="AO61" s="38" t="str">
        <f t="shared" si="185"/>
        <v/>
      </c>
      <c r="AP61" s="38" t="str">
        <f t="shared" si="186"/>
        <v/>
      </c>
      <c r="AQ61" s="38" t="str">
        <f t="shared" ca="1" si="166"/>
        <v/>
      </c>
      <c r="AR61" s="38" t="str">
        <f>IF($AH61,IFERROR(RND($AQ61)&amp;" in "&amp;$AP61,""),"")</f>
        <v/>
      </c>
      <c r="AS61" s="38" t="str">
        <f t="shared" si="167"/>
        <v/>
      </c>
      <c r="AU61" s="41" t="str">
        <f t="shared" si="187"/>
        <v/>
      </c>
      <c r="AV61" s="60" t="str">
        <f t="shared" si="168"/>
        <v/>
      </c>
      <c r="AW61" s="60" t="str">
        <f t="shared" si="169"/>
        <v/>
      </c>
      <c r="AX61" s="38" t="str">
        <f>IF($R61="flat","",IFERROR(IF(AND(OR($Y61+$S61&lt;maxyear-1,$Q61=1),$T61&lt;&gt;"YoY"),RNDFR($AA61)&amp;" en "&amp;$Y61,RNDFR($AA61,0,0,0,1)),""))</f>
        <v/>
      </c>
      <c r="AY61" s="38" t="str">
        <f>IF($R61="flat","",IFERROR(IF($Z61=maxyear,"",RNDFR($AB61)&amp;IF($Y61+$S61&lt;=maxyear-1," en "&amp;$Z61,"")),""))</f>
        <v/>
      </c>
      <c r="AZ61" s="38" t="str">
        <f t="shared" si="170"/>
        <v/>
      </c>
      <c r="BA61" s="38" t="str">
        <f t="shared" si="188"/>
        <v/>
      </c>
      <c r="BB61" s="160" t="str">
        <f>IF($AH61,RNDFR($AN61,0,0,0,1),"")</f>
        <v/>
      </c>
      <c r="BC61" s="160" t="str">
        <f>IF($AH61,RNDFR($AQ61),"")</f>
        <v/>
      </c>
      <c r="BD61" s="160" t="str">
        <f t="shared" si="171"/>
        <v/>
      </c>
    </row>
    <row r="62" spans="1:64" ht="13" x14ac:dyDescent="0.25">
      <c r="A62" s="12" t="s">
        <v>31</v>
      </c>
      <c r="B62" s="12"/>
      <c r="C62" s="11" t="str">
        <f t="shared" ref="C62" si="199">IF(C63="","",C$5)</f>
        <v/>
      </c>
      <c r="D62" s="11" t="str">
        <f t="shared" ref="D62" si="200">IF(D63="","",D$5)</f>
        <v/>
      </c>
      <c r="E62" s="11" t="str">
        <f t="shared" ref="E62" si="201">IF(E63="","",E$5)</f>
        <v/>
      </c>
      <c r="F62" s="11" t="str">
        <f t="shared" ref="F62" si="202">IF(F63="","",F$5)</f>
        <v/>
      </c>
      <c r="G62" s="11" t="str">
        <f t="shared" ref="G62" si="203">IF(G63="","",G$5)</f>
        <v/>
      </c>
      <c r="H62" s="11" t="str">
        <f t="shared" ref="H62" si="204">IF(H63="","",H$5)</f>
        <v/>
      </c>
      <c r="I62" s="11" t="str">
        <f t="shared" ref="I62" si="205">IF(I63="","",I$5)</f>
        <v/>
      </c>
      <c r="J62" s="11" t="str">
        <f t="shared" ref="J62" si="206">IF(J63="","",J$5)</f>
        <v/>
      </c>
      <c r="K62" s="11" t="str">
        <f t="shared" ref="K62" si="207">IF(K63="","",K$5)</f>
        <v/>
      </c>
      <c r="Q62" s="38">
        <v>6</v>
      </c>
      <c r="R62" s="38" t="str">
        <f t="shared" si="172"/>
        <v/>
      </c>
      <c r="S62" s="38" t="str">
        <f t="shared" si="173"/>
        <v/>
      </c>
      <c r="T62" s="39" t="str">
        <f t="shared" si="174"/>
        <v/>
      </c>
      <c r="U62" s="41" t="str">
        <f t="shared" si="175"/>
        <v/>
      </c>
      <c r="V62" s="60" t="str">
        <f t="shared" si="176"/>
        <v/>
      </c>
      <c r="W62" s="60" t="str">
        <f t="shared" si="177"/>
        <v/>
      </c>
      <c r="X62" s="141">
        <f t="shared" si="160"/>
        <v>0</v>
      </c>
      <c r="Y62" s="38" t="str">
        <f t="shared" si="161"/>
        <v/>
      </c>
      <c r="Z62" s="38" t="str">
        <f t="shared" si="162"/>
        <v/>
      </c>
      <c r="AA62" s="38" t="str">
        <f t="shared" si="178"/>
        <v/>
      </c>
      <c r="AB62" s="38" t="str">
        <f t="shared" si="179"/>
        <v/>
      </c>
      <c r="AC62" s="38" t="str">
        <f>IF($R62="flat","",IFERROR(RND($AA62)&amp;IF(AND($T63="",$Q62&lt;&gt;1),""," in "&amp;$Y62),""))</f>
        <v/>
      </c>
      <c r="AD62" s="38" t="str">
        <f>IFERROR(IF($Z62=maxyear,"",IF($R62="flat","",RND($AB62)&amp;" in "&amp;$Z62)),"")</f>
        <v/>
      </c>
      <c r="AE62" s="38" t="str">
        <f t="shared" si="163"/>
        <v/>
      </c>
      <c r="AF62" s="38" t="str">
        <f t="shared" si="180"/>
        <v/>
      </c>
      <c r="AG62" s="141">
        <f t="shared" si="181"/>
        <v>0</v>
      </c>
      <c r="AH62" s="141">
        <f t="shared" si="182"/>
        <v>0</v>
      </c>
      <c r="AI62" s="38" t="str">
        <f t="shared" ca="1" si="183"/>
        <v/>
      </c>
      <c r="AJ62" s="38" t="str">
        <f ca="1">IFERROR(RND(INDEX($B$5:$K$7,3,MATCH($AI62,$B$5:$K$5,0))),"")</f>
        <v/>
      </c>
      <c r="AK62" s="38" t="str">
        <f t="shared" si="164"/>
        <v/>
      </c>
      <c r="AL62" s="38" t="str">
        <f>IFERROR(RND(INDEX($B$5:$K$7,3,MATCH($AK62,$B$5:$K$5,0))),"")</f>
        <v/>
      </c>
      <c r="AM62" s="38" t="str">
        <f t="shared" si="184"/>
        <v/>
      </c>
      <c r="AN62" s="38" t="str">
        <f t="shared" ca="1" si="165"/>
        <v/>
      </c>
      <c r="AO62" s="38" t="str">
        <f t="shared" si="185"/>
        <v/>
      </c>
      <c r="AP62" s="38" t="str">
        <f t="shared" si="186"/>
        <v/>
      </c>
      <c r="AQ62" s="38" t="str">
        <f t="shared" ca="1" si="166"/>
        <v/>
      </c>
      <c r="AR62" s="38" t="str">
        <f>IF($AH62,IFERROR(RND($AQ62)&amp;" in "&amp;$AP62,""),"")</f>
        <v/>
      </c>
      <c r="AS62" s="38" t="str">
        <f t="shared" si="167"/>
        <v/>
      </c>
      <c r="AU62" s="41" t="str">
        <f t="shared" si="187"/>
        <v/>
      </c>
      <c r="AV62" s="60" t="str">
        <f t="shared" si="168"/>
        <v/>
      </c>
      <c r="AW62" s="60" t="str">
        <f t="shared" si="169"/>
        <v/>
      </c>
      <c r="AX62" s="38" t="str">
        <f>IF($R62="flat","",IFERROR(IF(AND(OR($Y62+$S62&lt;maxyear-1,$Q62=1),$T62&lt;&gt;"YoY"),RNDFR($AA62)&amp;" en "&amp;$Y62,RNDFR($AA62,0,0,0,1)),""))</f>
        <v/>
      </c>
      <c r="AY62" s="38" t="str">
        <f>IF($R62="flat","",IFERROR(IF($Z62=maxyear,"",RNDFR($AB62)&amp;IF($Y62+$S62&lt;=maxyear-1," en "&amp;$Z62,"")),""))</f>
        <v/>
      </c>
      <c r="AZ62" s="38" t="str">
        <f t="shared" si="170"/>
        <v/>
      </c>
      <c r="BA62" s="38" t="str">
        <f t="shared" si="188"/>
        <v/>
      </c>
      <c r="BB62" s="160" t="str">
        <f>IF($AH62,RNDFR($AN62,0,0,0,1),"")</f>
        <v/>
      </c>
      <c r="BC62" s="160" t="str">
        <f>IF($AH62,RNDFR($AQ62),"")</f>
        <v/>
      </c>
      <c r="BD62" s="160" t="str">
        <f t="shared" si="171"/>
        <v/>
      </c>
    </row>
    <row r="63" spans="1:64" x14ac:dyDescent="0.25">
      <c r="A63" s="13"/>
      <c r="B63" s="13"/>
      <c r="C63" s="18" t="str">
        <f>IFERROR(C60/B57,"")</f>
        <v/>
      </c>
      <c r="D63" s="18" t="str">
        <f t="shared" ref="D63:K63" si="208">IFERROR(D60/C57,"")</f>
        <v/>
      </c>
      <c r="E63" s="18" t="str">
        <f t="shared" si="208"/>
        <v/>
      </c>
      <c r="F63" s="18" t="str">
        <f t="shared" si="208"/>
        <v/>
      </c>
      <c r="G63" s="18" t="str">
        <f t="shared" si="208"/>
        <v/>
      </c>
      <c r="H63" s="18" t="str">
        <f t="shared" si="208"/>
        <v/>
      </c>
      <c r="I63" s="18" t="str">
        <f t="shared" si="208"/>
        <v/>
      </c>
      <c r="J63" s="18" t="str">
        <f t="shared" si="208"/>
        <v/>
      </c>
      <c r="K63" s="18" t="str">
        <f t="shared" si="208"/>
        <v/>
      </c>
      <c r="Q63" s="38">
        <v>7</v>
      </c>
      <c r="R63" s="38" t="str">
        <f t="shared" si="172"/>
        <v/>
      </c>
      <c r="S63" s="38" t="str">
        <f t="shared" si="173"/>
        <v/>
      </c>
      <c r="T63" s="39" t="str">
        <f t="shared" si="174"/>
        <v/>
      </c>
      <c r="U63" s="41" t="str">
        <f t="shared" si="175"/>
        <v/>
      </c>
      <c r="V63" s="60" t="str">
        <f t="shared" si="176"/>
        <v/>
      </c>
      <c r="W63" s="60" t="str">
        <f t="shared" si="177"/>
        <v/>
      </c>
      <c r="X63" s="141">
        <f t="shared" si="160"/>
        <v>0</v>
      </c>
      <c r="Y63" s="38" t="str">
        <f t="shared" si="161"/>
        <v/>
      </c>
      <c r="Z63" s="38" t="str">
        <f t="shared" si="162"/>
        <v/>
      </c>
      <c r="AA63" s="38" t="str">
        <f t="shared" si="178"/>
        <v/>
      </c>
      <c r="AB63" s="38" t="str">
        <f t="shared" si="179"/>
        <v/>
      </c>
      <c r="AC63" s="38" t="str">
        <f>IF($R63="flat","",IFERROR(RND($AA63)&amp;IF(AND($T64="",$Q63&lt;&gt;1),""," in "&amp;$Y63),""))</f>
        <v/>
      </c>
      <c r="AD63" s="38" t="str">
        <f>IFERROR(IF($Z63=maxyear,"",IF($R63="flat","",RND($AB63)&amp;" in "&amp;$Z63)),"")</f>
        <v/>
      </c>
      <c r="AE63" s="38" t="str">
        <f t="shared" si="163"/>
        <v/>
      </c>
      <c r="AF63" s="38" t="str">
        <f t="shared" si="180"/>
        <v/>
      </c>
      <c r="AG63" s="141">
        <f t="shared" si="181"/>
        <v>0</v>
      </c>
      <c r="AH63" s="141">
        <f t="shared" si="182"/>
        <v>0</v>
      </c>
      <c r="AI63" s="38" t="str">
        <f t="shared" ca="1" si="183"/>
        <v/>
      </c>
      <c r="AJ63" s="38" t="str">
        <f ca="1">IFERROR(RND(INDEX($B$5:$K$7,3,MATCH($AI63,$B$5:$K$5,0))),"")</f>
        <v/>
      </c>
      <c r="AK63" s="38" t="str">
        <f t="shared" si="164"/>
        <v/>
      </c>
      <c r="AL63" s="38" t="str">
        <f>IFERROR(RND(INDEX($B$5:$K$7,3,MATCH($AK63,$B$5:$K$5,0))),"")</f>
        <v/>
      </c>
      <c r="AM63" s="38" t="str">
        <f t="shared" si="184"/>
        <v/>
      </c>
      <c r="AN63" s="38" t="str">
        <f t="shared" ca="1" si="165"/>
        <v/>
      </c>
      <c r="AO63" s="38" t="str">
        <f t="shared" si="185"/>
        <v/>
      </c>
      <c r="AP63" s="38" t="str">
        <f t="shared" si="186"/>
        <v/>
      </c>
      <c r="AQ63" s="38" t="str">
        <f t="shared" ca="1" si="166"/>
        <v/>
      </c>
      <c r="AR63" s="38" t="str">
        <f>IF($AH63,IFERROR(RND($AQ63)&amp;" in "&amp;$AP63,""),"")</f>
        <v/>
      </c>
      <c r="AS63" s="38" t="str">
        <f t="shared" si="167"/>
        <v/>
      </c>
      <c r="AU63" s="41" t="str">
        <f t="shared" si="187"/>
        <v/>
      </c>
      <c r="AV63" s="60" t="str">
        <f t="shared" si="168"/>
        <v/>
      </c>
      <c r="AW63" s="60" t="str">
        <f t="shared" si="169"/>
        <v/>
      </c>
      <c r="AX63" s="38" t="str">
        <f>IF($R63="flat","",IFERROR(IF(AND(OR($Y63+$S63&lt;maxyear-1,$Q63=1),$T63&lt;&gt;"YoY"),RNDFR($AA63)&amp;" en "&amp;$Y63,RNDFR($AA63,0,0,0,1)),""))</f>
        <v/>
      </c>
      <c r="AY63" s="38" t="str">
        <f>IF($R63="flat","",IFERROR(IF($Z63=maxyear,"",RNDFR($AB63)&amp;IF($Y63+$S63&lt;=maxyear-1," en "&amp;$Z63,"")),""))</f>
        <v/>
      </c>
      <c r="AZ63" s="38" t="str">
        <f t="shared" si="170"/>
        <v/>
      </c>
      <c r="BA63" s="38" t="str">
        <f t="shared" si="188"/>
        <v/>
      </c>
      <c r="BB63" s="160" t="str">
        <f>IF($AH63,RNDFR($AN63,0,0,0,1),"")</f>
        <v/>
      </c>
      <c r="BC63" s="160" t="str">
        <f>IF($AH63,RNDFR($AQ63),"")</f>
        <v/>
      </c>
      <c r="BD63" s="160" t="str">
        <f t="shared" si="171"/>
        <v/>
      </c>
    </row>
    <row r="64" spans="1:64" x14ac:dyDescent="0.25">
      <c r="Q64" s="38">
        <v>8</v>
      </c>
      <c r="R64" s="38" t="str">
        <f t="shared" si="172"/>
        <v/>
      </c>
      <c r="S64" s="38" t="str">
        <f t="shared" si="173"/>
        <v/>
      </c>
      <c r="T64" s="39" t="str">
        <f t="shared" si="174"/>
        <v/>
      </c>
      <c r="U64" s="41" t="str">
        <f t="shared" si="175"/>
        <v/>
      </c>
      <c r="V64" s="60" t="str">
        <f t="shared" si="176"/>
        <v/>
      </c>
      <c r="W64" s="60" t="str">
        <f t="shared" si="177"/>
        <v/>
      </c>
      <c r="X64" s="141">
        <f t="shared" si="160"/>
        <v>0</v>
      </c>
      <c r="Y64" s="38" t="str">
        <f t="shared" si="161"/>
        <v/>
      </c>
      <c r="Z64" s="38" t="str">
        <f t="shared" si="162"/>
        <v/>
      </c>
      <c r="AA64" s="38" t="str">
        <f t="shared" si="178"/>
        <v/>
      </c>
      <c r="AB64" s="38" t="str">
        <f t="shared" si="179"/>
        <v/>
      </c>
      <c r="AC64" s="38" t="str">
        <f>IF($R64="flat","",IFERROR(RND($AA64)&amp;IF(AND($T65="",$Q64&lt;&gt;1),""," in "&amp;$Y64),""))</f>
        <v/>
      </c>
      <c r="AD64" s="38" t="str">
        <f>IFERROR(IF($Z64=maxyear,"",IF($R64="flat","",RND($AB64)&amp;" in "&amp;$Z64)),"")</f>
        <v/>
      </c>
      <c r="AE64" s="38" t="str">
        <f t="shared" si="163"/>
        <v/>
      </c>
      <c r="AF64" s="38" t="str">
        <f t="shared" si="180"/>
        <v/>
      </c>
      <c r="AG64" s="141">
        <f t="shared" si="181"/>
        <v>0</v>
      </c>
      <c r="AH64" s="141">
        <f t="shared" si="182"/>
        <v>0</v>
      </c>
      <c r="AI64" s="38" t="str">
        <f t="shared" ca="1" si="183"/>
        <v/>
      </c>
      <c r="AJ64" s="38" t="str">
        <f ca="1">IFERROR(RND(INDEX($B$5:$K$7,3,MATCH($AI64,$B$5:$K$5,0))),"")</f>
        <v/>
      </c>
      <c r="AK64" s="38" t="str">
        <f t="shared" si="164"/>
        <v/>
      </c>
      <c r="AL64" s="38" t="str">
        <f>IFERROR(RND(INDEX($B$5:$K$7,3,MATCH($AK64,$B$5:$K$5,0))),"")</f>
        <v/>
      </c>
      <c r="AM64" s="38" t="str">
        <f t="shared" si="184"/>
        <v/>
      </c>
      <c r="AN64" s="38" t="str">
        <f t="shared" ca="1" si="165"/>
        <v/>
      </c>
      <c r="AO64" s="38" t="str">
        <f t="shared" si="185"/>
        <v/>
      </c>
      <c r="AP64" s="38" t="str">
        <f t="shared" si="186"/>
        <v/>
      </c>
      <c r="AQ64" s="38" t="str">
        <f t="shared" ca="1" si="166"/>
        <v/>
      </c>
      <c r="AR64" s="38" t="str">
        <f>IF($AH64,IFERROR(RND($AQ64)&amp;" in "&amp;$AP64,""),"")</f>
        <v/>
      </c>
      <c r="AS64" s="38" t="str">
        <f t="shared" si="167"/>
        <v/>
      </c>
      <c r="AU64" s="41" t="str">
        <f t="shared" si="187"/>
        <v/>
      </c>
      <c r="AV64" s="60" t="str">
        <f t="shared" si="168"/>
        <v/>
      </c>
      <c r="AW64" s="60" t="str">
        <f t="shared" si="169"/>
        <v/>
      </c>
      <c r="AX64" s="38" t="str">
        <f>IF($R64="flat","",IFERROR(IF(AND(OR($Y64+$S64&lt;maxyear-1,$Q64=1),$T64&lt;&gt;"YoY"),RNDFR($AA64)&amp;" en "&amp;$Y64,RNDFR($AA64,0,0,0,1)),""))</f>
        <v/>
      </c>
      <c r="AY64" s="38" t="str">
        <f>IF($R64="flat","",IFERROR(IF($Z64=maxyear,"",RNDFR($AB64)&amp;IF($Y64+$S64&lt;=maxyear-1," en "&amp;$Z64,"")),""))</f>
        <v/>
      </c>
      <c r="AZ64" s="38" t="str">
        <f t="shared" si="170"/>
        <v/>
      </c>
      <c r="BA64" s="38" t="str">
        <f t="shared" si="188"/>
        <v/>
      </c>
      <c r="BB64" s="160" t="str">
        <f>IF($AH64,RNDFR($AN64,0,0,0,1),"")</f>
        <v/>
      </c>
      <c r="BC64" s="160" t="str">
        <f>IF($AH64,RNDFR($AQ64),"")</f>
        <v/>
      </c>
      <c r="BD64" s="160" t="str">
        <f t="shared" si="171"/>
        <v/>
      </c>
    </row>
    <row r="65" spans="1:62" ht="13" x14ac:dyDescent="0.25">
      <c r="A65" s="11" t="s">
        <v>32</v>
      </c>
      <c r="B65" s="11" t="str">
        <f>IF(OR(B66="",B57=0),"",B$5)</f>
        <v/>
      </c>
      <c r="C65" s="11" t="str">
        <f t="shared" ref="C65" si="209">IF(OR(C66="",C57=0),"",C$5)</f>
        <v/>
      </c>
      <c r="D65" s="11" t="str">
        <f t="shared" ref="D65" si="210">IF(OR(D66="",D57=0),"",D$5)</f>
        <v/>
      </c>
      <c r="E65" s="11" t="str">
        <f t="shared" ref="E65" si="211">IF(OR(E66="",E57=0),"",E$5)</f>
        <v/>
      </c>
      <c r="F65" s="11" t="str">
        <f t="shared" ref="F65" si="212">IF(OR(F66="",F57=0),"",F$5)</f>
        <v/>
      </c>
      <c r="G65" s="11" t="str">
        <f t="shared" ref="G65" si="213">IF(OR(G66="",G57=0),"",G$5)</f>
        <v/>
      </c>
      <c r="H65" s="11" t="str">
        <f t="shared" ref="H65" si="214">IF(OR(H66="",H57=0),"",H$5)</f>
        <v/>
      </c>
      <c r="I65" s="11" t="str">
        <f t="shared" ref="I65" si="215">IF(OR(I66="",I57=0),"",I$5)</f>
        <v/>
      </c>
      <c r="J65" s="11" t="str">
        <f t="shared" ref="J65" si="216">IF(OR(J66="",J57=0),"",J$5)</f>
        <v/>
      </c>
      <c r="K65" s="11" t="str">
        <f t="shared" ref="K65" si="217">IF(OR(K66="",K57=0),"",K$5)</f>
        <v/>
      </c>
      <c r="Q65" s="38">
        <v>9</v>
      </c>
      <c r="R65" s="38" t="str">
        <f t="shared" si="172"/>
        <v/>
      </c>
      <c r="S65" s="38" t="str">
        <f t="shared" si="173"/>
        <v/>
      </c>
      <c r="T65" s="39" t="str">
        <f t="shared" si="174"/>
        <v/>
      </c>
      <c r="U65" s="41" t="str">
        <f t="shared" si="175"/>
        <v/>
      </c>
      <c r="V65" s="60" t="str">
        <f t="shared" si="176"/>
        <v/>
      </c>
      <c r="W65" s="60" t="str">
        <f t="shared" si="177"/>
        <v/>
      </c>
      <c r="X65" s="141">
        <f t="shared" si="160"/>
        <v>0</v>
      </c>
      <c r="Y65" s="38" t="str">
        <f t="shared" si="161"/>
        <v/>
      </c>
      <c r="Z65" s="38" t="str">
        <f t="shared" si="162"/>
        <v/>
      </c>
      <c r="AA65" s="38" t="str">
        <f t="shared" si="178"/>
        <v/>
      </c>
      <c r="AB65" s="38" t="str">
        <f t="shared" si="179"/>
        <v/>
      </c>
      <c r="AC65" s="38" t="str">
        <f>IF($R65="flat","",IFERROR(RND($AA65)&amp;IF(AND($T66="",$Q65&lt;&gt;1),""," in "&amp;$Y65),""))</f>
        <v/>
      </c>
      <c r="AD65" s="38" t="str">
        <f>IFERROR(IF($Z65=maxyear,"",IF($R65="flat","",RND($AB65)&amp;" in "&amp;$Z65)),"")</f>
        <v/>
      </c>
      <c r="AE65" s="38" t="str">
        <f t="shared" si="163"/>
        <v/>
      </c>
      <c r="AF65" s="38" t="str">
        <f t="shared" si="180"/>
        <v/>
      </c>
      <c r="AG65" s="141">
        <f t="shared" si="181"/>
        <v>0</v>
      </c>
      <c r="AH65" s="141">
        <f t="shared" si="182"/>
        <v>0</v>
      </c>
      <c r="AI65" s="38" t="str">
        <f t="shared" ca="1" si="183"/>
        <v/>
      </c>
      <c r="AJ65" s="38" t="str">
        <f ca="1">IFERROR(RND(INDEX($B$5:$K$7,3,MATCH($AI65,$B$5:$K$5,0))),"")</f>
        <v/>
      </c>
      <c r="AK65" s="38" t="str">
        <f t="shared" si="164"/>
        <v/>
      </c>
      <c r="AL65" s="38" t="str">
        <f>IFERROR(RND(INDEX($B$5:$K$7,3,MATCH($AK65,$B$5:$K$5,0))),"")</f>
        <v/>
      </c>
      <c r="AM65" s="38" t="str">
        <f t="shared" si="184"/>
        <v/>
      </c>
      <c r="AN65" s="38" t="str">
        <f t="shared" ca="1" si="165"/>
        <v/>
      </c>
      <c r="AO65" s="38" t="str">
        <f t="shared" si="185"/>
        <v/>
      </c>
      <c r="AP65" s="38" t="str">
        <f t="shared" si="186"/>
        <v/>
      </c>
      <c r="AQ65" s="38" t="str">
        <f t="shared" ca="1" si="166"/>
        <v/>
      </c>
      <c r="AR65" s="38" t="str">
        <f>IF($AH65,IFERROR(RND($AQ65)&amp;" in "&amp;$AP65,""),"")</f>
        <v/>
      </c>
      <c r="AS65" s="38" t="str">
        <f t="shared" si="167"/>
        <v/>
      </c>
      <c r="AU65" s="41" t="str">
        <f t="shared" si="187"/>
        <v/>
      </c>
      <c r="AV65" s="60" t="str">
        <f t="shared" si="168"/>
        <v/>
      </c>
      <c r="AW65" s="60" t="str">
        <f t="shared" si="169"/>
        <v/>
      </c>
      <c r="AX65" s="38" t="str">
        <f>IF($R65="flat","",IFERROR(IF(AND(OR($Y65+$S65&lt;maxyear-1,$Q65=1),$T65&lt;&gt;"YoY"),RNDFR($AA65)&amp;" en "&amp;$Y65,RNDFR($AA65,0,0,0,1)),""))</f>
        <v/>
      </c>
      <c r="AY65" s="38" t="str">
        <f>IF($R65="flat","",IFERROR(IF($Z65=maxyear,"",RNDFR($AB65)&amp;IF($Y65+$S65&lt;=maxyear-1," en "&amp;$Z65,"")),""))</f>
        <v/>
      </c>
      <c r="AZ65" s="38" t="str">
        <f t="shared" si="170"/>
        <v/>
      </c>
      <c r="BA65" s="38" t="str">
        <f t="shared" si="188"/>
        <v/>
      </c>
      <c r="BB65" s="160" t="str">
        <f>IF($AH65,RNDFR($AN65,0,0,0,1),"")</f>
        <v/>
      </c>
      <c r="BC65" s="160" t="str">
        <f>IF($AH65,RNDFR($AQ65),"")</f>
        <v/>
      </c>
      <c r="BD65" s="160" t="str">
        <f t="shared" si="171"/>
        <v/>
      </c>
    </row>
    <row r="66" spans="1:62" x14ac:dyDescent="0.25">
      <c r="A66" s="18"/>
      <c r="B66" s="18" t="str">
        <f>IFERROR(B57/B56,"")</f>
        <v/>
      </c>
      <c r="C66" s="18" t="str">
        <f t="shared" ref="C66:K66" si="218">IFERROR(C57/C56,"")</f>
        <v/>
      </c>
      <c r="D66" s="18" t="str">
        <f t="shared" si="218"/>
        <v/>
      </c>
      <c r="E66" s="18" t="str">
        <f t="shared" si="218"/>
        <v/>
      </c>
      <c r="F66" s="18" t="str">
        <f t="shared" si="218"/>
        <v/>
      </c>
      <c r="G66" s="18" t="str">
        <f t="shared" si="218"/>
        <v/>
      </c>
      <c r="H66" s="18" t="str">
        <f t="shared" si="218"/>
        <v/>
      </c>
      <c r="I66" s="18" t="str">
        <f t="shared" si="218"/>
        <v/>
      </c>
      <c r="J66" s="18" t="str">
        <f t="shared" si="218"/>
        <v/>
      </c>
      <c r="K66" s="18" t="str">
        <f t="shared" si="218"/>
        <v/>
      </c>
      <c r="Q66" s="38">
        <v>10</v>
      </c>
      <c r="R66" s="38" t="str">
        <f t="shared" si="172"/>
        <v/>
      </c>
      <c r="S66" s="38" t="str">
        <f t="shared" si="173"/>
        <v/>
      </c>
      <c r="T66" s="39" t="str">
        <f t="shared" si="174"/>
        <v/>
      </c>
      <c r="U66" s="41" t="str">
        <f t="shared" si="175"/>
        <v/>
      </c>
      <c r="V66" s="60" t="str">
        <f t="shared" si="176"/>
        <v/>
      </c>
      <c r="W66" s="60" t="str">
        <f t="shared" si="177"/>
        <v/>
      </c>
      <c r="X66" s="141">
        <f t="shared" si="160"/>
        <v>0</v>
      </c>
      <c r="Y66" s="38" t="str">
        <f t="shared" si="161"/>
        <v/>
      </c>
      <c r="Z66" s="38" t="str">
        <f t="shared" si="162"/>
        <v/>
      </c>
      <c r="AA66" s="38" t="str">
        <f t="shared" si="178"/>
        <v/>
      </c>
      <c r="AB66" s="38" t="str">
        <f t="shared" si="179"/>
        <v/>
      </c>
      <c r="AC66" s="38" t="str">
        <f>IF($R66="flat","",IFERROR(RND($AA66)&amp;IF(AND($T67="",$Q66&lt;&gt;1),""," in "&amp;$Y66),""))</f>
        <v/>
      </c>
      <c r="AD66" s="38" t="str">
        <f>IFERROR(IF($Z66=maxyear,"",IF($R66="flat","",RND($AB66)&amp;" in "&amp;$Z66)),"")</f>
        <v/>
      </c>
      <c r="AE66" s="38" t="str">
        <f t="shared" si="163"/>
        <v/>
      </c>
      <c r="AF66" s="38" t="str">
        <f t="shared" si="180"/>
        <v/>
      </c>
      <c r="AG66" s="141">
        <f t="shared" si="181"/>
        <v>0</v>
      </c>
      <c r="AH66" s="141">
        <f t="shared" si="182"/>
        <v>0</v>
      </c>
      <c r="AI66" s="38" t="str">
        <f t="shared" ca="1" si="183"/>
        <v/>
      </c>
      <c r="AJ66" s="38" t="str">
        <f ca="1">IFERROR(RND(INDEX($B$5:$K$7,3,MATCH($AI66,$B$5:$K$5,0))),"")</f>
        <v/>
      </c>
      <c r="AK66" s="38" t="str">
        <f t="shared" si="164"/>
        <v/>
      </c>
      <c r="AL66" s="38" t="str">
        <f>IFERROR(RND(INDEX($B$5:$K$7,3,MATCH($AK66,$B$5:$K$5,0))),"")</f>
        <v/>
      </c>
      <c r="AM66" s="38" t="str">
        <f t="shared" si="184"/>
        <v/>
      </c>
      <c r="AN66" s="38" t="str">
        <f t="shared" ca="1" si="165"/>
        <v/>
      </c>
      <c r="AO66" s="38" t="str">
        <f t="shared" si="185"/>
        <v/>
      </c>
      <c r="AP66" s="38" t="str">
        <f t="shared" si="186"/>
        <v/>
      </c>
      <c r="AQ66" s="38" t="str">
        <f t="shared" ca="1" si="166"/>
        <v/>
      </c>
      <c r="AR66" s="38" t="str">
        <f>IF($AH66,IFERROR(RND($AQ66)&amp;" in "&amp;$AP66,""),"")</f>
        <v/>
      </c>
      <c r="AS66" s="38" t="str">
        <f t="shared" si="167"/>
        <v/>
      </c>
      <c r="AU66" s="41" t="str">
        <f t="shared" si="187"/>
        <v/>
      </c>
      <c r="AV66" s="60" t="str">
        <f t="shared" si="168"/>
        <v/>
      </c>
      <c r="AW66" s="60" t="str">
        <f t="shared" si="169"/>
        <v/>
      </c>
      <c r="AX66" s="38" t="str">
        <f>IF($R66="flat","",IFERROR(IF(AND(OR($Y66+$S66&lt;maxyear-1,$Q66=1),$T66&lt;&gt;"YoY"),RNDFR($AA66)&amp;" en "&amp;$Y66,RNDFR($AA66,0,0,0,1)),""))</f>
        <v/>
      </c>
      <c r="AY66" s="38" t="str">
        <f>IF($R66="flat","",IFERROR(IF($Z66=maxyear,"",RNDFR($AB66)&amp;IF($Y66+$S66&lt;=maxyear-1," en "&amp;$Z66,"")),""))</f>
        <v/>
      </c>
      <c r="AZ66" s="38" t="str">
        <f t="shared" si="170"/>
        <v/>
      </c>
      <c r="BA66" s="38" t="str">
        <f t="shared" si="188"/>
        <v/>
      </c>
      <c r="BB66" s="160" t="str">
        <f>IF($AH66,RNDFR($AN66,0,0,0,1),"")</f>
        <v/>
      </c>
      <c r="BC66" s="160" t="str">
        <f>IF($AH66,RNDFR($AQ66),"")</f>
        <v/>
      </c>
      <c r="BD66" s="160" t="str">
        <f t="shared" si="171"/>
        <v/>
      </c>
    </row>
    <row r="67" spans="1:62" x14ac:dyDescent="0.25">
      <c r="Q67" s="42"/>
      <c r="R67" s="42"/>
      <c r="S67" s="42"/>
      <c r="T67" s="20"/>
      <c r="U67" s="43"/>
      <c r="V67" s="43"/>
      <c r="W67" s="43"/>
      <c r="X67" s="43"/>
      <c r="Y67" s="42"/>
      <c r="Z67" s="42"/>
      <c r="AA67" s="42"/>
      <c r="AB67" s="42"/>
      <c r="AC67" s="42"/>
      <c r="AD67" s="42"/>
      <c r="AE67" s="42"/>
      <c r="AF67" s="44"/>
      <c r="AU67" s="223" t="e">
        <f>IFERROR(BA56&amp;BA57&amp;BD57&amp;BA58&amp;BD58&amp;BA59&amp;BD59&amp;BA60&amp;BD60&amp;BA61&amp;BD61&amp;BA62&amp;BD62&amp;BA63&amp;BD63&amp;BA64&amp;BD64&amp;BA65&amp;BD65&amp;BA66&amp;BD66&amp;Industry!U36&amp;Industry!U41,"Les données sur l'IDCE en provenance "&amp;prefixFr3&amp;countryFr&amp;" ne sont pas disponibles. ")</f>
        <v>#N/A</v>
      </c>
      <c r="AV67" s="224"/>
      <c r="AW67" s="224"/>
      <c r="AX67" s="224"/>
      <c r="AY67" s="224"/>
      <c r="AZ67" s="224"/>
      <c r="BA67" s="224"/>
      <c r="BB67" s="224"/>
      <c r="BC67" s="225"/>
    </row>
    <row r="68" spans="1:62" ht="12.5" customHeight="1" x14ac:dyDescent="0.25">
      <c r="A68" s="1" t="s">
        <v>94</v>
      </c>
      <c r="B68" s="34">
        <v>0.04</v>
      </c>
      <c r="C68" s="6"/>
      <c r="D68" s="6"/>
      <c r="E68" s="6"/>
      <c r="F68" s="6"/>
      <c r="G68" s="6"/>
      <c r="H68" s="6"/>
      <c r="I68" s="6"/>
      <c r="J68" s="6"/>
      <c r="K68" s="6"/>
      <c r="AU68" s="226"/>
      <c r="AV68" s="227"/>
      <c r="AW68" s="227"/>
      <c r="AX68" s="227"/>
      <c r="AY68" s="227"/>
      <c r="AZ68" s="227"/>
      <c r="BA68" s="227"/>
      <c r="BB68" s="227"/>
      <c r="BC68" s="228"/>
      <c r="BD68" s="161"/>
    </row>
    <row r="69" spans="1:62" ht="13" customHeight="1" x14ac:dyDescent="0.25">
      <c r="A69" s="11" t="s">
        <v>188</v>
      </c>
      <c r="B69" s="8" t="str">
        <f t="shared" ref="B69" si="219">IF(ISNUMBER(A57),IF(AND(B57&lt;A57*(1+$B68),B57&gt;A57*(1-$B68)),"neutral",IF(B57&gt;A57,"increase","decrease")),"")</f>
        <v/>
      </c>
      <c r="C69" s="8" t="str">
        <f t="shared" ref="C69" si="220">IF(ISNUMBER(B57),IF(AND(C57&lt;B57*(1+$B68),C57&gt;B57*(1-$B68)),"neutral",IF(C57&gt;B57,"increase","decrease")),"")</f>
        <v/>
      </c>
      <c r="D69" s="8" t="str">
        <f t="shared" ref="D69" si="221">IF(ISNUMBER(C57),IF(AND(D57&lt;C57*(1+$B68),D57&gt;C57*(1-$B68)),"neutral",IF(D57&gt;C57,"increase","decrease")),"")</f>
        <v/>
      </c>
      <c r="E69" s="8" t="str">
        <f t="shared" ref="E69" si="222">IF(ISNUMBER(D57),IF(AND(E57&lt;D57*(1+$B68),E57&gt;D57*(1-$B68)),"neutral",IF(E57&gt;D57,"increase","decrease")),"")</f>
        <v/>
      </c>
      <c r="F69" s="8" t="str">
        <f t="shared" ref="F69" si="223">IF(ISNUMBER(E57),IF(AND(F57&lt;E57*(1+$B68),F57&gt;E57*(1-$B68)),"neutral",IF(F57&gt;E57,"increase","decrease")),"")</f>
        <v/>
      </c>
      <c r="G69" s="8" t="str">
        <f t="shared" ref="G69" si="224">IF(ISNUMBER(F57),IF(AND(G57&lt;F57*(1+$B68),G57&gt;F57*(1-$B68)),"neutral",IF(G57&gt;F57,"increase","decrease")),"")</f>
        <v/>
      </c>
      <c r="H69" s="8" t="str">
        <f t="shared" ref="H69" si="225">IF(ISNUMBER(G57),IF(AND(H57&lt;G57*(1+$B68),H57&gt;G57*(1-$B68)),"neutral",IF(H57&gt;G57,"increase","decrease")),"")</f>
        <v/>
      </c>
      <c r="I69" s="8" t="str">
        <f t="shared" ref="I69" si="226">IF(ISNUMBER(H57),IF(AND(I57&lt;H57*(1+$B68),I57&gt;H57*(1-$B68)),"neutral",IF(I57&gt;H57,"increase","decrease")),"")</f>
        <v/>
      </c>
      <c r="J69" s="8" t="str">
        <f t="shared" ref="J69" si="227">IF(ISNUMBER(I57),IF(AND(J57&lt;I57*(1+$B68),J57&gt;I57*(1-$B68)),"neutral",IF(J57&gt;I57,"increase","decrease")),"")</f>
        <v/>
      </c>
      <c r="K69" s="142" t="str">
        <f t="shared" ref="K69" si="228">IF(ISNUMBER(J57),IF(AND(K57&lt;J57*(1+$B68),K57&gt;J57*(1-$B68)),"neutral",IF(K57&gt;J57,"increase","decrease")),"")</f>
        <v/>
      </c>
      <c r="L69" s="143" t="s">
        <v>95</v>
      </c>
      <c r="Q69" s="223" t="str">
        <f>IFERROR(AF56&amp;AF57&amp;AS57&amp;AF58&amp;AS58&amp;AF59&amp;AS59&amp;AF60&amp;AS60&amp;AF61&amp;AS61&amp;AF62&amp;AS62&amp;AF63&amp;AS63&amp;AF64&amp;AS64&amp;AF65&amp;AS65&amp;AF66&amp;AS66&amp;Industry!U16&amp;Industry!U21,"Data on Canadian Direct Investment in "&amp;country&amp;" are unavailable")</f>
        <v>Data on Canadian Direct Investment in Australia are unavailable</v>
      </c>
      <c r="R69" s="224"/>
      <c r="S69" s="224"/>
      <c r="T69" s="224"/>
      <c r="U69" s="224"/>
      <c r="V69" s="224"/>
      <c r="W69" s="224"/>
      <c r="X69" s="224"/>
      <c r="Y69" s="224"/>
      <c r="Z69" s="224"/>
      <c r="AA69" s="224"/>
      <c r="AB69" s="224"/>
      <c r="AC69" s="224"/>
      <c r="AD69" s="224"/>
      <c r="AE69" s="224"/>
      <c r="AF69" s="225"/>
      <c r="AU69" s="226"/>
      <c r="AV69" s="227"/>
      <c r="AW69" s="227"/>
      <c r="AX69" s="227"/>
      <c r="AY69" s="227"/>
      <c r="AZ69" s="227"/>
      <c r="BA69" s="227"/>
      <c r="BB69" s="227"/>
      <c r="BC69" s="228"/>
      <c r="BD69" s="163"/>
    </row>
    <row r="70" spans="1:62" ht="13" x14ac:dyDescent="0.25">
      <c r="A70" s="11" t="s">
        <v>117</v>
      </c>
      <c r="B70" s="8" t="str">
        <f>IF(LEN(C74)&lt;1,"",IF(AND(LEN(C74)&gt;1,LEN(B74)&lt;1),0,IF(AND(B74="flat",A74&lt;&gt;"flat",C74&lt;&gt;"flat"),0,IF(B74=A74,0,1))))</f>
        <v/>
      </c>
      <c r="C70" s="8" t="str">
        <f>IF(LEN(D74)&lt;1,"",IF(AND(LEN(D74)&gt;1,LEN(C74)&lt;1),0,IF(AND(C74="flat",B74&lt;&gt;"flat",D74&lt;&gt;"flat"),0,IF(C74=B74,0,1))))</f>
        <v/>
      </c>
      <c r="D70" s="8" t="str">
        <f t="shared" ref="D70:J70" si="229">IF(LEN(E74)&lt;1,"",IF(AND(LEN(E74)&gt;1,LEN(D74)&lt;1),0,IF(AND(D74="flat",C74&lt;&gt;"flat",E74&lt;&gt;"flat"),0,IF(D74=C74,0,1))))</f>
        <v/>
      </c>
      <c r="E70" s="8" t="str">
        <f t="shared" si="229"/>
        <v/>
      </c>
      <c r="F70" s="8" t="str">
        <f t="shared" si="229"/>
        <v/>
      </c>
      <c r="G70" s="8" t="str">
        <f t="shared" si="229"/>
        <v/>
      </c>
      <c r="H70" s="8" t="str">
        <f t="shared" si="229"/>
        <v/>
      </c>
      <c r="I70" s="8" t="str">
        <f t="shared" si="229"/>
        <v/>
      </c>
      <c r="J70" s="8" t="str">
        <f t="shared" si="229"/>
        <v/>
      </c>
      <c r="K70" s="8">
        <f>IF(LEN(L74)&lt;1,"",IF(AND(LEN(L74)&gt;1,LEN(K74)&lt;1),0,IF(AND(K74="flat",J74&lt;&gt;"flat",L74&lt;&gt;"flat"),0,IF(K74=J74,0,1))))</f>
        <v>0</v>
      </c>
      <c r="L70" s="33"/>
      <c r="Q70" s="226"/>
      <c r="R70" s="227"/>
      <c r="S70" s="227"/>
      <c r="T70" s="227"/>
      <c r="U70" s="227"/>
      <c r="V70" s="227"/>
      <c r="W70" s="227"/>
      <c r="X70" s="227"/>
      <c r="Y70" s="227"/>
      <c r="Z70" s="227"/>
      <c r="AA70" s="227"/>
      <c r="AB70" s="227"/>
      <c r="AC70" s="227"/>
      <c r="AD70" s="227"/>
      <c r="AE70" s="227"/>
      <c r="AF70" s="228"/>
      <c r="AU70" s="226"/>
      <c r="AV70" s="227"/>
      <c r="AW70" s="227"/>
      <c r="AX70" s="227"/>
      <c r="AY70" s="227"/>
      <c r="AZ70" s="227"/>
      <c r="BA70" s="227"/>
      <c r="BB70" s="227"/>
      <c r="BC70" s="228"/>
      <c r="BD70" s="163"/>
    </row>
    <row r="71" spans="1:62" ht="13" x14ac:dyDescent="0.25">
      <c r="A71" s="11" t="s">
        <v>96</v>
      </c>
      <c r="B71" s="8" t="str">
        <f>IF(LEN(C69)&lt;1,"",IF(AND(LEN(C69)&gt;1,LEN(B69)&lt;1),0,IF(B69=A69,A71,IF(AND(B69="neutral",A69&lt;&gt;"neutral",C69&lt;&gt;"neutral"),IF(LEN(C71)&gt;0,C71,A71),SUM($B70:B70)))))</f>
        <v/>
      </c>
      <c r="C71" s="8" t="str">
        <f>IF(LEN(D69)&lt;1,"",IF(AND(LEN(D69)&gt;1,LEN(C69)&lt;1),0,IF(C69=B69,B71,IF(AND(C69="neutral",B69&lt;&gt;"neutral",D69&lt;&gt;"neutral"),IF(LEN(D71)&gt;0,D71,B71),SUM($B70:C70)))))</f>
        <v/>
      </c>
      <c r="D71" s="8" t="str">
        <f>IF(LEN(E69)&lt;1,"",IF(AND(LEN(E69)&gt;1,LEN(D69)&lt;1),0,IF(D69=C69,C71,IF(AND(D69="neutral",C69&lt;&gt;"neutral",E69&lt;&gt;"neutral"),IF(LEN(E71)&gt;0,E71,C71),SUM($B70:D70)))))</f>
        <v/>
      </c>
      <c r="E71" s="8" t="str">
        <f>IF(LEN(F69)&lt;1,"",IF(AND(LEN(F69)&gt;1,LEN(E69)&lt;1),0,IF(E69=D69,D71,IF(AND(E69="neutral",D69&lt;&gt;"neutral",F69&lt;&gt;"neutral"),IF(LEN(F71)&gt;0,F71,D71),SUM($B70:E70)))))</f>
        <v/>
      </c>
      <c r="F71" s="8" t="str">
        <f>IF(LEN(G69)&lt;1,"",IF(AND(LEN(G69)&gt;1,LEN(F69)&lt;1),0,IF(F69=E69,E71,IF(AND(F69="neutral",E69&lt;&gt;"neutral",G69&lt;&gt;"neutral"),IF(LEN(G71)&gt;0,G71,E71),SUM($B70:F70)))))</f>
        <v/>
      </c>
      <c r="G71" s="8" t="str">
        <f>IF(LEN(H69)&lt;1,"",IF(AND(LEN(H69)&gt;1,LEN(G69)&lt;1),0,IF(G69=F69,F71,IF(AND(G69="neutral",F69&lt;&gt;"neutral",H69&lt;&gt;"neutral"),IF(LEN(H71)&gt;0,H71,F71),SUM($B70:G70)))))</f>
        <v/>
      </c>
      <c r="H71" s="8" t="str">
        <f>IF(LEN(I69)&lt;1,"",IF(AND(LEN(I69)&gt;1,LEN(H69)&lt;1),0,IF(H69=G69,G71,IF(AND(H69="neutral",G69&lt;&gt;"neutral",I69&lt;&gt;"neutral"),IF(LEN(I71)&gt;0,I71,G71),SUM($B70:H70)))))</f>
        <v/>
      </c>
      <c r="I71" s="8" t="str">
        <f>IF(LEN(J69)&lt;1,"",IF(AND(LEN(J69)&gt;1,LEN(I69)&lt;1),0,IF(I69=H69,H71,IF(AND(I69="neutral",H69&lt;&gt;"neutral",J69&lt;&gt;"neutral"),IF(LEN(J71)&gt;0,J71,H71),SUM($B70:I70)))))</f>
        <v/>
      </c>
      <c r="J71" s="8" t="str">
        <f>IF(LEN(K69)&lt;1,"",IF(AND(LEN(K69)&gt;1,LEN(J69)&lt;1),0,IF(J69=I69,I71,IF(AND(J69="neutral",I69&lt;&gt;"neutral",K69&lt;&gt;"neutral"),IF(LEN(K71)&gt;0,K71,I71),SUM($B70:J70)))))</f>
        <v/>
      </c>
      <c r="K71" s="8">
        <f>IF(LEN(L69)&lt;1,"",IF(AND(LEN(L69)&gt;1,LEN(K69)&lt;1),0,IF(K69=J69,J71,IF(AND(K69="neutral",J69&lt;&gt;"neutral",L69&lt;&gt;"neutral"),IF(LEN(L71)&gt;0,L71,J71),SUM($B70:K70)))))</f>
        <v>0</v>
      </c>
      <c r="L71" s="33"/>
      <c r="Q71" s="226"/>
      <c r="R71" s="227"/>
      <c r="S71" s="227"/>
      <c r="T71" s="227"/>
      <c r="U71" s="227"/>
      <c r="V71" s="227"/>
      <c r="W71" s="227"/>
      <c r="X71" s="227"/>
      <c r="Y71" s="227"/>
      <c r="Z71" s="227"/>
      <c r="AA71" s="227"/>
      <c r="AB71" s="227"/>
      <c r="AC71" s="227"/>
      <c r="AD71" s="227"/>
      <c r="AE71" s="227"/>
      <c r="AF71" s="228"/>
      <c r="AH71" s="150">
        <f>maxyear</f>
        <v>0</v>
      </c>
      <c r="AI71" s="150">
        <f>maxyear-1</f>
        <v>-1</v>
      </c>
      <c r="AJ71" s="150" t="s">
        <v>188</v>
      </c>
      <c r="AK71" s="150" t="s">
        <v>266</v>
      </c>
      <c r="AL71" s="150" t="s">
        <v>269</v>
      </c>
      <c r="AU71" s="226"/>
      <c r="AV71" s="227"/>
      <c r="AW71" s="227"/>
      <c r="AX71" s="227"/>
      <c r="AY71" s="227"/>
      <c r="AZ71" s="227"/>
      <c r="BA71" s="227"/>
      <c r="BB71" s="227"/>
      <c r="BC71" s="228"/>
      <c r="BD71" s="163"/>
      <c r="BF71" s="150">
        <f>maxyear</f>
        <v>0</v>
      </c>
      <c r="BG71" s="150">
        <f>maxyear-1</f>
        <v>-1</v>
      </c>
      <c r="BH71" s="150" t="s">
        <v>188</v>
      </c>
      <c r="BI71" s="150" t="s">
        <v>266</v>
      </c>
      <c r="BJ71" s="150" t="s">
        <v>269</v>
      </c>
    </row>
    <row r="72" spans="1:62" ht="13" x14ac:dyDescent="0.25">
      <c r="A72" s="11" t="s">
        <v>92</v>
      </c>
      <c r="B72" s="18" t="str">
        <f>IF(AND(C71&lt;&gt;B71,B71&gt;0,ISNUMBER(B71)),((B57/(INDEX($A55:$K57,3,MATCH(B71,$A71:$K71,0)-1)))^(1/(COUNTIF($B71:$K71,B71))))-1,"")</f>
        <v/>
      </c>
      <c r="C72" s="18" t="str">
        <f>IF(AND(D71&lt;&gt;C71,C71&gt;0,ISNUMBER(C71)),_xlfn.RRI(COUNTIF($B71:$K71,C71),INDEX($A55:$K57,3,MATCH(C71,$A71:$K71,0)-1),C57),"")</f>
        <v/>
      </c>
      <c r="D72" s="18" t="str">
        <f t="shared" ref="D72:K72" si="230">IF(AND(E71&lt;&gt;D71,D71&gt;0,ISNUMBER(D71)),_xlfn.RRI(COUNTIF($B71:$K71,D71),INDEX($A55:$K57,3,MATCH(D71,$A71:$K71,0)-1),D57),"")</f>
        <v/>
      </c>
      <c r="E72" s="18" t="str">
        <f t="shared" si="230"/>
        <v/>
      </c>
      <c r="F72" s="18" t="str">
        <f t="shared" si="230"/>
        <v/>
      </c>
      <c r="G72" s="18" t="str">
        <f t="shared" si="230"/>
        <v/>
      </c>
      <c r="H72" s="18" t="str">
        <f t="shared" si="230"/>
        <v/>
      </c>
      <c r="I72" s="18" t="str">
        <f t="shared" si="230"/>
        <v/>
      </c>
      <c r="J72" s="18" t="str">
        <f>IF(AND(K71&lt;&gt;J71,J71&gt;0,ISNUMBER(J71)),_xlfn.RRI(COUNTIF($B71:$K71,J71),INDEX($A55:$K57,3,MATCH(J71,$A71:$K71,0)-1),J57),"")</f>
        <v/>
      </c>
      <c r="K72" s="18" t="str">
        <f t="shared" si="230"/>
        <v/>
      </c>
      <c r="Q72" s="229"/>
      <c r="R72" s="230"/>
      <c r="S72" s="230"/>
      <c r="T72" s="230"/>
      <c r="U72" s="230"/>
      <c r="V72" s="230"/>
      <c r="W72" s="230"/>
      <c r="X72" s="230"/>
      <c r="Y72" s="230"/>
      <c r="Z72" s="230"/>
      <c r="AA72" s="230"/>
      <c r="AB72" s="230"/>
      <c r="AC72" s="230"/>
      <c r="AD72" s="230"/>
      <c r="AE72" s="230"/>
      <c r="AF72" s="231"/>
      <c r="AH72" s="38" t="e">
        <f>RNDP($K$66,0,1)</f>
        <v>#VALUE!</v>
      </c>
      <c r="AI72" s="38" t="e">
        <f>RNDP($J$66,0,1)</f>
        <v>#VALUE!</v>
      </c>
      <c r="AJ72" s="38" t="e">
        <f>IF($AH72&gt;$AI72,", up from "&amp;$AI72&amp;"%"&amp;" in "&amp;maxyear-1,IF($AH72&lt;$AI72,", down from "&amp;$AI72&amp;"%"&amp;" in "&amp;maxyear-1,", unchanged from the previous year"))</f>
        <v>#VALUE!</v>
      </c>
      <c r="AK72" s="38" t="e">
        <f>$N$57&amp;IF(AND(MOD(ABS($N$57),100)&gt;10,MOD(ABS($N$57),100)&lt;14),"th",CHOOSE(MOD(ABS($N$57),10)+1,"th","st","nd","rd","th","th","th","th","th","th"))</f>
        <v>#N/A</v>
      </c>
      <c r="AL72" s="38" t="e">
        <f>$M$57&amp;IF(AND(MOD(ABS($M$57),100)&gt;10,MOD(ABS($M$57),100)&lt;14),"th",CHOOSE(MOD(ABS($M$57),10)+1,"th","st","nd","rd","th","th","th","th","th","th"))</f>
        <v>#N/A</v>
      </c>
      <c r="AU72" s="226"/>
      <c r="AV72" s="227"/>
      <c r="AW72" s="227"/>
      <c r="AX72" s="227"/>
      <c r="AY72" s="227"/>
      <c r="AZ72" s="227"/>
      <c r="BA72" s="227"/>
      <c r="BB72" s="227"/>
      <c r="BC72" s="228"/>
      <c r="BD72" s="163"/>
      <c r="BF72" s="38" t="e">
        <f>RNDPFR($K$66)</f>
        <v>#VALUE!</v>
      </c>
      <c r="BG72" s="38" t="e">
        <f>RNDPFR($J$66)</f>
        <v>#VALUE!</v>
      </c>
      <c r="BH72" s="38" t="e">
        <f>IF($AH72&gt;$AI72,", en hausse par rapport au niveau de "&amp;$BG72&amp;" observé en "&amp;maxyear-1,IF($AH72&lt;$AI72,", en baisse par rapport au niveau de "&amp;$BG72&amp;" observé en "&amp;maxyear-1,", inchangé par rapport à l'année précédente"))</f>
        <v>#VALUE!</v>
      </c>
      <c r="BI72" s="38" t="e">
        <f>$N$57&amp;"e"</f>
        <v>#N/A</v>
      </c>
      <c r="BJ72" s="38" t="e">
        <f>$M$57&amp;"e"</f>
        <v>#N/A</v>
      </c>
    </row>
    <row r="73" spans="1:62" ht="13" x14ac:dyDescent="0.25">
      <c r="A73" s="11" t="s">
        <v>93</v>
      </c>
      <c r="B73" s="47" t="str">
        <f t="shared" ref="B73" si="231">IF(AND(OR(ISNUMBER(A72),A71=0),ISNUMBER(B72)),B72,"")</f>
        <v/>
      </c>
      <c r="C73" s="47" t="str">
        <f t="shared" ref="C73" si="232">IF(AND(OR(ISNUMBER(B72),B71=0),ISNUMBER(C72)),C72,"")</f>
        <v/>
      </c>
      <c r="D73" s="47" t="str">
        <f t="shared" ref="D73" si="233">IF(AND(OR(ISNUMBER(C72),C71=0),ISNUMBER(D72)),D72,"")</f>
        <v/>
      </c>
      <c r="E73" s="47" t="str">
        <f t="shared" ref="E73" si="234">IF(AND(OR(ISNUMBER(D72),D71=0),ISNUMBER(E72)),E72,"")</f>
        <v/>
      </c>
      <c r="F73" s="47" t="str">
        <f t="shared" ref="F73" si="235">IF(AND(OR(ISNUMBER(E72),E71=0),ISNUMBER(F72)),F72,"")</f>
        <v/>
      </c>
      <c r="G73" s="47" t="str">
        <f t="shared" ref="G73" si="236">IF(AND(OR(ISNUMBER(F72),F71=0),ISNUMBER(G72)),G72,"")</f>
        <v/>
      </c>
      <c r="H73" s="47" t="str">
        <f t="shared" ref="H73" si="237">IF(AND(OR(ISNUMBER(G72),G71=0),ISNUMBER(H72)),H72,"")</f>
        <v/>
      </c>
      <c r="I73" s="47" t="str">
        <f t="shared" ref="I73" si="238">IF(AND(OR(ISNUMBER(H72),H71=0),ISNUMBER(I72)),I72,"")</f>
        <v/>
      </c>
      <c r="J73" s="47" t="str">
        <f t="shared" ref="J73" si="239">IF(AND(OR(ISNUMBER(I72),I71=0),ISNUMBER(J72)),J72,"")</f>
        <v/>
      </c>
      <c r="K73" s="47" t="str">
        <f t="shared" ref="K73" si="240">IF(AND(OR(ISNUMBER(J72),J71=0),ISNUMBER(K72)),K72,"")</f>
        <v/>
      </c>
      <c r="R73" s="162"/>
      <c r="S73" s="162"/>
      <c r="T73" s="162"/>
      <c r="U73" s="162"/>
      <c r="V73" s="162"/>
      <c r="W73" s="162"/>
      <c r="X73" s="162"/>
      <c r="Y73" s="162"/>
      <c r="Z73" s="162"/>
      <c r="AA73" s="162"/>
      <c r="AB73" s="162"/>
      <c r="AC73" s="162"/>
      <c r="AD73" s="162"/>
      <c r="AE73" s="162"/>
      <c r="AF73" s="162"/>
      <c r="AU73" s="226"/>
      <c r="AV73" s="227"/>
      <c r="AW73" s="227"/>
      <c r="AX73" s="227"/>
      <c r="AY73" s="227"/>
      <c r="AZ73" s="227"/>
      <c r="BA73" s="227"/>
      <c r="BB73" s="227"/>
      <c r="BC73" s="228"/>
      <c r="BD73" s="163"/>
    </row>
    <row r="74" spans="1:62" ht="13" x14ac:dyDescent="0.25">
      <c r="A74" s="71" t="s">
        <v>203</v>
      </c>
      <c r="B74" s="13" t="str">
        <f t="shared" ref="B74:J74" si="241">IF(B69="neutral",IF(AND(A69&lt;&gt;"neutral",C69&lt;&gt;"neutral"),IF(C74&lt;&gt;"end",C74,A74),"flat"),IF(B69="increase","up",IF(B69="decrease","down","")))</f>
        <v/>
      </c>
      <c r="C74" s="13" t="str">
        <f t="shared" si="241"/>
        <v/>
      </c>
      <c r="D74" s="13" t="str">
        <f t="shared" si="241"/>
        <v/>
      </c>
      <c r="E74" s="13" t="str">
        <f t="shared" si="241"/>
        <v/>
      </c>
      <c r="F74" s="13" t="str">
        <f t="shared" si="241"/>
        <v/>
      </c>
      <c r="G74" s="13" t="str">
        <f t="shared" si="241"/>
        <v/>
      </c>
      <c r="H74" s="13" t="str">
        <f t="shared" si="241"/>
        <v/>
      </c>
      <c r="I74" s="13" t="str">
        <f t="shared" si="241"/>
        <v/>
      </c>
      <c r="J74" s="13" t="str">
        <f t="shared" si="241"/>
        <v/>
      </c>
      <c r="K74" s="144" t="str">
        <f>IF(K69="neutral",IF(AND(J69&lt;&gt;"neutral",L69&lt;&gt;"neutral"),IF(L74&lt;&gt;"end",L74,J74),"flat"),IF(K69="increase","up",IF(K69="decrease","down","")))</f>
        <v/>
      </c>
      <c r="L74" s="39" t="s">
        <v>95</v>
      </c>
      <c r="Q74" s="232" t="str">
        <f>IFERROR(prefix&amp;country&amp;" received "&amp;AH72&amp;"%"&amp;" of Canada’s CDIA stock in "&amp;maxyear&amp;" (IIC basis)"&amp;AJ72&amp;". As a result, "&amp;LOWER(prefix)&amp;country&amp;" ranked as the "&amp;IF(N57=1,"",AK72&amp;" ")&amp;"largest "&amp;IF(N57=1,"","("&amp;AL72&amp;" in "&amp;continent&amp;") ")&amp;"recipient country of CDIA stock in "&amp;maxyear&amp;".","")</f>
        <v/>
      </c>
      <c r="R74" s="233"/>
      <c r="S74" s="233"/>
      <c r="T74" s="233"/>
      <c r="U74" s="233"/>
      <c r="V74" s="233"/>
      <c r="W74" s="233"/>
      <c r="X74" s="233"/>
      <c r="Y74" s="233"/>
      <c r="Z74" s="233"/>
      <c r="AA74" s="233"/>
      <c r="AB74" s="233"/>
      <c r="AC74" s="233"/>
      <c r="AD74" s="233"/>
      <c r="AE74" s="233"/>
      <c r="AF74" s="234"/>
      <c r="AH74" s="130"/>
      <c r="AI74" s="51"/>
      <c r="AJ74" s="51"/>
      <c r="AU74" s="229"/>
      <c r="AV74" s="230"/>
      <c r="AW74" s="230"/>
      <c r="AX74" s="230"/>
      <c r="AY74" s="230"/>
      <c r="AZ74" s="230"/>
      <c r="BA74" s="230"/>
      <c r="BB74" s="230"/>
      <c r="BC74" s="231"/>
      <c r="BD74" s="161"/>
    </row>
    <row r="75" spans="1:62" x14ac:dyDescent="0.25">
      <c r="Q75" s="49"/>
      <c r="R75" s="49"/>
      <c r="S75" s="49"/>
      <c r="T75" s="49"/>
      <c r="U75" s="49"/>
      <c r="V75" s="49"/>
      <c r="W75" s="49"/>
      <c r="X75" s="49"/>
      <c r="Y75" s="49"/>
      <c r="Z75" s="49"/>
      <c r="AA75" s="49"/>
      <c r="AB75" s="49"/>
      <c r="AC75" s="49"/>
      <c r="AD75" s="49"/>
      <c r="AE75" s="49"/>
      <c r="AF75" s="49"/>
      <c r="AU75" s="220" t="str">
        <f>IFERROR(prefixFr&amp;countryFr&amp;" comptai"&amp;IF(prefixFr3="aux ","en","")&amp;"t pour "&amp;BF72&amp;" du stock d’IDCE en "&amp;maxyear&amp;BH72&amp;". Par conséquent, "&amp;LOWER(prefixFr)&amp;countryFr&amp;IF(N57=1," sont le principal pays destinataire",IF(prefixFr3="aux "," se sont classés"," s'est classée")&amp;" au "&amp;BI72&amp;CHAR(160)&amp;"rang ("&amp;BJ72&amp;" en "&amp;continentFr&amp;") des pays destinataires")&amp;" de l’IDCE en "&amp;maxyear&amp;".","")</f>
        <v/>
      </c>
      <c r="AV75" s="221"/>
      <c r="AW75" s="221"/>
      <c r="AX75" s="221"/>
      <c r="AY75" s="221"/>
      <c r="AZ75" s="221"/>
      <c r="BA75" s="221"/>
      <c r="BB75" s="221"/>
      <c r="BC75" s="222"/>
    </row>
    <row r="78" spans="1:62" x14ac:dyDescent="0.25">
      <c r="D78" s="48"/>
      <c r="E78" s="48"/>
      <c r="F78" s="48"/>
      <c r="G78" s="48"/>
      <c r="H78" s="48"/>
      <c r="I78" s="48"/>
      <c r="J78" s="48"/>
      <c r="K78" s="48"/>
      <c r="L78" s="48"/>
    </row>
    <row r="83" spans="32:53" x14ac:dyDescent="0.25">
      <c r="AF83" s="1" t="s">
        <v>398</v>
      </c>
    </row>
    <row r="85" spans="32:53" x14ac:dyDescent="0.25">
      <c r="BA85" s="1" t="s">
        <v>397</v>
      </c>
    </row>
  </sheetData>
  <mergeCells count="12">
    <mergeCell ref="AU51:BC51"/>
    <mergeCell ref="AU67:BC74"/>
    <mergeCell ref="AU75:BC75"/>
    <mergeCell ref="Q74:AF74"/>
    <mergeCell ref="AU17:BC24"/>
    <mergeCell ref="AU25:BC25"/>
    <mergeCell ref="AU43:BC50"/>
    <mergeCell ref="Q19:AF22"/>
    <mergeCell ref="Q45:AF48"/>
    <mergeCell ref="Q69:AF72"/>
    <mergeCell ref="Q50:AF50"/>
    <mergeCell ref="Q24:AF24"/>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Countries!$A:$A</xm:f>
          </x14:formula1>
          <xm:sqref>A3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H50"/>
  <sheetViews>
    <sheetView workbookViewId="0">
      <selection activeCell="A5" sqref="A5"/>
    </sheetView>
  </sheetViews>
  <sheetFormatPr defaultRowHeight="12.5" x14ac:dyDescent="0.25"/>
  <cols>
    <col min="1" max="1" width="14.6328125" customWidth="1"/>
    <col min="14" max="14" width="17" customWidth="1"/>
    <col min="17" max="17" width="28.7265625" bestFit="1" customWidth="1"/>
  </cols>
  <sheetData>
    <row r="1" spans="1:34" s="42" customFormat="1" x14ac:dyDescent="0.25">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4" s="42" customFormat="1" x14ac:dyDescent="0.25">
      <c r="A2" s="107"/>
      <c r="B2" s="107"/>
      <c r="C2" s="107"/>
      <c r="D2" s="107"/>
      <c r="E2" s="107"/>
      <c r="F2" s="107"/>
      <c r="G2" s="107"/>
      <c r="H2" s="107"/>
      <c r="I2" s="107"/>
      <c r="J2" s="107"/>
      <c r="K2" s="107"/>
      <c r="L2" s="107"/>
      <c r="M2" s="131" t="s">
        <v>239</v>
      </c>
      <c r="N2" s="131">
        <f>IFERROR(MAX(MAX(Details!$B$7:$K$7),MAX(Details!$B$32:$K$32)),MAX(Details!$B$7:$K$7))</f>
        <v>0</v>
      </c>
      <c r="O2" s="131" t="s">
        <v>240</v>
      </c>
      <c r="P2" s="131">
        <f>MAX(Details!$B$57:$K$57)</f>
        <v>0</v>
      </c>
      <c r="Q2" s="107"/>
      <c r="R2" s="107"/>
      <c r="S2" s="107"/>
      <c r="T2" s="107"/>
      <c r="U2" s="107"/>
      <c r="V2" s="107"/>
      <c r="W2" s="107"/>
      <c r="X2" s="107"/>
      <c r="Y2" s="107"/>
      <c r="Z2" s="107"/>
      <c r="AA2" s="107"/>
      <c r="AB2" s="107"/>
      <c r="AC2" s="107"/>
      <c r="AD2" s="107"/>
      <c r="AE2" s="107"/>
      <c r="AF2" s="107"/>
      <c r="AG2" s="107"/>
      <c r="AH2" s="107"/>
    </row>
    <row r="3" spans="1:34" ht="13" x14ac:dyDescent="0.25">
      <c r="A3" s="104" t="str">
        <f>country</f>
        <v>Australia</v>
      </c>
      <c r="B3" s="104">
        <f>maxyear-9</f>
        <v>-9</v>
      </c>
      <c r="C3" s="104">
        <f>maxyear-8</f>
        <v>-8</v>
      </c>
      <c r="D3" s="104">
        <f>maxyear-7</f>
        <v>-7</v>
      </c>
      <c r="E3" s="104">
        <f>maxyear-6</f>
        <v>-6</v>
      </c>
      <c r="F3" s="104">
        <f>maxyear-5</f>
        <v>-5</v>
      </c>
      <c r="G3" s="104">
        <f>maxyear-4</f>
        <v>-4</v>
      </c>
      <c r="H3" s="104">
        <f>maxyear-3</f>
        <v>-3</v>
      </c>
      <c r="I3" s="104">
        <f>maxyear-2</f>
        <v>-2</v>
      </c>
      <c r="J3" s="104">
        <f>maxyear-1</f>
        <v>-1</v>
      </c>
      <c r="K3" s="104">
        <f>maxyear</f>
        <v>0</v>
      </c>
      <c r="L3" s="112" t="s">
        <v>358</v>
      </c>
      <c r="M3" s="112" t="s">
        <v>359</v>
      </c>
      <c r="N3" s="124"/>
      <c r="O3" s="105"/>
      <c r="P3" s="107"/>
      <c r="Q3" s="107"/>
      <c r="R3" s="107"/>
      <c r="S3" s="107"/>
      <c r="T3" s="107"/>
      <c r="U3" s="107"/>
      <c r="V3" s="107"/>
      <c r="W3" s="107"/>
      <c r="X3" s="107"/>
      <c r="Y3" s="107"/>
      <c r="Z3" s="107"/>
      <c r="AA3" s="107"/>
      <c r="AB3" s="107"/>
      <c r="AC3" s="107"/>
      <c r="AD3" s="107"/>
      <c r="AE3" s="107"/>
      <c r="AF3" s="107"/>
      <c r="AG3" s="107"/>
      <c r="AH3" s="107"/>
    </row>
    <row r="4" spans="1:34" ht="13" x14ac:dyDescent="0.25">
      <c r="A4" s="11" t="s">
        <v>35</v>
      </c>
      <c r="B4" s="103" t="e">
        <f>IF(Details!B$7="",NA(),IF($L4="Can$B",Details!B$7/1000,Details!B$7))</f>
        <v>#N/A</v>
      </c>
      <c r="C4" s="103" t="e">
        <f>IF(Details!C$7="",NA(),IF($L4="Can$B",Details!C$7/1000,Details!C$7))</f>
        <v>#N/A</v>
      </c>
      <c r="D4" s="103" t="e">
        <f>IF(Details!D$7="",NA(),IF($L4="Can$B",Details!D$7/1000,Details!D$7))</f>
        <v>#N/A</v>
      </c>
      <c r="E4" s="103" t="e">
        <f>IF(Details!E$7="",NA(),IF($L4="Can$B",Details!E$7/1000,Details!E$7))</f>
        <v>#N/A</v>
      </c>
      <c r="F4" s="103" t="e">
        <f>IF(Details!F$7="",NA(),IF($L4="Can$B",Details!F$7/1000,Details!F$7))</f>
        <v>#N/A</v>
      </c>
      <c r="G4" s="103" t="e">
        <f>IF(Details!G$7="",NA(),IF($L4="Can$B",Details!G$7/1000,Details!G$7))</f>
        <v>#N/A</v>
      </c>
      <c r="H4" s="103" t="e">
        <f>IF(Details!H$7="",NA(),IF($L4="Can$B",Details!H$7/1000,Details!H$7))</f>
        <v>#N/A</v>
      </c>
      <c r="I4" s="103" t="e">
        <f>IF(Details!I$7="",NA(),IF($L4="Can$B",Details!I$7/1000,Details!I$7))</f>
        <v>#N/A</v>
      </c>
      <c r="J4" s="103" t="e">
        <f>IF(Details!J$7="",NA(),IF($L4="Can$B",Details!J$7/1000,Details!J$7))</f>
        <v>#N/A</v>
      </c>
      <c r="K4" s="103" t="e">
        <f>IF(Details!K$7="",NA(),IF($L4="Can$B",Details!K$7/1000,Details!K$7))</f>
        <v>#N/A</v>
      </c>
      <c r="L4" s="113" t="str">
        <f>IFERROR(IF(MAX($N$2,$P$2)&gt;=1000,"Can$B","Can$M"),"")</f>
        <v>Can$M</v>
      </c>
      <c r="M4" s="113" t="str">
        <f>IFERROR(IF(MAX($N$2,$P$2)&gt;=1000,"G","M")&amp;"$"&amp;CHAR(160)&amp;"CA","")</f>
        <v>M$ CA</v>
      </c>
      <c r="N4" s="127" t="s">
        <v>201</v>
      </c>
      <c r="O4" s="125">
        <v>9</v>
      </c>
      <c r="P4" s="123"/>
      <c r="Q4" s="156" t="s">
        <v>210</v>
      </c>
      <c r="R4" s="157">
        <v>6</v>
      </c>
      <c r="S4" s="107"/>
      <c r="T4" s="107"/>
      <c r="U4" s="107"/>
      <c r="V4" s="107"/>
      <c r="W4" s="107"/>
      <c r="X4" s="107"/>
      <c r="Y4" s="107"/>
      <c r="Z4" s="107"/>
      <c r="AA4" s="107"/>
      <c r="AB4" s="107"/>
      <c r="AC4" s="107"/>
      <c r="AD4" s="107"/>
      <c r="AE4" s="107"/>
      <c r="AF4" s="107"/>
      <c r="AG4" s="107"/>
      <c r="AH4" s="107"/>
    </row>
    <row r="5" spans="1:34" ht="13" x14ac:dyDescent="0.25">
      <c r="A5" s="11" t="s">
        <v>34</v>
      </c>
      <c r="B5" s="103" t="e">
        <f>IF(Details!B$32="",NA(),IF($L5="Can$B",Details!B$32/1000,Details!B$32))</f>
        <v>#N/A</v>
      </c>
      <c r="C5" s="103" t="e">
        <f>IF(Details!C$32="",NA(),IF($L5="Can$B",Details!C$32/1000,Details!C$32))</f>
        <v>#N/A</v>
      </c>
      <c r="D5" s="103" t="e">
        <f>IF(Details!D$32="",NA(),IF($L5="Can$B",Details!D$32/1000,Details!D$32))</f>
        <v>#N/A</v>
      </c>
      <c r="E5" s="103" t="e">
        <f>IF(Details!E$32="",NA(),IF($L5="Can$B",Details!E$32/1000,Details!E$32))</f>
        <v>#N/A</v>
      </c>
      <c r="F5" s="103" t="e">
        <f>IF(Details!F$32="",NA(),IF($L5="Can$B",Details!F$32/1000,Details!F$32))</f>
        <v>#N/A</v>
      </c>
      <c r="G5" s="103" t="e">
        <f>IF(Details!G$32="",NA(),IF($L5="Can$B",Details!G$32/1000,Details!G$32))</f>
        <v>#N/A</v>
      </c>
      <c r="H5" s="103" t="e">
        <f>IF(Details!H$32="",NA(),IF($L5="Can$B",Details!H$32/1000,Details!H$32))</f>
        <v>#N/A</v>
      </c>
      <c r="I5" s="103" t="e">
        <f>IF(Details!I$32="",NA(),IF($L5="Can$B",Details!I$32/1000,Details!I$32))</f>
        <v>#N/A</v>
      </c>
      <c r="J5" s="103" t="e">
        <f>IF(Details!J$32="",NA(),IF($L5="Can$B",Details!J$32/1000,Details!J$32))</f>
        <v>#N/A</v>
      </c>
      <c r="K5" s="103" t="e">
        <f>IF(Details!K$32="",NA(),IF($L5="Can$B",Details!K$32/1000,Details!K$32))</f>
        <v>#N/A</v>
      </c>
      <c r="L5" s="114" t="str">
        <f>$L$4</f>
        <v>Can$M</v>
      </c>
      <c r="M5" s="113" t="str">
        <f>$M$4</f>
        <v>M$ CA</v>
      </c>
      <c r="N5" s="127" t="s">
        <v>202</v>
      </c>
      <c r="O5" s="126" t="e">
        <f>IF(MAX(N2,P2)/MIN(N2,P2)&gt;$O$4,TRUE,FALSE)</f>
        <v>#DIV/0!</v>
      </c>
      <c r="P5" s="159"/>
      <c r="Q5" s="154" t="s">
        <v>209</v>
      </c>
      <c r="R5" s="158">
        <f>R4*O4</f>
        <v>54</v>
      </c>
      <c r="S5" s="111"/>
      <c r="T5" s="107"/>
      <c r="U5" s="107"/>
      <c r="V5" s="107"/>
      <c r="W5" s="107"/>
      <c r="X5" s="107"/>
      <c r="Y5" s="107"/>
      <c r="Z5" s="107"/>
      <c r="AA5" s="107"/>
      <c r="AB5" s="107"/>
      <c r="AC5" s="107"/>
      <c r="AD5" s="107"/>
      <c r="AE5" s="107"/>
      <c r="AF5" s="107"/>
      <c r="AG5" s="107"/>
      <c r="AH5" s="107"/>
    </row>
    <row r="6" spans="1:34" ht="13" x14ac:dyDescent="0.25">
      <c r="A6" s="109" t="s">
        <v>36</v>
      </c>
      <c r="B6" s="110" t="e">
        <f>IF(Details!B$57="",NA(),IF($L6="Can$B",Details!B$57/1000,Details!B$57))</f>
        <v>#N/A</v>
      </c>
      <c r="C6" s="110" t="e">
        <f>IF(Details!C$57="",NA(),IF($L6="Can$B",Details!C$57/1000,Details!C$57))</f>
        <v>#N/A</v>
      </c>
      <c r="D6" s="110" t="e">
        <f>IF(Details!D$57="",NA(),IF($L6="Can$B",Details!D$57/1000,Details!D$57))</f>
        <v>#N/A</v>
      </c>
      <c r="E6" s="110" t="e">
        <f>IF(Details!E$57="",NA(),IF($L6="Can$B",Details!E$57/1000,Details!E$57))</f>
        <v>#N/A</v>
      </c>
      <c r="F6" s="110" t="e">
        <f>IF(Details!F$57="",NA(),IF($L6="Can$B",Details!F$57/1000,Details!F$57))</f>
        <v>#N/A</v>
      </c>
      <c r="G6" s="110" t="e">
        <f>IF(Details!G$57="",NA(),IF($L6="Can$B",Details!G$57/1000,Details!G$57))</f>
        <v>#N/A</v>
      </c>
      <c r="H6" s="110" t="e">
        <f>IF(Details!H$57="",NA(),IF($L6="Can$B",Details!H$57/1000,Details!H$57))</f>
        <v>#N/A</v>
      </c>
      <c r="I6" s="110" t="e">
        <f>IF(Details!I$57="",NA(),IF($L6="Can$B",Details!I$57/1000,Details!I$57))</f>
        <v>#N/A</v>
      </c>
      <c r="J6" s="110" t="e">
        <f>IF(Details!J$57="",NA(),IF($L6="Can$B",Details!J$57/1000,Details!J$57))</f>
        <v>#N/A</v>
      </c>
      <c r="K6" s="110" t="e">
        <f>IF(Details!K$57="",NA(),IF($L6="Can$B",Details!K$57/1000,Details!K$57))</f>
        <v>#N/A</v>
      </c>
      <c r="L6" s="115" t="str">
        <f>$L$4</f>
        <v>Can$M</v>
      </c>
      <c r="M6" s="115" t="str">
        <f>$M$4</f>
        <v>M$ CA</v>
      </c>
      <c r="N6" s="106"/>
      <c r="O6" s="106"/>
      <c r="P6" s="108"/>
      <c r="Q6" s="106"/>
      <c r="R6" s="106"/>
      <c r="S6" s="107"/>
      <c r="T6" s="107"/>
      <c r="U6" s="107"/>
      <c r="V6" s="107"/>
      <c r="W6" s="107"/>
      <c r="X6" s="107"/>
      <c r="Y6" s="107"/>
      <c r="Z6" s="107"/>
      <c r="AA6" s="107"/>
      <c r="AB6" s="107"/>
      <c r="AC6" s="107"/>
      <c r="AD6" s="107"/>
      <c r="AE6" s="107"/>
      <c r="AF6" s="107"/>
      <c r="AG6" s="107"/>
      <c r="AH6" s="107"/>
    </row>
    <row r="7" spans="1:34" x14ac:dyDescent="0.25">
      <c r="A7" s="107"/>
      <c r="B7" s="106"/>
      <c r="C7" s="106"/>
      <c r="D7" s="106"/>
      <c r="E7" s="106"/>
      <c r="F7" s="106"/>
      <c r="G7" s="106"/>
      <c r="H7" s="106"/>
      <c r="I7" s="106"/>
      <c r="J7" s="106"/>
      <c r="K7" s="106"/>
      <c r="L7" s="106"/>
      <c r="M7" s="107"/>
      <c r="N7" s="107"/>
      <c r="O7" s="107"/>
      <c r="P7" s="107"/>
      <c r="Q7" s="107"/>
      <c r="R7" s="107"/>
      <c r="S7" s="107"/>
      <c r="T7" s="107"/>
      <c r="U7" s="107"/>
      <c r="V7" s="107"/>
      <c r="W7" s="107"/>
      <c r="X7" s="107"/>
      <c r="Y7" s="107"/>
      <c r="Z7" s="107"/>
      <c r="AA7" s="107"/>
      <c r="AB7" s="107"/>
      <c r="AC7" s="107"/>
      <c r="AD7" s="107"/>
      <c r="AE7" s="107"/>
      <c r="AF7" s="107"/>
      <c r="AG7" s="107"/>
      <c r="AH7" s="107"/>
    </row>
    <row r="8" spans="1:34"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row>
    <row r="9" spans="1:34"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row>
    <row r="10" spans="1:34" x14ac:dyDescent="0.25">
      <c r="A10" s="107"/>
      <c r="B10" s="107"/>
      <c r="C10" s="107"/>
      <c r="D10" s="107"/>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row>
    <row r="11" spans="1:34" x14ac:dyDescent="0.25">
      <c r="A11" s="107"/>
      <c r="B11" s="107"/>
      <c r="C11" s="107"/>
      <c r="D11" s="107"/>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row>
    <row r="12" spans="1:34" x14ac:dyDescent="0.25">
      <c r="A12" s="107" t="e">
        <f>"Chart 1: Direct Investment between Canada and "&amp;LOWER(prefix)&amp;country&amp;", "&amp;L4</f>
        <v>#N/A</v>
      </c>
      <c r="B12" s="107"/>
      <c r="C12" s="107"/>
      <c r="D12" s="107"/>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row>
    <row r="13" spans="1:34" x14ac:dyDescent="0.25">
      <c r="A13" s="107" t="e">
        <f>"Figure 1"&amp;CHAR(160)&amp;": Investissement direct du Canada avec "&amp;LOWER(prefixFr)&amp;countryFr&amp;" "&amp;M5</f>
        <v>#N/A</v>
      </c>
      <c r="B13" s="107"/>
      <c r="C13" s="107"/>
      <c r="D13" s="107"/>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row>
    <row r="14" spans="1:34" x14ac:dyDescent="0.25">
      <c r="A14" s="107"/>
      <c r="B14" s="107"/>
      <c r="C14" s="107"/>
      <c r="D14" s="107"/>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row>
    <row r="15" spans="1:34" x14ac:dyDescent="0.25">
      <c r="A15" s="107"/>
      <c r="B15" s="107"/>
      <c r="C15" s="107"/>
      <c r="D15" s="107"/>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row>
    <row r="16" spans="1:34" x14ac:dyDescent="0.25">
      <c r="A16" s="107"/>
      <c r="B16" s="107"/>
      <c r="C16" s="107"/>
      <c r="D16" s="107"/>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row>
    <row r="17" spans="1:34" x14ac:dyDescent="0.25">
      <c r="A17" s="107"/>
      <c r="B17" s="107"/>
      <c r="C17" s="107"/>
      <c r="D17" s="107"/>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row>
    <row r="18" spans="1:34" x14ac:dyDescent="0.25">
      <c r="A18" s="107"/>
      <c r="B18" s="107"/>
      <c r="C18" s="107"/>
      <c r="D18" s="107"/>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row>
    <row r="19" spans="1:34" x14ac:dyDescent="0.25">
      <c r="A19" s="107"/>
      <c r="B19" s="107"/>
      <c r="C19" s="107"/>
      <c r="D19" s="107"/>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row>
    <row r="20" spans="1:34" x14ac:dyDescent="0.25">
      <c r="A20" s="107"/>
      <c r="B20" s="107"/>
      <c r="C20" s="107"/>
      <c r="D20" s="107"/>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row>
    <row r="21" spans="1:34" x14ac:dyDescent="0.25">
      <c r="A21" s="107"/>
      <c r="B21" s="107"/>
      <c r="C21" s="107"/>
      <c r="D21" s="107"/>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row>
    <row r="22" spans="1:34" x14ac:dyDescent="0.25">
      <c r="A22" s="107"/>
      <c r="B22" s="107"/>
      <c r="C22" s="107"/>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row>
    <row r="23" spans="1:34" x14ac:dyDescent="0.25">
      <c r="A23" s="107"/>
      <c r="B23" s="107"/>
      <c r="C23" s="107"/>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row>
    <row r="24" spans="1:34" x14ac:dyDescent="0.25">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row>
    <row r="25" spans="1:34" x14ac:dyDescent="0.25">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row>
    <row r="26" spans="1:34" x14ac:dyDescent="0.25">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row>
    <row r="27" spans="1:34" x14ac:dyDescent="0.25">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row>
    <row r="28" spans="1:34" x14ac:dyDescent="0.25">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row>
    <row r="29" spans="1:34" x14ac:dyDescent="0.25">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row>
    <row r="30" spans="1:34" x14ac:dyDescent="0.25">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row>
    <row r="31" spans="1:34" x14ac:dyDescent="0.25">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row>
    <row r="32" spans="1:34" x14ac:dyDescent="0.25">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row>
    <row r="33" spans="1:34" x14ac:dyDescent="0.25">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row>
    <row r="34" spans="1:34" x14ac:dyDescent="0.25">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row>
    <row r="35" spans="1:34" x14ac:dyDescent="0.25">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row>
    <row r="36" spans="1:34" x14ac:dyDescent="0.25">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row>
    <row r="37" spans="1:34" x14ac:dyDescent="0.25">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row>
    <row r="38" spans="1:34" x14ac:dyDescent="0.25">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row>
    <row r="39" spans="1:34" x14ac:dyDescent="0.25">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row>
    <row r="40" spans="1:34" x14ac:dyDescent="0.25">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row>
    <row r="41" spans="1:34" x14ac:dyDescent="0.25">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row>
    <row r="42" spans="1:34" x14ac:dyDescent="0.25">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row>
    <row r="43" spans="1:34" x14ac:dyDescent="0.25">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row>
    <row r="44" spans="1:34" x14ac:dyDescent="0.25">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row>
    <row r="45" spans="1:34" x14ac:dyDescent="0.25">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row>
    <row r="46" spans="1:34" x14ac:dyDescent="0.25">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row>
    <row r="47" spans="1:34" x14ac:dyDescent="0.25">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row>
    <row r="48" spans="1:34" x14ac:dyDescent="0.25">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row>
    <row r="49" spans="1:34" x14ac:dyDescent="0.25">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row>
    <row r="50" spans="1:34" x14ac:dyDescent="0.25">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H50"/>
  <sheetViews>
    <sheetView topLeftCell="A10" workbookViewId="0">
      <selection activeCell="Q30" sqref="Q30"/>
    </sheetView>
  </sheetViews>
  <sheetFormatPr defaultRowHeight="12.5" x14ac:dyDescent="0.25"/>
  <cols>
    <col min="1" max="1" width="14.6328125" customWidth="1"/>
    <col min="17" max="17" width="28.7265625" bestFit="1" customWidth="1"/>
  </cols>
  <sheetData>
    <row r="1" spans="1:34" s="42" customFormat="1" x14ac:dyDescent="0.25">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row>
    <row r="2" spans="1:34" s="42" customFormat="1" x14ac:dyDescent="0.25">
      <c r="A2" s="105"/>
      <c r="B2" s="105"/>
      <c r="C2" s="105"/>
      <c r="D2" s="105"/>
      <c r="E2" s="105"/>
      <c r="F2" s="105"/>
      <c r="G2" s="105"/>
      <c r="H2" s="105"/>
      <c r="I2" s="105"/>
      <c r="J2" s="105"/>
      <c r="K2" s="105"/>
      <c r="L2" s="105"/>
      <c r="M2" s="131" t="s">
        <v>241</v>
      </c>
      <c r="N2" s="131">
        <f>IFERROR(MIN(MIN(Details!$B$7:$K$7),MIN(Details!$B$32:$K$32)),MIN(Details!$B$7:$K$7))</f>
        <v>0</v>
      </c>
      <c r="O2" s="131" t="s">
        <v>242</v>
      </c>
      <c r="P2" s="131">
        <f>MIN(Details!$B$57:$K$57)</f>
        <v>0</v>
      </c>
      <c r="Q2" s="107"/>
      <c r="R2" s="107"/>
      <c r="S2" s="107"/>
      <c r="T2" s="107"/>
      <c r="U2" s="107"/>
      <c r="V2" s="107"/>
      <c r="W2" s="107"/>
      <c r="X2" s="107"/>
      <c r="Y2" s="107"/>
      <c r="Z2" s="107"/>
      <c r="AA2" s="107"/>
      <c r="AB2" s="107"/>
      <c r="AC2" s="107"/>
      <c r="AD2" s="107"/>
      <c r="AE2" s="107"/>
      <c r="AF2" s="107"/>
      <c r="AG2" s="107"/>
      <c r="AH2" s="107"/>
    </row>
    <row r="3" spans="1:34" ht="13" x14ac:dyDescent="0.25">
      <c r="A3" s="120" t="str">
        <f>country</f>
        <v>Australia</v>
      </c>
      <c r="B3" s="119">
        <f>maxyear-9</f>
        <v>-9</v>
      </c>
      <c r="C3" s="118">
        <f>maxyear-8</f>
        <v>-8</v>
      </c>
      <c r="D3" s="118">
        <f>maxyear-7</f>
        <v>-7</v>
      </c>
      <c r="E3" s="118">
        <f>maxyear-6</f>
        <v>-6</v>
      </c>
      <c r="F3" s="118">
        <f>maxyear-5</f>
        <v>-5</v>
      </c>
      <c r="G3" s="118">
        <f>maxyear-4</f>
        <v>-4</v>
      </c>
      <c r="H3" s="118">
        <f>maxyear-3</f>
        <v>-3</v>
      </c>
      <c r="I3" s="118">
        <f>maxyear-2</f>
        <v>-2</v>
      </c>
      <c r="J3" s="118">
        <f>maxyear-1</f>
        <v>-1</v>
      </c>
      <c r="K3" s="118">
        <f>maxyear</f>
        <v>0</v>
      </c>
      <c r="L3" s="112" t="s">
        <v>358</v>
      </c>
      <c r="M3" s="112" t="s">
        <v>359</v>
      </c>
      <c r="N3" s="107"/>
      <c r="O3" s="107"/>
      <c r="P3" s="107"/>
      <c r="Q3" s="107"/>
      <c r="R3" s="107"/>
      <c r="S3" s="107"/>
      <c r="T3" s="107"/>
      <c r="U3" s="107"/>
      <c r="V3" s="107"/>
      <c r="W3" s="107"/>
      <c r="X3" s="107"/>
      <c r="Y3" s="107"/>
      <c r="Z3" s="107"/>
      <c r="AA3" s="107"/>
      <c r="AB3" s="107"/>
      <c r="AC3" s="107"/>
      <c r="AD3" s="107"/>
      <c r="AE3" s="107"/>
      <c r="AF3" s="107"/>
      <c r="AG3" s="107"/>
      <c r="AH3" s="107"/>
    </row>
    <row r="4" spans="1:34" ht="13" x14ac:dyDescent="0.25">
      <c r="A4" s="121" t="s">
        <v>35</v>
      </c>
      <c r="B4" s="128" t="e">
        <f>IF(Details!B$7="",NA(),IF($L4="Can$B",Details!B$7/1000,Details!B$7))</f>
        <v>#N/A</v>
      </c>
      <c r="C4" s="128" t="e">
        <f>IF(Details!C$7="",NA(),IF($L4="Can$B",Details!C$7/1000,Details!C$7))</f>
        <v>#N/A</v>
      </c>
      <c r="D4" s="128" t="e">
        <f>IF(Details!D$7="",NA(),IF($L4="Can$B",Details!D$7/1000,Details!D$7))</f>
        <v>#N/A</v>
      </c>
      <c r="E4" s="128" t="e">
        <f>IF(Details!E$7="",NA(),IF($L4="Can$B",Details!E$7/1000,Details!E$7))</f>
        <v>#N/A</v>
      </c>
      <c r="F4" s="128" t="e">
        <f>IF(Details!F$7="",NA(),IF($L4="Can$B",Details!F$7/1000,Details!F$7))</f>
        <v>#N/A</v>
      </c>
      <c r="G4" s="128" t="e">
        <f>IF(Details!G$7="",NA(),IF($L4="Can$B",Details!G$7/1000,Details!G$7))</f>
        <v>#N/A</v>
      </c>
      <c r="H4" s="128" t="e">
        <f>IF(Details!H$7="",NA(),IF($L4="Can$B",Details!H$7/1000,Details!H$7))</f>
        <v>#N/A</v>
      </c>
      <c r="I4" s="128" t="e">
        <f>IF(Details!I$7="",NA(),IF($L4="Can$B",Details!I$7/1000,Details!I$7))</f>
        <v>#N/A</v>
      </c>
      <c r="J4" s="128" t="e">
        <f>IF(Details!J$7="",NA(),IF($L4="Can$B",Details!J$7/1000,Details!J$7))</f>
        <v>#N/A</v>
      </c>
      <c r="K4" s="128" t="e">
        <f>IF(Details!K$7="",NA(),IF($L4="Can$B",Details!K$7/1000,Details!K$7))</f>
        <v>#N/A</v>
      </c>
      <c r="L4" s="116" t="str">
        <f>IFERROR(IF(N2&gt;=1000,"Can$B","Can$M"),"")</f>
        <v>Can$M</v>
      </c>
      <c r="M4" s="116" t="str">
        <f>IFERROR(IF(N2&gt;=1000,"G","M")&amp;"$"&amp;CHAR(160)&amp;"CA","")</f>
        <v>M$ CA</v>
      </c>
      <c r="N4" s="107"/>
      <c r="O4" s="107"/>
      <c r="P4" s="107"/>
      <c r="Q4" s="156" t="s">
        <v>210</v>
      </c>
      <c r="R4" s="157">
        <v>6</v>
      </c>
      <c r="S4" s="107"/>
      <c r="T4" s="107"/>
      <c r="U4" s="107"/>
      <c r="V4" s="107"/>
      <c r="W4" s="107"/>
      <c r="X4" s="107"/>
      <c r="Y4" s="107"/>
      <c r="Z4" s="107"/>
      <c r="AA4" s="107"/>
      <c r="AB4" s="107"/>
      <c r="AC4" s="107"/>
      <c r="AD4" s="107"/>
      <c r="AE4" s="107"/>
      <c r="AF4" s="107"/>
      <c r="AG4" s="107"/>
      <c r="AH4" s="107"/>
    </row>
    <row r="5" spans="1:34" ht="13" x14ac:dyDescent="0.25">
      <c r="A5" s="120" t="s">
        <v>34</v>
      </c>
      <c r="B5" s="128" t="e">
        <f>IF(Details!B$32="",NA(),IF($L5="Can$B",Details!B$32/1000,Details!B$32))</f>
        <v>#N/A</v>
      </c>
      <c r="C5" s="128" t="e">
        <f>IF(Details!C$32="",NA(),IF($L5="Can$B",Details!C$32/1000,Details!C$32))</f>
        <v>#N/A</v>
      </c>
      <c r="D5" s="128" t="e">
        <f>IF(Details!D$32="",NA(),IF($L5="Can$B",Details!D$32/1000,Details!D$32))</f>
        <v>#N/A</v>
      </c>
      <c r="E5" s="128" t="e">
        <f>IF(Details!E$32="",NA(),IF($L5="Can$B",Details!E$32/1000,Details!E$32))</f>
        <v>#N/A</v>
      </c>
      <c r="F5" s="128" t="e">
        <f>IF(Details!F$32="",NA(),IF($L5="Can$B",Details!F$32/1000,Details!F$32))</f>
        <v>#N/A</v>
      </c>
      <c r="G5" s="128" t="e">
        <f>IF(Details!G$32="",NA(),IF($L5="Can$B",Details!G$32/1000,Details!G$32))</f>
        <v>#N/A</v>
      </c>
      <c r="H5" s="128" t="e">
        <f>IF(Details!H$32="",NA(),IF($L5="Can$B",Details!H$32/1000,Details!H$32))</f>
        <v>#N/A</v>
      </c>
      <c r="I5" s="128" t="e">
        <f>IF(Details!I$32="",NA(),IF($L5="Can$B",Details!I$32/1000,Details!I$32))</f>
        <v>#N/A</v>
      </c>
      <c r="J5" s="128" t="e">
        <f>IF(Details!J$32="",NA(),IF($L5="Can$B",Details!J$32/1000,Details!J$32))</f>
        <v>#N/A</v>
      </c>
      <c r="K5" s="128" t="e">
        <f>IF(Details!K$32="",NA(),IF($L5="Can$B",Details!K$32/1000,Details!K$32))</f>
        <v>#N/A</v>
      </c>
      <c r="L5" s="116" t="str">
        <f>$L$4</f>
        <v>Can$M</v>
      </c>
      <c r="M5" s="116" t="str">
        <f>$M$4</f>
        <v>M$ CA</v>
      </c>
      <c r="N5" s="107"/>
      <c r="O5" s="107"/>
      <c r="P5" s="155"/>
      <c r="Q5" s="154" t="s">
        <v>209</v>
      </c>
      <c r="R5" s="158" t="e">
        <f>R4*K4</f>
        <v>#N/A</v>
      </c>
      <c r="S5" s="111"/>
      <c r="T5" s="107"/>
      <c r="U5" s="107"/>
      <c r="V5" s="107"/>
      <c r="W5" s="107"/>
      <c r="X5" s="107"/>
      <c r="Y5" s="107"/>
      <c r="Z5" s="107"/>
      <c r="AA5" s="107"/>
      <c r="AB5" s="107"/>
      <c r="AC5" s="107"/>
      <c r="AD5" s="107"/>
      <c r="AE5" s="107"/>
      <c r="AF5" s="107"/>
      <c r="AG5" s="107"/>
      <c r="AH5" s="107"/>
    </row>
    <row r="6" spans="1:34" ht="13" x14ac:dyDescent="0.25">
      <c r="A6" s="122" t="s">
        <v>36</v>
      </c>
      <c r="B6" s="129" t="e">
        <f>IF(Details!B$57="",NA(),IF($L6="Can$B",Details!B$57/1000,Details!B$57))</f>
        <v>#N/A</v>
      </c>
      <c r="C6" s="129" t="e">
        <f>IF(Details!C$57="",NA(),IF($L6="Can$B",Details!C$57/1000,Details!C$57))</f>
        <v>#N/A</v>
      </c>
      <c r="D6" s="129" t="e">
        <f>IF(Details!D$57="",NA(),IF($L6="Can$B",Details!D$57/1000,Details!D$57))</f>
        <v>#N/A</v>
      </c>
      <c r="E6" s="129" t="e">
        <f>IF(Details!E$57="",NA(),IF($L6="Can$B",Details!E$57/1000,Details!E$57))</f>
        <v>#N/A</v>
      </c>
      <c r="F6" s="129" t="e">
        <f>IF(Details!F$57="",NA(),IF($L6="Can$B",Details!F$57/1000,Details!F$57))</f>
        <v>#N/A</v>
      </c>
      <c r="G6" s="129" t="e">
        <f>IF(Details!G$57="",NA(),IF($L6="Can$B",Details!G$57/1000,Details!G$57))</f>
        <v>#N/A</v>
      </c>
      <c r="H6" s="129" t="e">
        <f>IF(Details!H$57="",NA(),IF($L6="Can$B",Details!H$57/1000,Details!H$57))</f>
        <v>#N/A</v>
      </c>
      <c r="I6" s="129" t="e">
        <f>IF(Details!I$57="",NA(),IF($L6="Can$B",Details!I$57/1000,Details!I$57))</f>
        <v>#N/A</v>
      </c>
      <c r="J6" s="129" t="e">
        <f>IF(Details!J$57="",NA(),IF($L6="Can$B",Details!J$57/1000,Details!J$57))</f>
        <v>#N/A</v>
      </c>
      <c r="K6" s="129" t="e">
        <f>IF(Details!K$57="",NA(),IF($L6="Can$B",Details!K$57/1000,Details!K$57))</f>
        <v>#N/A</v>
      </c>
      <c r="L6" s="117" t="str">
        <f>IFERROR(IF(MAX(Details!$B$57:$K$57)&gt;=1000,"Can$B","Can$M"),"")</f>
        <v>Can$M</v>
      </c>
      <c r="M6" s="117" t="str">
        <f>IFERROR(IF(MAX(Details!$B$57:$K$57)&gt;=1000,"G","M")&amp;"$"&amp;CHAR(160)&amp;"CA","")</f>
        <v>M$ CA</v>
      </c>
      <c r="N6" s="107"/>
      <c r="O6" s="107"/>
      <c r="P6" s="107"/>
      <c r="Q6" s="106"/>
      <c r="R6" s="106"/>
      <c r="S6" s="107"/>
      <c r="T6" s="107"/>
      <c r="U6" s="107"/>
      <c r="V6" s="107"/>
      <c r="W6" s="107"/>
      <c r="X6" s="107"/>
      <c r="Y6" s="107"/>
      <c r="Z6" s="107"/>
      <c r="AA6" s="107"/>
      <c r="AB6" s="107"/>
      <c r="AC6" s="107"/>
      <c r="AD6" s="107"/>
      <c r="AE6" s="107"/>
      <c r="AF6" s="107"/>
      <c r="AG6" s="107"/>
      <c r="AH6" s="107"/>
    </row>
    <row r="7" spans="1:34" x14ac:dyDescent="0.25">
      <c r="A7" s="106"/>
      <c r="B7" s="106"/>
      <c r="C7" s="106"/>
      <c r="D7" s="106"/>
      <c r="E7" s="106"/>
      <c r="F7" s="106"/>
      <c r="G7" s="106"/>
      <c r="H7" s="106"/>
      <c r="I7" s="106"/>
      <c r="J7" s="106"/>
      <c r="K7" s="106"/>
      <c r="L7" s="106"/>
      <c r="M7" s="107"/>
      <c r="N7" s="107"/>
      <c r="O7" s="107"/>
      <c r="P7" s="107"/>
      <c r="Q7" s="107"/>
      <c r="R7" s="107"/>
      <c r="S7" s="107"/>
      <c r="T7" s="107"/>
      <c r="U7" s="107"/>
      <c r="V7" s="107"/>
      <c r="W7" s="107"/>
      <c r="X7" s="107"/>
      <c r="Y7" s="107"/>
      <c r="Z7" s="107"/>
      <c r="AA7" s="107"/>
      <c r="AB7" s="107"/>
      <c r="AC7" s="107"/>
      <c r="AD7" s="107"/>
      <c r="AE7" s="107"/>
      <c r="AF7" s="107"/>
      <c r="AG7" s="107"/>
      <c r="AH7" s="107"/>
    </row>
    <row r="8" spans="1:34" x14ac:dyDescent="0.25">
      <c r="A8" s="107"/>
      <c r="B8" s="107"/>
      <c r="C8" s="107"/>
      <c r="D8" s="107"/>
      <c r="E8" s="107"/>
      <c r="F8" s="107"/>
      <c r="G8" s="107"/>
      <c r="H8" s="107"/>
      <c r="I8" s="107"/>
      <c r="J8" s="107"/>
      <c r="K8" s="107"/>
      <c r="L8" s="107"/>
      <c r="M8" s="107"/>
      <c r="N8" s="107"/>
      <c r="O8" s="107"/>
      <c r="P8" s="107"/>
      <c r="Q8" s="107"/>
      <c r="R8" s="107"/>
      <c r="S8" s="107"/>
      <c r="T8" s="107"/>
      <c r="U8" s="107"/>
      <c r="V8" s="107"/>
      <c r="W8" s="107"/>
      <c r="X8" s="107"/>
      <c r="Y8" s="107"/>
      <c r="Z8" s="107"/>
      <c r="AA8" s="107"/>
      <c r="AB8" s="107"/>
      <c r="AC8" s="107"/>
      <c r="AD8" s="107"/>
      <c r="AE8" s="107"/>
      <c r="AF8" s="107"/>
      <c r="AG8" s="107"/>
      <c r="AH8" s="107"/>
    </row>
    <row r="9" spans="1:34" x14ac:dyDescent="0.25">
      <c r="A9" s="107"/>
      <c r="B9" s="107"/>
      <c r="C9" s="107"/>
      <c r="D9" s="107"/>
      <c r="E9" s="107"/>
      <c r="F9" s="107"/>
      <c r="G9" s="107"/>
      <c r="H9" s="107"/>
      <c r="I9" s="107"/>
      <c r="J9" s="107"/>
      <c r="K9" s="107"/>
      <c r="L9" s="107"/>
      <c r="M9" s="107"/>
      <c r="N9" s="107"/>
      <c r="O9" s="107"/>
      <c r="P9" s="107"/>
      <c r="Q9" s="107"/>
      <c r="R9" s="107"/>
      <c r="S9" s="107"/>
      <c r="T9" s="107"/>
      <c r="U9" s="107"/>
      <c r="V9" s="107"/>
      <c r="W9" s="107"/>
      <c r="X9" s="107"/>
      <c r="Y9" s="107"/>
      <c r="Z9" s="107"/>
      <c r="AA9" s="107"/>
      <c r="AB9" s="107"/>
      <c r="AC9" s="107"/>
      <c r="AD9" s="107"/>
      <c r="AE9" s="107"/>
      <c r="AF9" s="107"/>
      <c r="AG9" s="107"/>
      <c r="AH9" s="107"/>
    </row>
    <row r="10" spans="1:34" x14ac:dyDescent="0.25">
      <c r="A10" s="107"/>
      <c r="B10" s="107"/>
      <c r="C10" s="107"/>
      <c r="D10" s="107"/>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c r="AD10" s="107"/>
      <c r="AE10" s="107"/>
      <c r="AF10" s="107"/>
      <c r="AG10" s="107"/>
      <c r="AH10" s="107"/>
    </row>
    <row r="11" spans="1:34" x14ac:dyDescent="0.25">
      <c r="A11" s="107"/>
      <c r="B11" s="107"/>
      <c r="C11" s="107"/>
      <c r="D11" s="107"/>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row>
    <row r="12" spans="1:34" x14ac:dyDescent="0.25">
      <c r="A12" s="107" t="e">
        <f>"Chart 1: Direct Investment between Canada and "&amp;LOWER(prefix)&amp;country&amp;", "&amp;L4</f>
        <v>#N/A</v>
      </c>
      <c r="B12" s="107"/>
      <c r="C12" s="107"/>
      <c r="D12" s="107"/>
      <c r="E12" s="107"/>
      <c r="F12" s="107"/>
      <c r="G12" s="107"/>
      <c r="H12" s="107" t="e">
        <f>"Chart 2: Canadian Direct Investment stock in "&amp;LOWER(prefix)&amp;country&amp;", "&amp;L6</f>
        <v>#N/A</v>
      </c>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row>
    <row r="13" spans="1:34" x14ac:dyDescent="0.25">
      <c r="A13" s="107" t="e">
        <f>"Figure 1"&amp;CHAR(160)&amp;": Investissement direct entre le Canada et "&amp;LOWER(prefixFr)&amp;countryFr&amp;" "&amp;M5</f>
        <v>#N/A</v>
      </c>
      <c r="B13" s="107"/>
      <c r="C13" s="107"/>
      <c r="D13" s="107"/>
      <c r="E13" s="107"/>
      <c r="F13" s="107"/>
      <c r="G13" s="107"/>
      <c r="H13" s="107" t="e">
        <f>"Figure 2"&amp;CHAR(160)&amp;": Investissement direct du Canada avec "&amp;LOWER(prefixFr)&amp;countryFr&amp;" "&amp;M5</f>
        <v>#N/A</v>
      </c>
      <c r="I13" s="107"/>
      <c r="J13" s="107"/>
      <c r="K13" s="107"/>
      <c r="L13" s="107"/>
      <c r="M13" s="107"/>
      <c r="N13" s="107"/>
      <c r="O13" s="107"/>
      <c r="P13" s="107"/>
      <c r="Q13" s="107"/>
      <c r="R13" s="107"/>
      <c r="S13" s="107"/>
      <c r="T13" s="107"/>
      <c r="U13" s="107"/>
      <c r="V13" s="107"/>
      <c r="W13" s="107"/>
      <c r="X13" s="107"/>
      <c r="Y13" s="107"/>
      <c r="Z13" s="107"/>
      <c r="AA13" s="107"/>
      <c r="AB13" s="107"/>
      <c r="AC13" s="107"/>
      <c r="AD13" s="107"/>
      <c r="AE13" s="107"/>
      <c r="AF13" s="107"/>
      <c r="AG13" s="107"/>
      <c r="AH13" s="107"/>
    </row>
    <row r="14" spans="1:34" x14ac:dyDescent="0.25">
      <c r="A14" s="107"/>
      <c r="B14" s="107"/>
      <c r="C14" s="107"/>
      <c r="D14" s="107"/>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row>
    <row r="15" spans="1:34" x14ac:dyDescent="0.25">
      <c r="A15" s="107"/>
      <c r="B15" s="107"/>
      <c r="C15" s="107"/>
      <c r="D15" s="107"/>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c r="AD15" s="107"/>
      <c r="AE15" s="107"/>
      <c r="AF15" s="107"/>
      <c r="AG15" s="107"/>
      <c r="AH15" s="107"/>
    </row>
    <row r="16" spans="1:34" x14ac:dyDescent="0.25">
      <c r="A16" s="107"/>
      <c r="B16" s="107"/>
      <c r="C16" s="107"/>
      <c r="D16" s="107"/>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row>
    <row r="17" spans="1:34" x14ac:dyDescent="0.25">
      <c r="A17" s="107"/>
      <c r="B17" s="107"/>
      <c r="C17" s="107"/>
      <c r="D17" s="107"/>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row>
    <row r="18" spans="1:34" x14ac:dyDescent="0.25">
      <c r="A18" s="107"/>
      <c r="B18" s="107"/>
      <c r="C18" s="107"/>
      <c r="D18" s="107"/>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row>
    <row r="19" spans="1:34" x14ac:dyDescent="0.25">
      <c r="A19" s="107"/>
      <c r="B19" s="107"/>
      <c r="C19" s="107"/>
      <c r="D19" s="107"/>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c r="AD19" s="107"/>
      <c r="AE19" s="107"/>
      <c r="AF19" s="107"/>
      <c r="AG19" s="107"/>
      <c r="AH19" s="107"/>
    </row>
    <row r="20" spans="1:34" x14ac:dyDescent="0.25">
      <c r="A20" s="107"/>
      <c r="B20" s="107"/>
      <c r="C20" s="107"/>
      <c r="D20" s="107"/>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row>
    <row r="21" spans="1:34" x14ac:dyDescent="0.25">
      <c r="A21" s="107"/>
      <c r="B21" s="107"/>
      <c r="C21" s="107"/>
      <c r="D21" s="107"/>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c r="AD21" s="107"/>
      <c r="AE21" s="107"/>
      <c r="AF21" s="107"/>
      <c r="AG21" s="107"/>
      <c r="AH21" s="107"/>
    </row>
    <row r="22" spans="1:34" x14ac:dyDescent="0.25">
      <c r="A22" s="107"/>
      <c r="B22" s="107"/>
      <c r="C22" s="107"/>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row>
    <row r="23" spans="1:34" x14ac:dyDescent="0.25">
      <c r="A23" s="107"/>
      <c r="B23" s="107"/>
      <c r="C23" s="107"/>
      <c r="D23" s="107"/>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c r="AD23" s="107"/>
      <c r="AE23" s="107"/>
      <c r="AF23" s="107"/>
      <c r="AG23" s="107"/>
      <c r="AH23" s="107"/>
    </row>
    <row r="24" spans="1:34" x14ac:dyDescent="0.25">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row>
    <row r="25" spans="1:34" x14ac:dyDescent="0.25">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c r="AD25" s="107"/>
      <c r="AE25" s="107"/>
      <c r="AF25" s="107"/>
      <c r="AG25" s="107"/>
      <c r="AH25" s="107"/>
    </row>
    <row r="26" spans="1:34" x14ac:dyDescent="0.25">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row>
    <row r="27" spans="1:34" x14ac:dyDescent="0.25">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c r="AD27" s="107"/>
      <c r="AE27" s="107"/>
      <c r="AF27" s="107"/>
      <c r="AG27" s="107"/>
      <c r="AH27" s="107"/>
    </row>
    <row r="28" spans="1:34" x14ac:dyDescent="0.25">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row>
    <row r="29" spans="1:34" x14ac:dyDescent="0.25">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row>
    <row r="30" spans="1:34" x14ac:dyDescent="0.25">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row>
    <row r="31" spans="1:34" x14ac:dyDescent="0.25">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row>
    <row r="32" spans="1:34" x14ac:dyDescent="0.25">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row>
    <row r="33" spans="1:34" x14ac:dyDescent="0.25">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row>
    <row r="34" spans="1:34" x14ac:dyDescent="0.25">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row>
    <row r="35" spans="1:34" x14ac:dyDescent="0.25">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row>
    <row r="36" spans="1:34" x14ac:dyDescent="0.25">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row>
    <row r="37" spans="1:34" x14ac:dyDescent="0.25">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row>
    <row r="38" spans="1:34" x14ac:dyDescent="0.25">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row>
    <row r="39" spans="1:34" x14ac:dyDescent="0.25">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row>
    <row r="40" spans="1:34" x14ac:dyDescent="0.25">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row>
    <row r="41" spans="1:34" x14ac:dyDescent="0.25">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row>
    <row r="42" spans="1:34" x14ac:dyDescent="0.25">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row>
    <row r="43" spans="1:34" x14ac:dyDescent="0.25">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row>
    <row r="44" spans="1:34" x14ac:dyDescent="0.25">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row>
    <row r="45" spans="1:34" x14ac:dyDescent="0.25">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row>
    <row r="46" spans="1:34" x14ac:dyDescent="0.25">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row>
    <row r="47" spans="1:34" x14ac:dyDescent="0.25">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row>
    <row r="48" spans="1:34" x14ac:dyDescent="0.25">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row>
    <row r="49" spans="1:34" x14ac:dyDescent="0.25">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row>
    <row r="50" spans="1:34" x14ac:dyDescent="0.25">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C48"/>
  <sheetViews>
    <sheetView showGridLines="0" zoomScaleNormal="100" workbookViewId="0">
      <selection activeCell="A5" sqref="A5"/>
    </sheetView>
  </sheetViews>
  <sheetFormatPr defaultColWidth="8.6328125" defaultRowHeight="14.5" x14ac:dyDescent="0.35"/>
  <cols>
    <col min="1" max="2" width="50" style="52" customWidth="1"/>
    <col min="3" max="3" width="30.6328125" style="52" customWidth="1"/>
    <col min="4" max="5" width="17.36328125" style="52" customWidth="1"/>
    <col min="6" max="6" width="39.36328125" style="52" customWidth="1"/>
    <col min="7" max="7" width="25.36328125" style="52" customWidth="1"/>
    <col min="8" max="8" width="10.08984375" style="52" customWidth="1"/>
    <col min="9" max="9" width="8.6328125" style="52"/>
    <col min="10" max="15" width="12" style="52" customWidth="1"/>
    <col min="16" max="17" width="8.6328125" style="52"/>
    <col min="18" max="18" width="19.1796875" style="52" customWidth="1"/>
    <col min="19" max="16384" width="8.6328125" style="52"/>
  </cols>
  <sheetData>
    <row r="1" spans="1:29" x14ac:dyDescent="0.35">
      <c r="A1" s="52" t="e">
        <f>maxyearIndustry</f>
        <v>#N/A</v>
      </c>
    </row>
    <row r="3" spans="1:29" x14ac:dyDescent="0.35">
      <c r="A3" s="53" t="s">
        <v>112</v>
      </c>
      <c r="B3" s="165" t="s">
        <v>195</v>
      </c>
      <c r="C3" s="53" t="s">
        <v>110</v>
      </c>
      <c r="D3" s="53" t="s">
        <v>113</v>
      </c>
      <c r="E3" s="53" t="s">
        <v>114</v>
      </c>
      <c r="F3" s="53" t="s">
        <v>111</v>
      </c>
      <c r="G3" s="53" t="s">
        <v>115</v>
      </c>
      <c r="H3" s="53" t="s">
        <v>116</v>
      </c>
    </row>
    <row r="4" spans="1:29" ht="29" x14ac:dyDescent="0.45">
      <c r="A4" s="54" t="s">
        <v>39</v>
      </c>
      <c r="B4" s="54"/>
      <c r="C4" s="54" t="s">
        <v>40</v>
      </c>
      <c r="D4" s="54" t="s">
        <v>38</v>
      </c>
      <c r="E4" s="55" t="s">
        <v>105</v>
      </c>
      <c r="F4" s="55" t="s">
        <v>41</v>
      </c>
      <c r="G4" s="55" t="s">
        <v>38</v>
      </c>
      <c r="H4" s="56" t="s">
        <v>105</v>
      </c>
      <c r="J4" s="65" t="s">
        <v>283</v>
      </c>
      <c r="N4" s="11" t="s">
        <v>245</v>
      </c>
      <c r="O4" s="133">
        <v>0.75</v>
      </c>
    </row>
    <row r="5" spans="1:29" ht="14" customHeight="1" x14ac:dyDescent="0.35">
      <c r="A5" s="164" t="s">
        <v>42</v>
      </c>
      <c r="B5" s="173" t="s">
        <v>286</v>
      </c>
      <c r="C5" s="57" t="e">
        <f t="shared" ref="C5:C20" si="0">INDEX(industry,MATCH($A$1&amp;$A5&amp;country&amp;C$4,industry_row,0),MATCH("VALUE", industry_col,0))</f>
        <v>#N/A</v>
      </c>
      <c r="D5" s="58"/>
      <c r="E5" s="58"/>
      <c r="F5" s="57" t="e">
        <f t="shared" ref="F5:F20" si="1">INDEX(industry,MATCH($A$1&amp;$A5&amp;country&amp;F$4,industry_row,0),MATCH("VALUE", industry_col,0))</f>
        <v>#N/A</v>
      </c>
      <c r="G5" s="58"/>
      <c r="H5" s="58"/>
      <c r="J5" s="53" t="s">
        <v>110</v>
      </c>
    </row>
    <row r="6" spans="1:29" ht="13.75" customHeight="1" x14ac:dyDescent="0.35">
      <c r="A6" s="164" t="s">
        <v>43</v>
      </c>
      <c r="B6" s="164" t="s">
        <v>317</v>
      </c>
      <c r="C6" s="57" t="e">
        <f t="shared" si="0"/>
        <v>#N/A</v>
      </c>
      <c r="D6" s="59" t="e">
        <f>C6/C$5</f>
        <v>#N/A</v>
      </c>
      <c r="E6" s="57" t="e">
        <f>_xlfn.RANK.EQ($C6,$C$6:$C$20)</f>
        <v>#N/A</v>
      </c>
      <c r="F6" s="57" t="e">
        <f t="shared" si="1"/>
        <v>#N/A</v>
      </c>
      <c r="G6" s="59" t="e">
        <f>F6/F$5</f>
        <v>#N/A</v>
      </c>
      <c r="H6" s="58" t="e">
        <f>_xlfn.RANK.EQ($F6,$F$6:$F$20)</f>
        <v>#N/A</v>
      </c>
      <c r="J6" s="55" t="s">
        <v>105</v>
      </c>
      <c r="K6" s="55" t="s">
        <v>107</v>
      </c>
      <c r="L6" s="55" t="s">
        <v>106</v>
      </c>
      <c r="M6" s="55" t="s">
        <v>381</v>
      </c>
      <c r="N6" s="55" t="s">
        <v>104</v>
      </c>
      <c r="O6" s="55" t="s">
        <v>161</v>
      </c>
      <c r="P6" s="43"/>
      <c r="R6" s="39" t="s">
        <v>37</v>
      </c>
      <c r="U6" s="44"/>
    </row>
    <row r="7" spans="1:29" ht="14.5" customHeight="1" x14ac:dyDescent="0.35">
      <c r="A7" s="164" t="s">
        <v>44</v>
      </c>
      <c r="B7" s="164" t="s">
        <v>314</v>
      </c>
      <c r="C7" s="57" t="e">
        <f t="shared" si="0"/>
        <v>#N/A</v>
      </c>
      <c r="D7" s="59" t="e">
        <f t="shared" ref="D7:D20" si="2">C7/C$5</f>
        <v>#N/A</v>
      </c>
      <c r="E7" s="57" t="e">
        <f t="shared" ref="E7:E20" si="3">_xlfn.RANK.EQ($C7,$C$6:$C$20)</f>
        <v>#N/A</v>
      </c>
      <c r="F7" s="57" t="e">
        <f t="shared" si="1"/>
        <v>#N/A</v>
      </c>
      <c r="G7" s="59" t="e">
        <f t="shared" ref="G7:G20" si="4">F7/F$5</f>
        <v>#N/A</v>
      </c>
      <c r="H7" s="58" t="e">
        <f t="shared" ref="H7:H20" si="5">_xlfn.RANK.EQ($F7,$F$6:$F$20)</f>
        <v>#N/A</v>
      </c>
      <c r="J7" s="38">
        <v>1</v>
      </c>
      <c r="K7" s="39" t="e">
        <f>LOWER(LEFT(INDEX($A$3:$H$20,MATCH($J7,$E$3:$E$20,0),MATCH($A$3, $A$3:$H$3,0)), SEARCH("[",INDEX($A$3:$H$20,MATCH($J7,$E$3:$E$20,0),MATCH($A$3, $A$3:$H$3,0)))-2))</f>
        <v>#N/A</v>
      </c>
      <c r="L7" s="39" t="e">
        <f>INDEX($A$3:$H$20,MATCH($J7,$E$3:$E$20,0),MATCH("FDI", $A$3:$H$3,0))</f>
        <v>#N/A</v>
      </c>
      <c r="M7" s="60" t="str">
        <f>IF(COUNT(J7:J9)&gt;1,"1)"&amp;CHAR(160),"")</f>
        <v/>
      </c>
      <c r="N7" s="61" t="e">
        <f>INDEX($A$3:$H$20,MATCH($J7,$E$3:$E$20,0),MATCH("FDI Share", $A$3:$H$3,0))</f>
        <v>#N/A</v>
      </c>
      <c r="O7" s="39" t="str">
        <f>IF(COUNT(J7:J9)=1,"",", or "&amp;RNDP($N7))</f>
        <v/>
      </c>
      <c r="P7" s="39" t="e">
        <f>IF($J7="","",RNDP($N7,0,1)/100)</f>
        <v>#VALUE!</v>
      </c>
      <c r="R7" s="39" t="str">
        <f>IFERROR(" ("&amp;RND($L7)&amp;O7&amp;")","")</f>
        <v/>
      </c>
      <c r="S7" s="39" t="e">
        <f>IF(OR($J7="",$K8=""),"",", "&amp;IF(K9="","and ",""))</f>
        <v>#N/A</v>
      </c>
      <c r="U7" s="235" t="str">
        <f>IFERROR(Q10&amp;O10&amp;" of "&amp;adjective&amp;" FDI in Canada is concentrated in "&amp;J10&amp;M7&amp;$K7&amp;$R7&amp;S7&amp;M8&amp;$K8&amp;$R8&amp;S8&amp;M9&amp;K9&amp;R9&amp;S9&amp;".","")</f>
        <v/>
      </c>
      <c r="V7" s="236"/>
      <c r="W7" s="236"/>
      <c r="X7" s="236"/>
      <c r="Y7" s="236"/>
      <c r="Z7" s="236"/>
      <c r="AA7" s="236"/>
      <c r="AB7" s="236"/>
      <c r="AC7" s="237"/>
    </row>
    <row r="8" spans="1:29" x14ac:dyDescent="0.35">
      <c r="A8" s="164" t="s">
        <v>48</v>
      </c>
      <c r="B8" s="164" t="s">
        <v>318</v>
      </c>
      <c r="C8" s="57" t="e">
        <f t="shared" si="0"/>
        <v>#N/A</v>
      </c>
      <c r="D8" s="59" t="e">
        <f t="shared" si="2"/>
        <v>#N/A</v>
      </c>
      <c r="E8" s="57" t="e">
        <f t="shared" si="3"/>
        <v>#N/A</v>
      </c>
      <c r="F8" s="57" t="e">
        <f t="shared" si="1"/>
        <v>#N/A</v>
      </c>
      <c r="G8" s="59" t="e">
        <f t="shared" si="4"/>
        <v>#N/A</v>
      </c>
      <c r="H8" s="58" t="e">
        <f t="shared" si="5"/>
        <v>#N/A</v>
      </c>
      <c r="J8" s="38" t="e">
        <f>IF(N7&lt;$O$4,2,"")</f>
        <v>#N/A</v>
      </c>
      <c r="K8" s="39" t="e">
        <f>IF($J8="","",LOWER(LEFT(INDEX($A$3:$H$20,MATCH($J8,$E$3:$E$20,0),MATCH($A$3, $A$3:$H$3,0)), SEARCH("[",INDEX($A$3:$H$20,MATCH($J8,$E$3:$E$20,0),MATCH($A$3, $A$3:$H$3,0)))-2)))</f>
        <v>#N/A</v>
      </c>
      <c r="L8" s="39" t="e">
        <f>IF($J8="","",INDEX($A$3:$H$20,MATCH($J8,$E$3:$E$20,0),MATCH("FDI", $A$3:$H$3,0)))</f>
        <v>#N/A</v>
      </c>
      <c r="M8" s="60" t="e">
        <f>IF($J8="","",IF(COUNT(J7:J9)&gt;1,"2)"&amp;CHAR(160),""))</f>
        <v>#N/A</v>
      </c>
      <c r="N8" s="61" t="e">
        <f>IF($J8="","",INDEX($A$3:$H$20,MATCH($J8,$E$3:$E$20,0),MATCH("FDI Share", $A$3:$H$3,0)))</f>
        <v>#N/A</v>
      </c>
      <c r="O8" s="39" t="e">
        <f>IF($J8="","",", or "&amp;RNDP($N8))</f>
        <v>#N/A</v>
      </c>
      <c r="P8" s="39" t="e">
        <f t="shared" ref="P8:P10" si="6">IF($J8="","",RNDP($N8,0,1)/100)</f>
        <v>#N/A</v>
      </c>
      <c r="R8" s="39" t="str">
        <f>IFERROR(" ("&amp;RND($L8)&amp;O8&amp;")","")</f>
        <v/>
      </c>
      <c r="S8" s="39" t="e">
        <f t="shared" ref="S8" si="7">IF(OR($J8="",$K9=""),"",", "&amp;IF(K10="","and ",""))</f>
        <v>#N/A</v>
      </c>
      <c r="U8" s="241"/>
      <c r="V8" s="242"/>
      <c r="W8" s="242"/>
      <c r="X8" s="242"/>
      <c r="Y8" s="242"/>
      <c r="Z8" s="242"/>
      <c r="AA8" s="242"/>
      <c r="AB8" s="242"/>
      <c r="AC8" s="243"/>
    </row>
    <row r="9" spans="1:29" x14ac:dyDescent="0.35">
      <c r="A9" s="164" t="s">
        <v>49</v>
      </c>
      <c r="B9" s="173" t="s">
        <v>319</v>
      </c>
      <c r="C9" s="57" t="e">
        <f t="shared" si="0"/>
        <v>#N/A</v>
      </c>
      <c r="D9" s="59" t="e">
        <f t="shared" si="2"/>
        <v>#N/A</v>
      </c>
      <c r="E9" s="57" t="e">
        <f t="shared" si="3"/>
        <v>#N/A</v>
      </c>
      <c r="F9" s="57" t="e">
        <f t="shared" si="1"/>
        <v>#N/A</v>
      </c>
      <c r="G9" s="59" t="e">
        <f t="shared" si="4"/>
        <v>#N/A</v>
      </c>
      <c r="H9" s="58" t="e">
        <f t="shared" si="5"/>
        <v>#N/A</v>
      </c>
      <c r="J9" s="38" t="e">
        <f>IF(J8="","",IF(N7+N8&lt;$O$4,3,""))</f>
        <v>#N/A</v>
      </c>
      <c r="K9" s="39" t="e">
        <f>IF($J9="","",LOWER(LEFT(INDEX($A$3:$H$20,MATCH($J9,$E$3:$E$20,0),MATCH($A$3, $A$3:$H$3,0)), SEARCH("[",INDEX($A$3:$H$20,MATCH($J9,$E$3:$E$20,0),MATCH($A$3, $A$3:$H$3,0)))-2)))</f>
        <v>#N/A</v>
      </c>
      <c r="L9" s="39" t="e">
        <f>IF($J9="","",INDEX($A$3:$H$20,MATCH($J9,$E$3:$E$20,0),MATCH("FDI", $A$3:$H$3,0)))</f>
        <v>#N/A</v>
      </c>
      <c r="M9" s="60" t="e">
        <f>IF($J9="","",IF(COUNT(J7:J9)&gt;1,"3)"&amp;CHAR(160),""))</f>
        <v>#N/A</v>
      </c>
      <c r="N9" s="61" t="e">
        <f>IF($J9="","",INDEX($A$3:$H$20,MATCH($J9,$E$3:$E$20,0),MATCH("FDI Share", $A$3:$H$3,0)))</f>
        <v>#N/A</v>
      </c>
      <c r="O9" s="39" t="e">
        <f>IF($J9="","",", or "&amp;RNDP($N9))</f>
        <v>#N/A</v>
      </c>
      <c r="P9" s="39" t="e">
        <f t="shared" si="6"/>
        <v>#N/A</v>
      </c>
      <c r="R9" s="39" t="str">
        <f>IFERROR(" ("&amp;RND($L9)&amp;O9&amp;")","")</f>
        <v/>
      </c>
      <c r="S9" s="46"/>
      <c r="U9" s="241"/>
      <c r="V9" s="242"/>
      <c r="W9" s="242"/>
      <c r="X9" s="242"/>
      <c r="Y9" s="242"/>
      <c r="Z9" s="242"/>
      <c r="AA9" s="242"/>
      <c r="AB9" s="242"/>
      <c r="AC9" s="243"/>
    </row>
    <row r="10" spans="1:29" x14ac:dyDescent="0.35">
      <c r="A10" s="164" t="s">
        <v>50</v>
      </c>
      <c r="B10" s="173" t="s">
        <v>312</v>
      </c>
      <c r="C10" s="57" t="e">
        <f t="shared" si="0"/>
        <v>#N/A</v>
      </c>
      <c r="D10" s="59" t="e">
        <f t="shared" si="2"/>
        <v>#N/A</v>
      </c>
      <c r="E10" s="57" t="e">
        <f t="shared" si="3"/>
        <v>#N/A</v>
      </c>
      <c r="F10" s="57" t="e">
        <f t="shared" si="1"/>
        <v>#N/A</v>
      </c>
      <c r="G10" s="59" t="e">
        <f t="shared" si="4"/>
        <v>#N/A</v>
      </c>
      <c r="H10" s="58" t="e">
        <f t="shared" si="5"/>
        <v>#N/A</v>
      </c>
      <c r="J10" s="63" t="str">
        <f>CHOOSE(COUNT(J7:J9),"one sector","two sectors","three sectors")&amp;": "</f>
        <v xml:space="preserve">one sector: </v>
      </c>
      <c r="K10" s="39"/>
      <c r="L10" s="60" t="e">
        <f>SUM($L7:$L9)</f>
        <v>#N/A</v>
      </c>
      <c r="M10" s="60"/>
      <c r="N10" s="61" t="e">
        <f>SUM($N7:$N9)</f>
        <v>#N/A</v>
      </c>
      <c r="O10" s="39" t="e">
        <f>IF(OR($N10*100&gt;=10,$N10*100&lt;=-10),ROUND($N10*100,0),TEXT(ROUND($N10*100,1),"#,##0.0"))&amp;"%"</f>
        <v>#N/A</v>
      </c>
      <c r="P10" s="39" t="e">
        <f t="shared" si="6"/>
        <v>#VALUE!</v>
      </c>
      <c r="Q10" s="39" t="e">
        <f>IF($N10&gt;$P10,"Over ",IF($N10&lt;$P10,"Almost ",""))</f>
        <v>#N/A</v>
      </c>
      <c r="R10" s="39" t="str">
        <f>IFERROR("("&amp;RND($L10)&amp;")","")</f>
        <v/>
      </c>
      <c r="S10" s="46"/>
      <c r="U10" s="241"/>
      <c r="V10" s="242"/>
      <c r="W10" s="242"/>
      <c r="X10" s="242"/>
      <c r="Y10" s="242"/>
      <c r="Z10" s="242"/>
      <c r="AA10" s="242"/>
      <c r="AB10" s="242"/>
      <c r="AC10" s="243"/>
    </row>
    <row r="11" spans="1:29" x14ac:dyDescent="0.35">
      <c r="A11" s="164" t="s">
        <v>72</v>
      </c>
      <c r="B11" s="164" t="s">
        <v>315</v>
      </c>
      <c r="C11" s="57" t="e">
        <f t="shared" si="0"/>
        <v>#N/A</v>
      </c>
      <c r="D11" s="59" t="e">
        <f t="shared" si="2"/>
        <v>#N/A</v>
      </c>
      <c r="E11" s="57" t="e">
        <f t="shared" si="3"/>
        <v>#N/A</v>
      </c>
      <c r="F11" s="57" t="e">
        <f t="shared" si="1"/>
        <v>#N/A</v>
      </c>
      <c r="G11" s="59" t="e">
        <f t="shared" si="4"/>
        <v>#N/A</v>
      </c>
      <c r="H11" s="58" t="e">
        <f t="shared" si="5"/>
        <v>#N/A</v>
      </c>
      <c r="J11" s="64" t="s">
        <v>109</v>
      </c>
      <c r="K11" s="39" t="str">
        <f>IFERROR(LOWER(LEFT(INDEX($A$3:$H$20,MATCH(MAX($E$6:$E$20),$E$3:$E$20,0),MATCH($A$3, $A$3:$H$3,0)), SEARCH("[",INDEX($A$3:$H$20,MATCH(MAX($E$6:$E$20),$E$3:$E$20,0),MATCH($A$3, $A$3:$H$3,0)))-2)),"all other industries")</f>
        <v>all other industries</v>
      </c>
      <c r="L11" s="60" t="e">
        <f>INDEX($A$3:$H$20,MATCH(MAX($E$6:$E$20),$E$3:$E$20,0),MATCH("FDI", $A$3:$H$3,0))</f>
        <v>#N/A</v>
      </c>
      <c r="M11" s="60"/>
      <c r="N11" s="61" t="e">
        <f>INDEX($A$3:$H$20,MATCH(MAX($E$6:$E$20),$E$3:$E$20,0),MATCH("FDI Share", $A$3:$H$3,0))</f>
        <v>#N/A</v>
      </c>
      <c r="O11" s="39" t="e">
        <f>IF(OR($N11*100&gt;=10,$N11*100&lt;=-10),ROUND($N11*100,0),TEXT(ROUND($N11*100,1),"#,##0.0"))&amp;"%"</f>
        <v>#N/A</v>
      </c>
      <c r="R11" s="39" t="str">
        <f>IFERROR(RND($L11),"")</f>
        <v/>
      </c>
      <c r="S11" s="46"/>
      <c r="U11" s="241"/>
      <c r="V11" s="242"/>
      <c r="W11" s="242"/>
      <c r="X11" s="242"/>
      <c r="Y11" s="242"/>
      <c r="Z11" s="242"/>
      <c r="AA11" s="242"/>
      <c r="AB11" s="242"/>
      <c r="AC11" s="243"/>
    </row>
    <row r="12" spans="1:29" x14ac:dyDescent="0.35">
      <c r="A12" s="164" t="s">
        <v>73</v>
      </c>
      <c r="B12" s="164" t="s">
        <v>316</v>
      </c>
      <c r="C12" s="57" t="e">
        <f t="shared" si="0"/>
        <v>#N/A</v>
      </c>
      <c r="D12" s="59" t="e">
        <f t="shared" si="2"/>
        <v>#N/A</v>
      </c>
      <c r="E12" s="57" t="e">
        <f t="shared" si="3"/>
        <v>#N/A</v>
      </c>
      <c r="F12" s="57" t="e">
        <f t="shared" si="1"/>
        <v>#N/A</v>
      </c>
      <c r="G12" s="59" t="e">
        <f t="shared" si="4"/>
        <v>#N/A</v>
      </c>
      <c r="H12" s="58" t="e">
        <f t="shared" si="5"/>
        <v>#N/A</v>
      </c>
      <c r="U12" s="235" t="str">
        <f>IFERROR(IF($N10&gt;1,CHOOSE(COUNT(J7:J9)," This value"," The sum of these two values"," The sum of these three values")&amp;" is higher than the total FDI stock value mainly due to the negative stock value for "&amp;$K11&amp;" ("&amp;$R11&amp;").",""),"")</f>
        <v/>
      </c>
      <c r="V12" s="236"/>
      <c r="W12" s="236"/>
      <c r="X12" s="236"/>
      <c r="Y12" s="236"/>
      <c r="Z12" s="236"/>
      <c r="AA12" s="236"/>
      <c r="AB12" s="236"/>
      <c r="AC12" s="237"/>
    </row>
    <row r="13" spans="1:29" x14ac:dyDescent="0.35">
      <c r="A13" s="164" t="s">
        <v>74</v>
      </c>
      <c r="B13" s="164" t="s">
        <v>320</v>
      </c>
      <c r="C13" s="57" t="e">
        <f t="shared" si="0"/>
        <v>#N/A</v>
      </c>
      <c r="D13" s="59" t="e">
        <f t="shared" si="2"/>
        <v>#N/A</v>
      </c>
      <c r="E13" s="57" t="e">
        <f t="shared" si="3"/>
        <v>#N/A</v>
      </c>
      <c r="F13" s="57" t="e">
        <f t="shared" si="1"/>
        <v>#N/A</v>
      </c>
      <c r="G13" s="59" t="e">
        <f t="shared" si="4"/>
        <v>#N/A</v>
      </c>
      <c r="H13" s="58" t="e">
        <f t="shared" si="5"/>
        <v>#N/A</v>
      </c>
      <c r="U13" s="238"/>
      <c r="V13" s="239"/>
      <c r="W13" s="239"/>
      <c r="X13" s="239"/>
      <c r="Y13" s="239"/>
      <c r="Z13" s="239"/>
      <c r="AA13" s="239"/>
      <c r="AB13" s="239"/>
      <c r="AC13" s="240"/>
    </row>
    <row r="14" spans="1:29" ht="13.75" customHeight="1" x14ac:dyDescent="0.35">
      <c r="A14" s="164" t="s">
        <v>75</v>
      </c>
      <c r="B14" s="164" t="s">
        <v>321</v>
      </c>
      <c r="C14" s="57" t="e">
        <f t="shared" si="0"/>
        <v>#N/A</v>
      </c>
      <c r="D14" s="59" t="e">
        <f t="shared" si="2"/>
        <v>#N/A</v>
      </c>
      <c r="E14" s="57" t="e">
        <f t="shared" si="3"/>
        <v>#N/A</v>
      </c>
      <c r="F14" s="57" t="e">
        <f t="shared" si="1"/>
        <v>#N/A</v>
      </c>
      <c r="G14" s="59" t="e">
        <f t="shared" si="4"/>
        <v>#N/A</v>
      </c>
      <c r="H14" s="58" t="e">
        <f t="shared" si="5"/>
        <v>#N/A</v>
      </c>
      <c r="J14" s="53" t="s">
        <v>111</v>
      </c>
    </row>
    <row r="15" spans="1:29" x14ac:dyDescent="0.35">
      <c r="A15" s="164" t="s">
        <v>76</v>
      </c>
      <c r="B15" s="164" t="s">
        <v>313</v>
      </c>
      <c r="C15" s="57" t="e">
        <f t="shared" si="0"/>
        <v>#N/A</v>
      </c>
      <c r="D15" s="59" t="e">
        <f t="shared" si="2"/>
        <v>#N/A</v>
      </c>
      <c r="E15" s="57" t="e">
        <f t="shared" si="3"/>
        <v>#N/A</v>
      </c>
      <c r="F15" s="57" t="e">
        <f t="shared" si="1"/>
        <v>#N/A</v>
      </c>
      <c r="G15" s="59" t="e">
        <f t="shared" si="4"/>
        <v>#N/A</v>
      </c>
      <c r="H15" s="58" t="e">
        <f t="shared" si="5"/>
        <v>#N/A</v>
      </c>
      <c r="J15" s="55" t="s">
        <v>105</v>
      </c>
      <c r="K15" s="55" t="s">
        <v>107</v>
      </c>
      <c r="L15" s="55" t="s">
        <v>106</v>
      </c>
      <c r="M15" s="55" t="s">
        <v>381</v>
      </c>
      <c r="N15" s="55" t="s">
        <v>104</v>
      </c>
      <c r="O15" s="55" t="s">
        <v>108</v>
      </c>
      <c r="R15" s="39" t="s">
        <v>37</v>
      </c>
    </row>
    <row r="16" spans="1:29" x14ac:dyDescent="0.35">
      <c r="A16" s="164" t="s">
        <v>77</v>
      </c>
      <c r="B16" s="164" t="s">
        <v>322</v>
      </c>
      <c r="C16" s="57" t="e">
        <f t="shared" si="0"/>
        <v>#N/A</v>
      </c>
      <c r="D16" s="59" t="e">
        <f t="shared" si="2"/>
        <v>#N/A</v>
      </c>
      <c r="E16" s="57" t="e">
        <f t="shared" si="3"/>
        <v>#N/A</v>
      </c>
      <c r="F16" s="57" t="e">
        <f t="shared" si="1"/>
        <v>#N/A</v>
      </c>
      <c r="G16" s="59" t="e">
        <f t="shared" si="4"/>
        <v>#N/A</v>
      </c>
      <c r="H16" s="58" t="e">
        <f t="shared" si="5"/>
        <v>#N/A</v>
      </c>
      <c r="J16" s="38">
        <v>1</v>
      </c>
      <c r="K16" s="39" t="e">
        <f>LOWER(LEFT(INDEX($A$3:$H$20,MATCH($J16,$H$3:$H$20,0),MATCH($A$3, $A$3:$H$3,0)), SEARCH("[",INDEX($A$3:$H$20,MATCH($J16,$H$3:$H$20,0),MATCH($A$3, $A$3:$H$3,0)))-2))</f>
        <v>#N/A</v>
      </c>
      <c r="L16" s="39" t="e">
        <f>INDEX($A$3:$H$20,MATCH($J16,$H$3:$H$20,0),MATCH("CDIA", $A$3:$H$3,0))</f>
        <v>#N/A</v>
      </c>
      <c r="M16" s="60" t="str">
        <f>IF(COUNT(J16:J18)&gt;1,"1)"&amp;CHAR(160),"")</f>
        <v/>
      </c>
      <c r="N16" s="184" t="e">
        <f>INDEX($A$3:$H$20,MATCH($J16,$H$3:$H$20,0),MATCH("CDIA Share", $A$3:$H$3,0))</f>
        <v>#N/A</v>
      </c>
      <c r="O16" s="39" t="str">
        <f>IF(COUNT(J16:J18)=1,"",", or "&amp;RNDP($N16))</f>
        <v/>
      </c>
      <c r="P16" s="39" t="e">
        <f t="shared" ref="P16:P19" si="8">IF($J16="","",RNDP($N16,0,1)/100)</f>
        <v>#VALUE!</v>
      </c>
      <c r="R16" s="39" t="str">
        <f>IFERROR(" ("&amp;RND($L16)&amp;O16&amp;")","")</f>
        <v/>
      </c>
      <c r="S16" s="39" t="e">
        <f>IF(OR($J16="",$K17=""),"",", "&amp;IF(K18="","and ",""))</f>
        <v>#N/A</v>
      </c>
      <c r="U16" s="235" t="str">
        <f>IFERROR(Q19&amp;O19&amp;" of CDIA in "&amp;LOWER(prefix)&amp;country&amp;" is concentrated in "&amp;J19&amp;M16&amp;$K16&amp;$R16&amp;S16&amp;M17&amp;K17&amp;R17&amp;S17&amp;M18&amp;K18&amp;R18&amp;S18&amp;".","")</f>
        <v/>
      </c>
      <c r="V16" s="236"/>
      <c r="W16" s="236"/>
      <c r="X16" s="236"/>
      <c r="Y16" s="236"/>
      <c r="Z16" s="236"/>
      <c r="AA16" s="236"/>
      <c r="AB16" s="236"/>
      <c r="AC16" s="237"/>
    </row>
    <row r="17" spans="1:29" ht="14.5" customHeight="1" x14ac:dyDescent="0.35">
      <c r="A17" s="164" t="s">
        <v>78</v>
      </c>
      <c r="B17" s="164" t="s">
        <v>323</v>
      </c>
      <c r="C17" s="57" t="e">
        <f t="shared" si="0"/>
        <v>#N/A</v>
      </c>
      <c r="D17" s="59" t="e">
        <f t="shared" si="2"/>
        <v>#N/A</v>
      </c>
      <c r="E17" s="57" t="e">
        <f t="shared" si="3"/>
        <v>#N/A</v>
      </c>
      <c r="F17" s="57" t="e">
        <f t="shared" si="1"/>
        <v>#N/A</v>
      </c>
      <c r="G17" s="59" t="e">
        <f t="shared" si="4"/>
        <v>#N/A</v>
      </c>
      <c r="H17" s="58" t="e">
        <f t="shared" si="5"/>
        <v>#N/A</v>
      </c>
      <c r="J17" s="38" t="e">
        <f>IF(N16&lt;$O$4,2,"")</f>
        <v>#N/A</v>
      </c>
      <c r="K17" s="39" t="e">
        <f>IF($J17="","",LOWER(LEFT(INDEX($A$3:$H$20,MATCH($J17,$H$3:$H$20,0),MATCH($A$3, $A$3:$H$3,0)), SEARCH("[",INDEX($A$3:$H$20,MATCH($J17,$H$3:$H$20,0),MATCH($A$3, $A$3:$H$3,0)))-2)))</f>
        <v>#N/A</v>
      </c>
      <c r="L17" s="39" t="e">
        <f>IF($J17="","",INDEX($A$3:$H$20,MATCH($J17,$H$3:$H$20,0),MATCH("CDIA",$A$3:$H$3,0)))</f>
        <v>#N/A</v>
      </c>
      <c r="M17" s="60" t="e">
        <f>IF($J17="","",IF(COUNT(J16:J18)&gt;1,"2)"&amp;CHAR(160),""))</f>
        <v>#N/A</v>
      </c>
      <c r="N17" s="61" t="e">
        <f>IF($J17="","",INDEX($A$3:$H$20,MATCH($J17,$H$3:$H$20,0),MATCH("CDIA Share", $A$3:$H$3,0)))</f>
        <v>#N/A</v>
      </c>
      <c r="O17" s="39" t="e">
        <f>IF($J17="","",", or "&amp;RNDP($N17))</f>
        <v>#N/A</v>
      </c>
      <c r="P17" s="39" t="e">
        <f t="shared" si="8"/>
        <v>#N/A</v>
      </c>
      <c r="R17" s="39" t="str">
        <f>IFERROR(" ("&amp;RND($L17)&amp;O17&amp;")","")</f>
        <v/>
      </c>
      <c r="S17" s="39" t="e">
        <f>IF(OR($J17="",$K18=""),"",", "&amp;IF(K19="","and ",""))</f>
        <v>#N/A</v>
      </c>
      <c r="U17" s="241"/>
      <c r="V17" s="242"/>
      <c r="W17" s="242"/>
      <c r="X17" s="242"/>
      <c r="Y17" s="242"/>
      <c r="Z17" s="242"/>
      <c r="AA17" s="242"/>
      <c r="AB17" s="242"/>
      <c r="AC17" s="243"/>
    </row>
    <row r="18" spans="1:29" x14ac:dyDescent="0.35">
      <c r="A18" s="164" t="s">
        <v>79</v>
      </c>
      <c r="B18" s="164" t="s">
        <v>324</v>
      </c>
      <c r="C18" s="57" t="e">
        <f t="shared" si="0"/>
        <v>#N/A</v>
      </c>
      <c r="D18" s="59" t="e">
        <f t="shared" si="2"/>
        <v>#N/A</v>
      </c>
      <c r="E18" s="57" t="e">
        <f t="shared" si="3"/>
        <v>#N/A</v>
      </c>
      <c r="F18" s="57" t="e">
        <f t="shared" si="1"/>
        <v>#N/A</v>
      </c>
      <c r="G18" s="59" t="e">
        <f t="shared" si="4"/>
        <v>#N/A</v>
      </c>
      <c r="H18" s="58" t="e">
        <f t="shared" si="5"/>
        <v>#N/A</v>
      </c>
      <c r="J18" s="38" t="e">
        <f>IF(J17="","",IF(N16+N17&lt;$O$4,3,""))</f>
        <v>#N/A</v>
      </c>
      <c r="K18" s="39" t="e">
        <f>IF($J18="","",LOWER(LEFT(INDEX($A$3:$H$20,MATCH($J18,$H$3:$H$20,0),MATCH($A$3, $A$3:$H$3,0)), SEARCH("[",INDEX($A$3:$H$20,MATCH($J18,$H$3:$H$20,0),MATCH($A$3, $A$3:$H$3,0)))-2)))</f>
        <v>#N/A</v>
      </c>
      <c r="L18" s="39" t="e">
        <f>IF($J18="","",INDEX($A$3:$H$20,MATCH($J18,$H$3:$H$20,0),MATCH("CDIA",$A$3:$H$3,0)))</f>
        <v>#N/A</v>
      </c>
      <c r="M18" s="60" t="e">
        <f>IF($J18="","",IF(COUNT(J16:J18)&gt;1,"3)"&amp;CHAR(160),""))</f>
        <v>#N/A</v>
      </c>
      <c r="N18" s="61" t="e">
        <f>IF($J18="","",INDEX($A$3:$H$20,MATCH($J18,$H$3:$H$20,0),MATCH("CDIA Share", $A$3:$H$3,0)))</f>
        <v>#N/A</v>
      </c>
      <c r="O18" s="39" t="e">
        <f>IF($J18="","",", or "&amp;RNDP($N18))</f>
        <v>#N/A</v>
      </c>
      <c r="P18" s="39" t="e">
        <f>IF($J18="","",RNDP($N18,0,1)/100)</f>
        <v>#N/A</v>
      </c>
      <c r="R18" s="39" t="str">
        <f>IFERROR(" ("&amp;RND($L18)&amp;O18&amp;")","")</f>
        <v/>
      </c>
      <c r="S18" s="46"/>
      <c r="U18" s="241"/>
      <c r="V18" s="242"/>
      <c r="W18" s="242"/>
      <c r="X18" s="242"/>
      <c r="Y18" s="242"/>
      <c r="Z18" s="242"/>
      <c r="AA18" s="242"/>
      <c r="AB18" s="242"/>
      <c r="AC18" s="243"/>
    </row>
    <row r="19" spans="1:29" x14ac:dyDescent="0.35">
      <c r="A19" s="164" t="s">
        <v>80</v>
      </c>
      <c r="B19" s="164" t="s">
        <v>325</v>
      </c>
      <c r="C19" s="57" t="e">
        <f t="shared" si="0"/>
        <v>#N/A</v>
      </c>
      <c r="D19" s="59" t="e">
        <f t="shared" si="2"/>
        <v>#N/A</v>
      </c>
      <c r="E19" s="57" t="e">
        <f t="shared" si="3"/>
        <v>#N/A</v>
      </c>
      <c r="F19" s="57" t="e">
        <f t="shared" si="1"/>
        <v>#N/A</v>
      </c>
      <c r="G19" s="59" t="e">
        <f t="shared" si="4"/>
        <v>#N/A</v>
      </c>
      <c r="H19" s="58" t="e">
        <f t="shared" si="5"/>
        <v>#N/A</v>
      </c>
      <c r="J19" s="63" t="str">
        <f>CHOOSE(COUNT(J16:J18),"one sector","two sectors","three sectors")&amp;": "</f>
        <v xml:space="preserve">one sector: </v>
      </c>
      <c r="K19" s="39"/>
      <c r="L19" s="60" t="e">
        <f>SUM($L16:$L18)</f>
        <v>#N/A</v>
      </c>
      <c r="M19" s="60"/>
      <c r="N19" s="61" t="e">
        <f>SUM($N16:$N18)</f>
        <v>#N/A</v>
      </c>
      <c r="O19" s="39" t="e">
        <f>IF(OR($N19*100&gt;=10,$N19*100&lt;=-10),ROUND($N19*100,0),TEXT(ROUND($N19*100,1),"#,##0.0"))&amp;"%"</f>
        <v>#N/A</v>
      </c>
      <c r="P19" s="39" t="e">
        <f t="shared" si="8"/>
        <v>#VALUE!</v>
      </c>
      <c r="Q19" s="39" t="e">
        <f>IF($N19&gt;$P19,"Over ",IF($N19&lt;$P19,"Almost ",""))</f>
        <v>#N/A</v>
      </c>
      <c r="R19" s="39" t="str">
        <f>IFERROR("("&amp;RND($L19)&amp;")","")</f>
        <v/>
      </c>
      <c r="U19" s="241"/>
      <c r="V19" s="242"/>
      <c r="W19" s="242"/>
      <c r="X19" s="242"/>
      <c r="Y19" s="242"/>
      <c r="Z19" s="242"/>
      <c r="AA19" s="242"/>
      <c r="AB19" s="242"/>
      <c r="AC19" s="243"/>
    </row>
    <row r="20" spans="1:29" x14ac:dyDescent="0.35">
      <c r="A20" s="164" t="s">
        <v>81</v>
      </c>
      <c r="B20" s="164" t="s">
        <v>287</v>
      </c>
      <c r="C20" s="57" t="e">
        <f t="shared" si="0"/>
        <v>#N/A</v>
      </c>
      <c r="D20" s="59" t="e">
        <f t="shared" si="2"/>
        <v>#N/A</v>
      </c>
      <c r="E20" s="57" t="e">
        <f t="shared" si="3"/>
        <v>#N/A</v>
      </c>
      <c r="F20" s="57" t="e">
        <f t="shared" si="1"/>
        <v>#N/A</v>
      </c>
      <c r="G20" s="59" t="e">
        <f t="shared" si="4"/>
        <v>#N/A</v>
      </c>
      <c r="H20" s="58" t="e">
        <f t="shared" si="5"/>
        <v>#N/A</v>
      </c>
      <c r="J20" s="64" t="s">
        <v>109</v>
      </c>
      <c r="K20" s="39" t="str">
        <f>IFERROR(LOWER(LEFT(INDEX($A$3:$H$20,MATCH(MAX($H$6:$H$20),$H$3:$H$20,0),MATCH($A$3,$A$3:$H$3,0)),SEARCH("[",INDEX($A$3:$H$20,MATCH(MAX($H$6:$H$20),$H$3:$H$20,0),MATCH($A$3,$A$3:$H$3,0)))-2)),"all other industries")</f>
        <v>all other industries</v>
      </c>
      <c r="L20" s="60" t="e">
        <f>INDEX($A$3:$H$20,MATCH(MAX($H$6:$H$20),$H$3:$H$20,0),MATCH("CDIA", $A$3:$H$3,0))</f>
        <v>#N/A</v>
      </c>
      <c r="M20" s="60"/>
      <c r="N20" s="61" t="e">
        <f>INDEX($A$3:$H$20,MATCH(MAX($H$6:$H$20),$H$3:$H$20,0),MATCH("CDIA Share", $A$3:$H$3,0))</f>
        <v>#N/A</v>
      </c>
      <c r="O20" s="39" t="e">
        <f>IF(OR($N20*100&gt;=10,$N20*100&lt;=-10),ROUND($N20*100,0),TEXT(ROUND($N20*100,1),"#,##0.0"))&amp;"%"</f>
        <v>#N/A</v>
      </c>
      <c r="R20" s="39" t="str">
        <f>IFERROR(RND($L20),"")</f>
        <v/>
      </c>
      <c r="U20" s="241"/>
      <c r="V20" s="242"/>
      <c r="W20" s="242"/>
      <c r="X20" s="242"/>
      <c r="Y20" s="242"/>
      <c r="Z20" s="242"/>
      <c r="AA20" s="242"/>
      <c r="AB20" s="242"/>
      <c r="AC20" s="243"/>
    </row>
    <row r="21" spans="1:29" ht="14.5" customHeight="1" x14ac:dyDescent="0.35">
      <c r="J21"/>
      <c r="K21"/>
      <c r="L21"/>
      <c r="M21"/>
      <c r="N21"/>
      <c r="O21"/>
      <c r="U21" s="235" t="str">
        <f>IFERROR(IF($N19&gt;1,CHOOSE(COUNT(J16:J18)," This value"," The sum of these two values"," The sum of these three values")&amp;" is higher than the total CDIA stock value mainly due to the negative stock value for "&amp;$K20&amp;" ("&amp;$R20&amp;").",""),"")</f>
        <v/>
      </c>
      <c r="V21" s="236"/>
      <c r="W21" s="236"/>
      <c r="X21" s="236"/>
      <c r="Y21" s="236"/>
      <c r="Z21" s="236"/>
      <c r="AA21" s="236"/>
      <c r="AB21" s="236"/>
      <c r="AC21" s="237"/>
    </row>
    <row r="22" spans="1:29" x14ac:dyDescent="0.35">
      <c r="U22" s="238"/>
      <c r="V22" s="239"/>
      <c r="W22" s="239"/>
      <c r="X22" s="239"/>
      <c r="Y22" s="239"/>
      <c r="Z22" s="239"/>
      <c r="AA22" s="239"/>
      <c r="AB22" s="239"/>
      <c r="AC22" s="240"/>
    </row>
    <row r="23" spans="1:29" x14ac:dyDescent="0.35">
      <c r="D23" s="102"/>
    </row>
    <row r="24" spans="1:29" ht="18.5" x14ac:dyDescent="0.45">
      <c r="A24" s="65" t="s">
        <v>162</v>
      </c>
      <c r="B24" s="65"/>
      <c r="J24" s="65" t="s">
        <v>195</v>
      </c>
    </row>
    <row r="25" spans="1:29" x14ac:dyDescent="0.35">
      <c r="A25" s="57" t="s">
        <v>45</v>
      </c>
      <c r="B25" s="57" t="s">
        <v>288</v>
      </c>
      <c r="C25" s="57" t="e">
        <f t="shared" ref="C25:C48" si="9">INDEX(industry,MATCH($A$1&amp;$A25&amp;country&amp;C$4,industry_row,0),MATCH("VALUE", industry_col,0))</f>
        <v>#N/A</v>
      </c>
      <c r="D25" s="58" t="e">
        <f t="shared" ref="D25:D48" si="10">C25/C$5</f>
        <v>#N/A</v>
      </c>
      <c r="E25" s="58"/>
      <c r="F25" s="57" t="e">
        <f t="shared" ref="F25:F48" si="11">INDEX(industry,MATCH($A$1&amp;$A25&amp;country&amp;F$4,industry_row,0),MATCH("VALUE", industry_col,0))</f>
        <v>#N/A</v>
      </c>
      <c r="G25" s="58" t="e">
        <f t="shared" ref="G25:G48" si="12">F25/F$5</f>
        <v>#N/A</v>
      </c>
      <c r="J25" s="53" t="s">
        <v>110</v>
      </c>
    </row>
    <row r="26" spans="1:29" x14ac:dyDescent="0.35">
      <c r="A26" s="57" t="s">
        <v>46</v>
      </c>
      <c r="B26" s="57" t="s">
        <v>289</v>
      </c>
      <c r="C26" s="57" t="e">
        <f t="shared" si="9"/>
        <v>#N/A</v>
      </c>
      <c r="D26" s="59" t="e">
        <f t="shared" si="10"/>
        <v>#N/A</v>
      </c>
      <c r="E26" s="57"/>
      <c r="F26" s="57" t="e">
        <f t="shared" si="11"/>
        <v>#N/A</v>
      </c>
      <c r="G26" s="59" t="e">
        <f t="shared" si="12"/>
        <v>#N/A</v>
      </c>
      <c r="J26" s="55" t="s">
        <v>105</v>
      </c>
      <c r="K26" s="55" t="s">
        <v>107</v>
      </c>
      <c r="L26" s="55" t="s">
        <v>106</v>
      </c>
      <c r="M26" s="55" t="s">
        <v>381</v>
      </c>
      <c r="N26" s="55" t="s">
        <v>104</v>
      </c>
      <c r="O26" s="55" t="s">
        <v>161</v>
      </c>
      <c r="P26" s="43"/>
      <c r="R26" s="39" t="s">
        <v>37</v>
      </c>
      <c r="U26" s="44"/>
    </row>
    <row r="27" spans="1:29" x14ac:dyDescent="0.35">
      <c r="A27" s="57" t="s">
        <v>47</v>
      </c>
      <c r="B27" s="164" t="s">
        <v>308</v>
      </c>
      <c r="C27" s="57" t="e">
        <f t="shared" si="9"/>
        <v>#N/A</v>
      </c>
      <c r="D27" s="59" t="e">
        <f t="shared" si="10"/>
        <v>#N/A</v>
      </c>
      <c r="E27" s="57"/>
      <c r="F27" s="57" t="e">
        <f t="shared" si="11"/>
        <v>#N/A</v>
      </c>
      <c r="G27" s="59" t="e">
        <f t="shared" si="12"/>
        <v>#N/A</v>
      </c>
      <c r="J27" s="38">
        <v>1</v>
      </c>
      <c r="K27" s="39" t="e">
        <f>LOWER(LEFT(INDEX($A$3:$H$20,MATCH($J27,$E$3:$E$20,0),MATCH($B$3, $A$3:$H$3,0)), SEARCH("[",INDEX($A$3:$H$20,MATCH($J27,$E$3:$E$20,0),MATCH($B$3, $A$3:$H$3,0)))-2))</f>
        <v>#N/A</v>
      </c>
      <c r="L27" s="39" t="e">
        <f>INDEX($A$3:$H$20,MATCH($J27,$E$3:$E$20,0),MATCH("FDI", $A$3:$H$3,0))</f>
        <v>#N/A</v>
      </c>
      <c r="M27" s="60" t="str">
        <f>IF(COUNT(J27:J29)&gt;1,"1)"&amp;CHAR(160),"")</f>
        <v/>
      </c>
      <c r="N27" s="61" t="e">
        <f>INDEX($A$3:$H$20,MATCH($J27,$E$3:$E$20,0),MATCH("FDI Share", $A$3:$H$3,0))</f>
        <v>#N/A</v>
      </c>
      <c r="O27" s="39" t="str">
        <f>IF(COUNT(J27:J29)=1,"",", ou "&amp;RNDPFR($N27))</f>
        <v/>
      </c>
      <c r="P27" s="39" t="e">
        <f>IF($J27="","",RNDP($N27,0,1)/100)</f>
        <v>#VALUE!</v>
      </c>
      <c r="R27" s="39" t="str">
        <f>IFERROR(" ("&amp;RNDFR($L27)&amp;O27&amp;")","")</f>
        <v/>
      </c>
      <c r="S27" s="39" t="e">
        <f>IF(OR($J27="",$K28=""),"",", "&amp;IF(K29="","et ",""))</f>
        <v>#N/A</v>
      </c>
      <c r="U27" s="235" t="str">
        <f>IFERROR(Q30&amp;O30&amp;" de l’IDE "&amp;LOWER(adjectiveFr)&amp;" au Canada est concentré dans "&amp;J30&amp;M27&amp;$K27&amp;$R27&amp;S27&amp;M28&amp;$K28&amp;$R28&amp;S28&amp;M29&amp;K29&amp;R29&amp;S29&amp;".","")</f>
        <v/>
      </c>
      <c r="V27" s="236"/>
      <c r="W27" s="236"/>
      <c r="X27" s="236"/>
      <c r="Y27" s="236"/>
      <c r="Z27" s="236"/>
      <c r="AA27" s="236"/>
      <c r="AB27" s="236"/>
      <c r="AC27" s="237"/>
    </row>
    <row r="28" spans="1:29" x14ac:dyDescent="0.35">
      <c r="A28" s="57" t="s">
        <v>51</v>
      </c>
      <c r="B28" s="57" t="s">
        <v>290</v>
      </c>
      <c r="C28" s="57" t="e">
        <f t="shared" si="9"/>
        <v>#N/A</v>
      </c>
      <c r="D28" s="59" t="e">
        <f t="shared" si="10"/>
        <v>#N/A</v>
      </c>
      <c r="E28" s="57"/>
      <c r="F28" s="57" t="e">
        <f t="shared" si="11"/>
        <v>#N/A</v>
      </c>
      <c r="G28" s="59" t="e">
        <f t="shared" si="12"/>
        <v>#N/A</v>
      </c>
      <c r="J28" s="38" t="e">
        <f>IF(N27&lt;$O$4,2,"")</f>
        <v>#N/A</v>
      </c>
      <c r="K28" s="39" t="e">
        <f>IF($J28="","",LOWER(LEFT(INDEX($A$3:$H$20,MATCH($J28,$E$3:$E$20,0),MATCH($B$3, $A$3:$H$3,0)), SEARCH("[",INDEX($A$3:$H$20,MATCH($J28,$E$3:$E$20,0),MATCH($B$3, $A$3:$H$3,0)))-2)))</f>
        <v>#N/A</v>
      </c>
      <c r="L28" s="39" t="e">
        <f>IF($J28="","",INDEX($A$3:$H$20,MATCH($J28,$E$3:$E$20,0),MATCH("FDI", $A$3:$H$3,0)))</f>
        <v>#N/A</v>
      </c>
      <c r="M28" s="60" t="e">
        <f>IF($J28="","",IF(COUNT(J27:J29)&gt;1,"2)"&amp;CHAR(160),""))</f>
        <v>#N/A</v>
      </c>
      <c r="N28" s="61" t="e">
        <f>IF($J28="","",INDEX($A$3:$H$20,MATCH($J28,$E$3:$E$20,0),MATCH("FDI Share", $A$3:$H$3,0)))</f>
        <v>#N/A</v>
      </c>
      <c r="O28" s="39" t="e">
        <f>IF($J28="","",", ou "&amp;RNDPFR($N28))</f>
        <v>#N/A</v>
      </c>
      <c r="P28" s="39" t="e">
        <f t="shared" ref="P28:P30" si="13">IF($J28="","",RNDP($N28,0,1)/100)</f>
        <v>#N/A</v>
      </c>
      <c r="R28" s="39" t="str">
        <f>IFERROR(" ("&amp;RNDFR($L28)&amp;O28&amp;")","")</f>
        <v/>
      </c>
      <c r="S28" s="39" t="e">
        <f>IF(OR($J28="",$K29=""),"",", "&amp;IF(K30="","et ",""))</f>
        <v>#N/A</v>
      </c>
      <c r="U28" s="241"/>
      <c r="V28" s="242"/>
      <c r="W28" s="242"/>
      <c r="X28" s="242"/>
      <c r="Y28" s="242"/>
      <c r="Z28" s="242"/>
      <c r="AA28" s="242"/>
      <c r="AB28" s="242"/>
      <c r="AC28" s="243"/>
    </row>
    <row r="29" spans="1:29" x14ac:dyDescent="0.35">
      <c r="A29" s="57" t="s">
        <v>52</v>
      </c>
      <c r="B29" s="57" t="s">
        <v>291</v>
      </c>
      <c r="C29" s="57" t="e">
        <f t="shared" si="9"/>
        <v>#N/A</v>
      </c>
      <c r="D29" s="59" t="e">
        <f t="shared" si="10"/>
        <v>#N/A</v>
      </c>
      <c r="E29" s="57"/>
      <c r="F29" s="57" t="e">
        <f t="shared" si="11"/>
        <v>#N/A</v>
      </c>
      <c r="G29" s="59" t="e">
        <f t="shared" si="12"/>
        <v>#N/A</v>
      </c>
      <c r="J29" s="38" t="e">
        <f>IF(J28="","",IF(N27+N28&lt;$O$4,3,""))</f>
        <v>#N/A</v>
      </c>
      <c r="K29" s="39" t="e">
        <f>IF($J29="","",LOWER(LEFT(INDEX($A$3:$H$20,MATCH($J29,$E$3:$E$20,0),MATCH($B$3, $A$3:$H$3,0)), SEARCH("[",INDEX($A$3:$H$20,MATCH($J29,$E$3:$E$20,0),MATCH($B$3, $A$3:$H$3,0)))-2)))</f>
        <v>#N/A</v>
      </c>
      <c r="L29" s="39" t="e">
        <f>IF($J29="","",INDEX($A$3:$H$20,MATCH($J29,$E$3:$E$20,0),MATCH("FDI", $A$3:$H$3,0)))</f>
        <v>#N/A</v>
      </c>
      <c r="M29" s="60" t="e">
        <f>IF($J29="","",IF(COUNT(J27:J29)&gt;1,"3)"&amp;CHAR(160),""))</f>
        <v>#N/A</v>
      </c>
      <c r="N29" s="61" t="e">
        <f>IF($J29="","",INDEX($A$3:$H$20,MATCH($J29,$E$3:$E$20,0),MATCH("FDI Share", $A$3:$H$3,0)))</f>
        <v>#N/A</v>
      </c>
      <c r="O29" s="39" t="e">
        <f>IF($J29="","",", ou "&amp;RNDPFR($N29))</f>
        <v>#N/A</v>
      </c>
      <c r="P29" s="39" t="e">
        <f t="shared" si="13"/>
        <v>#N/A</v>
      </c>
      <c r="R29" s="39" t="str">
        <f>IFERROR(" ("&amp;RNDFR($L29)&amp;O29&amp;")","")</f>
        <v/>
      </c>
      <c r="S29" s="46"/>
      <c r="U29" s="241"/>
      <c r="V29" s="242"/>
      <c r="W29" s="242"/>
      <c r="X29" s="242"/>
      <c r="Y29" s="242"/>
      <c r="Z29" s="242"/>
      <c r="AA29" s="242"/>
      <c r="AB29" s="242"/>
      <c r="AC29" s="243"/>
    </row>
    <row r="30" spans="1:29" x14ac:dyDescent="0.35">
      <c r="A30" s="57" t="s">
        <v>53</v>
      </c>
      <c r="B30" s="57" t="s">
        <v>292</v>
      </c>
      <c r="C30" s="57" t="e">
        <f t="shared" si="9"/>
        <v>#N/A</v>
      </c>
      <c r="D30" s="59" t="e">
        <f t="shared" si="10"/>
        <v>#N/A</v>
      </c>
      <c r="E30" s="57"/>
      <c r="F30" s="57" t="e">
        <f t="shared" si="11"/>
        <v>#N/A</v>
      </c>
      <c r="G30" s="59" t="e">
        <f t="shared" si="12"/>
        <v>#N/A</v>
      </c>
      <c r="J30" s="63" t="str">
        <f>CHOOSE(COUNT(J27:J29),"le secteur de ","deux secteurs"&amp;CHAR(160)&amp;": ","trois secteurs"&amp;CHAR(160)&amp;": ")</f>
        <v xml:space="preserve">le secteur de </v>
      </c>
      <c r="K30" s="39"/>
      <c r="L30" s="60" t="e">
        <f>SUM($L27:$L29)</f>
        <v>#N/A</v>
      </c>
      <c r="M30" s="60"/>
      <c r="N30" s="61" t="e">
        <f>SUM($N27:$N29)</f>
        <v>#N/A</v>
      </c>
      <c r="O30" s="39" t="e">
        <f>RNDPFR($N30)</f>
        <v>#VALUE!</v>
      </c>
      <c r="P30" s="39" t="e">
        <f t="shared" si="13"/>
        <v>#VALUE!</v>
      </c>
      <c r="Q30" s="39" t="e">
        <f>IF($N30&gt;$P30,"Plus de ",IF($N30&lt;$P30,"Près de ",""))</f>
        <v>#N/A</v>
      </c>
      <c r="R30" s="39" t="str">
        <f>IFERROR("("&amp;RNDFR($L30)&amp;")","")</f>
        <v/>
      </c>
      <c r="S30" s="46"/>
      <c r="U30" s="241"/>
      <c r="V30" s="242"/>
      <c r="W30" s="242"/>
      <c r="X30" s="242"/>
      <c r="Y30" s="242"/>
      <c r="Z30" s="242"/>
      <c r="AA30" s="242"/>
      <c r="AB30" s="242"/>
      <c r="AC30" s="243"/>
    </row>
    <row r="31" spans="1:29" x14ac:dyDescent="0.35">
      <c r="A31" s="57" t="s">
        <v>54</v>
      </c>
      <c r="B31" s="57" t="s">
        <v>293</v>
      </c>
      <c r="C31" s="57" t="e">
        <f t="shared" si="9"/>
        <v>#N/A</v>
      </c>
      <c r="D31" s="59" t="e">
        <f t="shared" si="10"/>
        <v>#N/A</v>
      </c>
      <c r="E31" s="57"/>
      <c r="F31" s="57" t="e">
        <f t="shared" si="11"/>
        <v>#N/A</v>
      </c>
      <c r="G31" s="59" t="e">
        <f t="shared" si="12"/>
        <v>#N/A</v>
      </c>
      <c r="J31" s="64" t="s">
        <v>109</v>
      </c>
      <c r="K31" s="39" t="str">
        <f>IFERROR("du stock de "&amp;LOWER(LEFT(INDEX($A$3:$H$20,MATCH(MAX($E$6:$E$20),$E$3:$E$20,0),MATCH($B$3, $A$3:$H$3,0)), SEARCH("[",INDEX($A$3:$H$20,MATCH(MAX($E$6:$E$20),$E$3:$E$20,0),MATCH($B$3, $A$3:$H$3,0)))-2)),"des stocks de toutes les autres industries")</f>
        <v>des stocks de toutes les autres industries</v>
      </c>
      <c r="L31" s="60" t="e">
        <f>INDEX($A$3:$H$20,MATCH(MAX($E$6:$E$20),$E$3:$E$20,0),MATCH("FDI", $A$3:$H$3,0))</f>
        <v>#N/A</v>
      </c>
      <c r="M31" s="60"/>
      <c r="N31" s="61" t="e">
        <f>INDEX($A$3:$H$20,MATCH(MAX($E$6:$E$20),$E$3:$E$20,0),MATCH("FDI Share", $A$3:$H$3,0))</f>
        <v>#N/A</v>
      </c>
      <c r="O31" s="39" t="e">
        <f>RNDPFR($N31)</f>
        <v>#VALUE!</v>
      </c>
      <c r="R31" s="39" t="str">
        <f>IFERROR(RNDFR($L31),"")</f>
        <v/>
      </c>
      <c r="S31" s="46"/>
      <c r="U31" s="238"/>
      <c r="V31" s="239"/>
      <c r="W31" s="239"/>
      <c r="X31" s="239"/>
      <c r="Y31" s="239"/>
      <c r="Z31" s="239"/>
      <c r="AA31" s="239"/>
      <c r="AB31" s="239"/>
      <c r="AC31" s="240"/>
    </row>
    <row r="32" spans="1:29" x14ac:dyDescent="0.35">
      <c r="A32" s="57" t="s">
        <v>55</v>
      </c>
      <c r="B32" s="57" t="s">
        <v>294</v>
      </c>
      <c r="C32" s="57" t="e">
        <f t="shared" si="9"/>
        <v>#N/A</v>
      </c>
      <c r="D32" s="59" t="e">
        <f t="shared" si="10"/>
        <v>#N/A</v>
      </c>
      <c r="E32" s="57"/>
      <c r="F32" s="57" t="e">
        <f t="shared" si="11"/>
        <v>#N/A</v>
      </c>
      <c r="G32" s="59" t="e">
        <f t="shared" si="12"/>
        <v>#N/A</v>
      </c>
      <c r="U32" s="235" t="str">
        <f>IFERROR(IF($N30&gt;1,CHOOSE(COUNT(J27:J29)," Cette valeur"," La somme de ces deux valeurs"," La somme de ces trois valeurs")&amp;" est supérieure à la valeur totale du stock d'IDE, principalement en raison de la valeur négative "&amp;$K31&amp;" ("&amp;$R31&amp;").",""),"")</f>
        <v/>
      </c>
      <c r="V32" s="236"/>
      <c r="W32" s="236"/>
      <c r="X32" s="236"/>
      <c r="Y32" s="236"/>
      <c r="Z32" s="236"/>
      <c r="AA32" s="236"/>
      <c r="AB32" s="236"/>
      <c r="AC32" s="237"/>
    </row>
    <row r="33" spans="1:29" x14ac:dyDescent="0.35">
      <c r="A33" s="57" t="s">
        <v>56</v>
      </c>
      <c r="B33" s="57" t="s">
        <v>295</v>
      </c>
      <c r="C33" s="57" t="e">
        <f t="shared" si="9"/>
        <v>#N/A</v>
      </c>
      <c r="D33" s="59" t="e">
        <f t="shared" si="10"/>
        <v>#N/A</v>
      </c>
      <c r="E33" s="57"/>
      <c r="F33" s="57" t="e">
        <f t="shared" si="11"/>
        <v>#N/A</v>
      </c>
      <c r="G33" s="59" t="e">
        <f t="shared" si="12"/>
        <v>#N/A</v>
      </c>
      <c r="U33" s="238"/>
      <c r="V33" s="239"/>
      <c r="W33" s="239"/>
      <c r="X33" s="239"/>
      <c r="Y33" s="239"/>
      <c r="Z33" s="239"/>
      <c r="AA33" s="239"/>
      <c r="AB33" s="239"/>
      <c r="AC33" s="240"/>
    </row>
    <row r="34" spans="1:29" x14ac:dyDescent="0.35">
      <c r="A34" s="57" t="s">
        <v>57</v>
      </c>
      <c r="B34" s="57" t="s">
        <v>296</v>
      </c>
      <c r="C34" s="57" t="e">
        <f t="shared" si="9"/>
        <v>#N/A</v>
      </c>
      <c r="D34" s="59" t="e">
        <f t="shared" si="10"/>
        <v>#N/A</v>
      </c>
      <c r="E34" s="57"/>
      <c r="F34" s="57" t="e">
        <f t="shared" si="11"/>
        <v>#N/A</v>
      </c>
      <c r="G34" s="59" t="e">
        <f t="shared" si="12"/>
        <v>#N/A</v>
      </c>
      <c r="J34" s="53" t="s">
        <v>111</v>
      </c>
      <c r="U34" s="166"/>
      <c r="V34" s="166"/>
      <c r="W34" s="166"/>
      <c r="X34" s="166"/>
      <c r="Y34" s="166"/>
      <c r="Z34" s="166"/>
      <c r="AA34" s="166"/>
      <c r="AB34" s="166"/>
      <c r="AC34" s="166"/>
    </row>
    <row r="35" spans="1:29" x14ac:dyDescent="0.35">
      <c r="A35" s="57" t="s">
        <v>58</v>
      </c>
      <c r="B35" s="57" t="s">
        <v>297</v>
      </c>
      <c r="C35" s="57" t="e">
        <f t="shared" si="9"/>
        <v>#N/A</v>
      </c>
      <c r="D35" s="59" t="e">
        <f t="shared" si="10"/>
        <v>#N/A</v>
      </c>
      <c r="E35" s="57"/>
      <c r="F35" s="57" t="e">
        <f t="shared" si="11"/>
        <v>#N/A</v>
      </c>
      <c r="G35" s="59" t="e">
        <f t="shared" si="12"/>
        <v>#N/A</v>
      </c>
      <c r="J35" s="55" t="s">
        <v>105</v>
      </c>
      <c r="K35" s="55" t="s">
        <v>107</v>
      </c>
      <c r="L35" s="55" t="s">
        <v>106</v>
      </c>
      <c r="M35" s="55" t="s">
        <v>381</v>
      </c>
      <c r="N35" s="55" t="s">
        <v>104</v>
      </c>
      <c r="O35" s="55" t="s">
        <v>108</v>
      </c>
      <c r="R35" s="39" t="s">
        <v>37</v>
      </c>
      <c r="U35" s="166"/>
      <c r="V35" s="166"/>
      <c r="W35" s="166"/>
      <c r="X35" s="166"/>
      <c r="Y35" s="166"/>
      <c r="Z35" s="166"/>
      <c r="AA35" s="166"/>
      <c r="AB35" s="166"/>
      <c r="AC35" s="166"/>
    </row>
    <row r="36" spans="1:29" ht="14.5" customHeight="1" x14ac:dyDescent="0.35">
      <c r="A36" s="57" t="s">
        <v>59</v>
      </c>
      <c r="B36" s="57" t="s">
        <v>298</v>
      </c>
      <c r="C36" s="57" t="e">
        <f t="shared" si="9"/>
        <v>#N/A</v>
      </c>
      <c r="D36" s="59" t="e">
        <f t="shared" si="10"/>
        <v>#N/A</v>
      </c>
      <c r="E36" s="57"/>
      <c r="F36" s="57" t="e">
        <f t="shared" si="11"/>
        <v>#N/A</v>
      </c>
      <c r="G36" s="59" t="e">
        <f t="shared" si="12"/>
        <v>#N/A</v>
      </c>
      <c r="J36" s="38">
        <v>1</v>
      </c>
      <c r="K36" s="39" t="e">
        <f>LOWER(LEFT(INDEX($A$3:$H$20,MATCH($J36,$H$3:$H$20,0),MATCH($B$3, $A$3:$H$3,0)), SEARCH("[",INDEX($A$3:$H$20,MATCH($J36,$H$3:$H$20,0),MATCH($B$3, $A$3:$H$3,0)))-2))</f>
        <v>#N/A</v>
      </c>
      <c r="L36" s="39" t="e">
        <f>INDEX($A$3:$H$20,MATCH($J36,$H$3:$H$20,0),MATCH("CDIA", $A$3:$H$3,0))</f>
        <v>#N/A</v>
      </c>
      <c r="M36" s="60" t="str">
        <f>IF(COUNT(J36:J38)&gt;1,"1)"&amp;CHAR(160),"")</f>
        <v/>
      </c>
      <c r="N36" s="61" t="e">
        <f>INDEX($A$3:$H$20,MATCH($J36,$H$3:$H$20,0),MATCH("CDIA Share", $A$3:$H$3,0))</f>
        <v>#N/A</v>
      </c>
      <c r="O36" s="39" t="str">
        <f>IF(COUNT(J36:J38)=1,"",", ou "&amp;RNDPFR($N36))</f>
        <v/>
      </c>
      <c r="P36" s="39" t="e">
        <f t="shared" ref="P36:P39" si="14">IF($J36="","",RNDP($N36,0,1)/100)</f>
        <v>#VALUE!</v>
      </c>
      <c r="R36" s="39" t="str">
        <f>IFERROR(" ("&amp;RNDFR($L36)&amp;O36&amp;")","")</f>
        <v/>
      </c>
      <c r="S36" s="39" t="e">
        <f>IF(OR($J36="",$K37=""),"",", "&amp;IF(K38="","et ",""))</f>
        <v>#N/A</v>
      </c>
      <c r="U36" s="235" t="str">
        <f>IFERROR(Q39&amp;O39&amp;" du stock d’IDCE "&amp;prefixFr3&amp;countryFr&amp;" est investi dans "&amp;J39&amp;M36&amp;$K36&amp;$R36&amp;S36&amp;M37&amp;$K37&amp;$R37&amp;S37&amp;M38&amp;K38&amp;R38&amp;S38&amp;".","")</f>
        <v/>
      </c>
      <c r="V36" s="236"/>
      <c r="W36" s="236"/>
      <c r="X36" s="236"/>
      <c r="Y36" s="236"/>
      <c r="Z36" s="236"/>
      <c r="AA36" s="236"/>
      <c r="AB36" s="236"/>
      <c r="AC36" s="237"/>
    </row>
    <row r="37" spans="1:29" ht="14.5" customHeight="1" x14ac:dyDescent="0.35">
      <c r="A37" s="57" t="s">
        <v>60</v>
      </c>
      <c r="B37" s="164" t="s">
        <v>309</v>
      </c>
      <c r="C37" s="57" t="e">
        <f t="shared" si="9"/>
        <v>#N/A</v>
      </c>
      <c r="D37" s="59" t="e">
        <f t="shared" si="10"/>
        <v>#N/A</v>
      </c>
      <c r="E37" s="57"/>
      <c r="F37" s="57" t="e">
        <f t="shared" si="11"/>
        <v>#N/A</v>
      </c>
      <c r="G37" s="59" t="e">
        <f t="shared" si="12"/>
        <v>#N/A</v>
      </c>
      <c r="J37" s="38" t="e">
        <f>IF(N36&lt;$O$4,2,"")</f>
        <v>#N/A</v>
      </c>
      <c r="K37" s="39" t="e">
        <f>IF($J37="","",LOWER(LEFT(INDEX($A$3:$H$20,MATCH($J37,$H$3:$H$20,0),MATCH($B$3, $A$3:$H$3,0)), SEARCH("[",INDEX($A$3:$H$20,MATCH($J37,$H$3:$H$20,0),MATCH($B$3, $A$3:$H$3,0)))-2)))</f>
        <v>#N/A</v>
      </c>
      <c r="L37" s="39" t="e">
        <f>IF($J37="","",INDEX($A$3:$H$20,MATCH($J37,$H$3:$H$20,0),MATCH("CDIA",$A$3:$H$3,0)))</f>
        <v>#N/A</v>
      </c>
      <c r="M37" s="60" t="e">
        <f>IF($J37="","",IF(COUNT(J36:J38)&gt;1,"2)"&amp;CHAR(160),""))</f>
        <v>#N/A</v>
      </c>
      <c r="N37" s="61" t="e">
        <f>IF($J37="","",INDEX($A$3:$H$20,MATCH($J37,$H$3:$H$20,0),MATCH("CDIA Share", $A$3:$H$3,0)))</f>
        <v>#N/A</v>
      </c>
      <c r="O37" s="39" t="e">
        <f>IF($J37="","",", ou "&amp;RNDPFR($N37))</f>
        <v>#N/A</v>
      </c>
      <c r="P37" s="39" t="e">
        <f t="shared" si="14"/>
        <v>#N/A</v>
      </c>
      <c r="R37" s="39" t="str">
        <f>IFERROR(" ("&amp;RNDFR($L37)&amp;O37&amp;")","")</f>
        <v/>
      </c>
      <c r="S37" s="39" t="e">
        <f>IF(OR($J37="",$K38=""),"",", "&amp;IF(K39="","et ",""))</f>
        <v>#N/A</v>
      </c>
      <c r="U37" s="241"/>
      <c r="V37" s="242"/>
      <c r="W37" s="242"/>
      <c r="X37" s="242"/>
      <c r="Y37" s="242"/>
      <c r="Z37" s="242"/>
      <c r="AA37" s="242"/>
      <c r="AB37" s="242"/>
      <c r="AC37" s="243"/>
    </row>
    <row r="38" spans="1:29" x14ac:dyDescent="0.35">
      <c r="A38" s="57" t="s">
        <v>61</v>
      </c>
      <c r="B38" s="57" t="s">
        <v>299</v>
      </c>
      <c r="C38" s="57" t="e">
        <f t="shared" si="9"/>
        <v>#N/A</v>
      </c>
      <c r="D38" s="59" t="e">
        <f t="shared" si="10"/>
        <v>#N/A</v>
      </c>
      <c r="E38" s="57"/>
      <c r="F38" s="57" t="e">
        <f t="shared" si="11"/>
        <v>#N/A</v>
      </c>
      <c r="G38" s="59" t="e">
        <f t="shared" si="12"/>
        <v>#N/A</v>
      </c>
      <c r="J38" s="38" t="e">
        <f>IF(J37="","",IF(N36+N37&lt;$O$4,3,""))</f>
        <v>#N/A</v>
      </c>
      <c r="K38" s="39" t="e">
        <f>IF($J38="","",LOWER(LEFT(INDEX($A$3:$H$20,MATCH($J38,$H$3:$H$20,0),MATCH($B$3, $A$3:$H$3,0)), SEARCH("[",INDEX($A$3:$H$20,MATCH($J38,$H$3:$H$20,0),MATCH($B$3, $A$3:$H$3,0)))-2)))</f>
        <v>#N/A</v>
      </c>
      <c r="L38" s="39" t="e">
        <f>IF($J38="","",INDEX($A$3:$H$20,MATCH($J38,$H$3:$H$20,0),MATCH("CDIA",$A$3:$H$3,0)))</f>
        <v>#N/A</v>
      </c>
      <c r="M38" s="60" t="e">
        <f>IF($J38="","",IF(COUNT(J36:J38)&gt;1,"3)"&amp;CHAR(160),""))</f>
        <v>#N/A</v>
      </c>
      <c r="N38" s="61" t="e">
        <f>IF($J38="","",INDEX($A$3:$H$20,MATCH($J38,$H$3:$H$20,0),MATCH("CDIA Share", $A$3:$H$3,0)))</f>
        <v>#N/A</v>
      </c>
      <c r="O38" s="39" t="e">
        <f>IF($J38="","",", ou "&amp;RNDPFR($N38))</f>
        <v>#N/A</v>
      </c>
      <c r="P38" s="39" t="e">
        <f>IF($J38="","",RNDP($N38,0,1)/100)</f>
        <v>#N/A</v>
      </c>
      <c r="R38" s="39" t="str">
        <f>IFERROR(" ("&amp;RNDFR($L38)&amp;O38&amp;")","")</f>
        <v/>
      </c>
      <c r="S38" s="46"/>
      <c r="U38" s="241"/>
      <c r="V38" s="242"/>
      <c r="W38" s="242"/>
      <c r="X38" s="242"/>
      <c r="Y38" s="242"/>
      <c r="Z38" s="242"/>
      <c r="AA38" s="242"/>
      <c r="AB38" s="242"/>
      <c r="AC38" s="243"/>
    </row>
    <row r="39" spans="1:29" x14ac:dyDescent="0.35">
      <c r="A39" s="57" t="s">
        <v>62</v>
      </c>
      <c r="B39" s="164" t="s">
        <v>310</v>
      </c>
      <c r="C39" s="57" t="e">
        <f t="shared" si="9"/>
        <v>#N/A</v>
      </c>
      <c r="D39" s="59" t="e">
        <f t="shared" si="10"/>
        <v>#N/A</v>
      </c>
      <c r="E39" s="57"/>
      <c r="F39" s="57" t="e">
        <f t="shared" si="11"/>
        <v>#N/A</v>
      </c>
      <c r="G39" s="59" t="e">
        <f t="shared" si="12"/>
        <v>#N/A</v>
      </c>
      <c r="J39" s="63" t="str">
        <f>CHOOSE(COUNT(J36:J38),"le secteur de ","deux secteurs"&amp;CHAR(160)&amp;": ","trois secteurs"&amp;CHAR(160)&amp;": ")</f>
        <v xml:space="preserve">le secteur de </v>
      </c>
      <c r="K39" s="39"/>
      <c r="L39" s="60" t="e">
        <f>SUM($L36:$L38)</f>
        <v>#N/A</v>
      </c>
      <c r="M39" s="60"/>
      <c r="N39" s="61" t="e">
        <f>SUM($N36:$N38)</f>
        <v>#N/A</v>
      </c>
      <c r="O39" s="39" t="e">
        <f>RNDPFR($N39)</f>
        <v>#VALUE!</v>
      </c>
      <c r="P39" s="39" t="e">
        <f t="shared" si="14"/>
        <v>#VALUE!</v>
      </c>
      <c r="Q39" s="39" t="e">
        <f>IF($N39&gt;$P39,"Plus de ",IF($N39&lt;$P39,"Près de ",""))</f>
        <v>#N/A</v>
      </c>
      <c r="R39" s="39" t="str">
        <f>IFERROR("("&amp;RNDFR($L39)&amp;")","")</f>
        <v/>
      </c>
      <c r="U39" s="241"/>
      <c r="V39" s="242"/>
      <c r="W39" s="242"/>
      <c r="X39" s="242"/>
      <c r="Y39" s="242"/>
      <c r="Z39" s="242"/>
      <c r="AA39" s="242"/>
      <c r="AB39" s="242"/>
      <c r="AC39" s="243"/>
    </row>
    <row r="40" spans="1:29" x14ac:dyDescent="0.35">
      <c r="A40" s="57" t="s">
        <v>63</v>
      </c>
      <c r="B40" s="164" t="s">
        <v>311</v>
      </c>
      <c r="C40" s="57" t="e">
        <f t="shared" si="9"/>
        <v>#N/A</v>
      </c>
      <c r="D40" s="59" t="e">
        <f t="shared" si="10"/>
        <v>#N/A</v>
      </c>
      <c r="E40" s="57"/>
      <c r="F40" s="57" t="e">
        <f t="shared" si="11"/>
        <v>#N/A</v>
      </c>
      <c r="G40" s="59" t="e">
        <f t="shared" si="12"/>
        <v>#N/A</v>
      </c>
      <c r="J40" s="64" t="s">
        <v>109</v>
      </c>
      <c r="K40" s="39" t="str">
        <f>IFERROR("du stock de "&amp;LOWER(LEFT(INDEX($A$3:$H$20,MATCH(MAX($H$6:$H$20),$H$3:$H$20,0),MATCH($B$3,$A$3:$H$3,0)),SEARCH("[",INDEX($A$3:$H$20,MATCH(MAX($H$6:$H$20),$H$3:$H$20,0),MATCH($B$3,$A$3:$H$3,0)))-2)),"des stocks de toutes les autres industries")</f>
        <v>des stocks de toutes les autres industries</v>
      </c>
      <c r="L40" s="60" t="e">
        <f>INDEX($A$3:$H$20,MATCH(MAX($H$6:$H$20),$H$3:$H$20,0),MATCH("CDIA", $A$3:$H$3,0))</f>
        <v>#N/A</v>
      </c>
      <c r="M40" s="60"/>
      <c r="N40" s="61" t="e">
        <f>INDEX($A$3:$H$20,MATCH(MAX($H$6:$H$20),$H$3:$H$20,0),MATCH("CDIA Share", $A$3:$H$3,0))</f>
        <v>#N/A</v>
      </c>
      <c r="O40" s="39" t="e">
        <f>RNDPFR($N40)</f>
        <v>#VALUE!</v>
      </c>
      <c r="R40" s="39" t="str">
        <f>IFERROR(RNDFR($L40),"")</f>
        <v/>
      </c>
      <c r="U40" s="241"/>
      <c r="V40" s="242"/>
      <c r="W40" s="242"/>
      <c r="X40" s="242"/>
      <c r="Y40" s="242"/>
      <c r="Z40" s="242"/>
      <c r="AA40" s="242"/>
      <c r="AB40" s="242"/>
      <c r="AC40" s="243"/>
    </row>
    <row r="41" spans="1:29" ht="14.5" customHeight="1" x14ac:dyDescent="0.35">
      <c r="A41" s="57" t="s">
        <v>64</v>
      </c>
      <c r="B41" s="57" t="s">
        <v>300</v>
      </c>
      <c r="C41" s="57" t="e">
        <f t="shared" si="9"/>
        <v>#N/A</v>
      </c>
      <c r="D41" s="58" t="e">
        <f t="shared" si="10"/>
        <v>#N/A</v>
      </c>
      <c r="E41" s="58"/>
      <c r="F41" s="57" t="e">
        <f t="shared" si="11"/>
        <v>#N/A</v>
      </c>
      <c r="G41" s="58" t="e">
        <f t="shared" si="12"/>
        <v>#N/A</v>
      </c>
      <c r="J41"/>
      <c r="K41"/>
      <c r="L41"/>
      <c r="M41"/>
      <c r="N41"/>
      <c r="O41"/>
      <c r="U41" s="235" t="str">
        <f>IFERROR(IF($N39&gt;1,CHOOSE(COUNT(J36:J38)," Cette valeur"," La somme de ces deux valeurs"," La somme de ces trois valeurs")&amp;" est supérieure à la valeur totale du stock d'IDE, principalement en raison de la valeur négative "&amp;$K40&amp;" ("&amp;$R40&amp;").",""),"")</f>
        <v/>
      </c>
      <c r="V41" s="236"/>
      <c r="W41" s="236"/>
      <c r="X41" s="236"/>
      <c r="Y41" s="236"/>
      <c r="Z41" s="236"/>
      <c r="AA41" s="236"/>
      <c r="AB41" s="236"/>
      <c r="AC41" s="237"/>
    </row>
    <row r="42" spans="1:29" x14ac:dyDescent="0.35">
      <c r="A42" s="57" t="s">
        <v>65</v>
      </c>
      <c r="B42" s="57" t="s">
        <v>301</v>
      </c>
      <c r="C42" s="57" t="e">
        <f t="shared" si="9"/>
        <v>#N/A</v>
      </c>
      <c r="D42" s="59" t="e">
        <f t="shared" si="10"/>
        <v>#N/A</v>
      </c>
      <c r="E42" s="57"/>
      <c r="F42" s="57" t="e">
        <f t="shared" si="11"/>
        <v>#N/A</v>
      </c>
      <c r="G42" s="59" t="e">
        <f t="shared" si="12"/>
        <v>#N/A</v>
      </c>
      <c r="U42" s="238"/>
      <c r="V42" s="239"/>
      <c r="W42" s="239"/>
      <c r="X42" s="239"/>
      <c r="Y42" s="239"/>
      <c r="Z42" s="239"/>
      <c r="AA42" s="239"/>
      <c r="AB42" s="239"/>
      <c r="AC42" s="240"/>
    </row>
    <row r="43" spans="1:29" x14ac:dyDescent="0.35">
      <c r="A43" s="57" t="s">
        <v>66</v>
      </c>
      <c r="B43" s="57" t="s">
        <v>302</v>
      </c>
      <c r="C43" s="57" t="e">
        <f t="shared" si="9"/>
        <v>#N/A</v>
      </c>
      <c r="D43" s="59" t="e">
        <f t="shared" si="10"/>
        <v>#N/A</v>
      </c>
      <c r="E43" s="57"/>
      <c r="F43" s="57" t="e">
        <f t="shared" si="11"/>
        <v>#N/A</v>
      </c>
      <c r="G43" s="59" t="e">
        <f t="shared" si="12"/>
        <v>#N/A</v>
      </c>
    </row>
    <row r="44" spans="1:29" x14ac:dyDescent="0.35">
      <c r="A44" s="57" t="s">
        <v>67</v>
      </c>
      <c r="B44" s="57" t="s">
        <v>303</v>
      </c>
      <c r="C44" s="57" t="e">
        <f t="shared" si="9"/>
        <v>#N/A</v>
      </c>
      <c r="D44" s="59" t="e">
        <f t="shared" si="10"/>
        <v>#N/A</v>
      </c>
      <c r="E44" s="57"/>
      <c r="F44" s="57" t="e">
        <f t="shared" si="11"/>
        <v>#N/A</v>
      </c>
      <c r="G44" s="59" t="e">
        <f t="shared" si="12"/>
        <v>#N/A</v>
      </c>
    </row>
    <row r="45" spans="1:29" x14ac:dyDescent="0.35">
      <c r="A45" s="57" t="s">
        <v>68</v>
      </c>
      <c r="B45" s="57" t="s">
        <v>304</v>
      </c>
      <c r="C45" s="57" t="e">
        <f t="shared" si="9"/>
        <v>#N/A</v>
      </c>
      <c r="D45" s="59" t="e">
        <f t="shared" si="10"/>
        <v>#N/A</v>
      </c>
      <c r="E45" s="57"/>
      <c r="F45" s="57" t="e">
        <f t="shared" si="11"/>
        <v>#N/A</v>
      </c>
      <c r="G45" s="59" t="e">
        <f t="shared" si="12"/>
        <v>#N/A</v>
      </c>
    </row>
    <row r="46" spans="1:29" x14ac:dyDescent="0.35">
      <c r="A46" s="57" t="s">
        <v>69</v>
      </c>
      <c r="B46" s="57" t="s">
        <v>305</v>
      </c>
      <c r="C46" s="57" t="e">
        <f t="shared" si="9"/>
        <v>#N/A</v>
      </c>
      <c r="D46" s="59" t="e">
        <f t="shared" si="10"/>
        <v>#N/A</v>
      </c>
      <c r="E46" s="57"/>
      <c r="F46" s="57" t="e">
        <f t="shared" si="11"/>
        <v>#N/A</v>
      </c>
      <c r="G46" s="59" t="e">
        <f t="shared" si="12"/>
        <v>#N/A</v>
      </c>
    </row>
    <row r="47" spans="1:29" x14ac:dyDescent="0.35">
      <c r="A47" s="57" t="s">
        <v>70</v>
      </c>
      <c r="B47" s="57" t="s">
        <v>306</v>
      </c>
      <c r="C47" s="57" t="e">
        <f t="shared" si="9"/>
        <v>#N/A</v>
      </c>
      <c r="D47" s="59" t="e">
        <f t="shared" si="10"/>
        <v>#N/A</v>
      </c>
      <c r="E47" s="57"/>
      <c r="F47" s="57" t="e">
        <f t="shared" si="11"/>
        <v>#N/A</v>
      </c>
      <c r="G47" s="59" t="e">
        <f t="shared" si="12"/>
        <v>#N/A</v>
      </c>
    </row>
    <row r="48" spans="1:29" x14ac:dyDescent="0.35">
      <c r="A48" s="57" t="s">
        <v>71</v>
      </c>
      <c r="B48" s="57" t="s">
        <v>307</v>
      </c>
      <c r="C48" s="57" t="e">
        <f t="shared" si="9"/>
        <v>#N/A</v>
      </c>
      <c r="D48" s="59" t="e">
        <f t="shared" si="10"/>
        <v>#N/A</v>
      </c>
      <c r="E48" s="57"/>
      <c r="F48" s="57" t="e">
        <f t="shared" si="11"/>
        <v>#N/A</v>
      </c>
      <c r="G48" s="59" t="e">
        <f t="shared" si="12"/>
        <v>#N/A</v>
      </c>
    </row>
  </sheetData>
  <mergeCells count="8">
    <mergeCell ref="U41:AC42"/>
    <mergeCell ref="U16:AC20"/>
    <mergeCell ref="U7:AC11"/>
    <mergeCell ref="U27:AC31"/>
    <mergeCell ref="U36:AC40"/>
    <mergeCell ref="U12:AC13"/>
    <mergeCell ref="U21:AC22"/>
    <mergeCell ref="U32:AC3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1"/>
  </sheetPr>
  <dimension ref="A1:AM112"/>
  <sheetViews>
    <sheetView showGridLines="0" zoomScale="90" zoomScaleNormal="90" workbookViewId="0">
      <selection activeCell="A5" sqref="A5"/>
    </sheetView>
  </sheetViews>
  <sheetFormatPr defaultColWidth="8.81640625" defaultRowHeight="12.5" x14ac:dyDescent="0.25"/>
  <cols>
    <col min="1" max="1" width="44.36328125" bestFit="1" customWidth="1"/>
    <col min="2" max="7" width="14.36328125" customWidth="1"/>
    <col min="8" max="8" width="10.1796875" bestFit="1" customWidth="1"/>
    <col min="9" max="9" width="11.90625" customWidth="1"/>
    <col min="10" max="10" width="11.81640625" customWidth="1"/>
    <col min="15" max="15" width="9.81640625" bestFit="1" customWidth="1"/>
    <col min="16" max="16" width="9.81640625" customWidth="1"/>
    <col min="17" max="17" width="8" bestFit="1" customWidth="1"/>
    <col min="21" max="21" width="116.6328125" customWidth="1"/>
    <col min="24" max="24" width="19.6328125" customWidth="1"/>
    <col min="25" max="25" width="14" customWidth="1"/>
    <col min="26" max="26" width="12.1796875" customWidth="1"/>
    <col min="27" max="27" width="9.7265625" customWidth="1"/>
    <col min="29" max="29" width="10.6328125" customWidth="1"/>
    <col min="30" max="30" width="8.81640625" customWidth="1"/>
    <col min="36" max="36" width="10" customWidth="1"/>
    <col min="37" max="37" width="13.90625" bestFit="1" customWidth="1"/>
    <col min="39" max="39" width="116.26953125" customWidth="1"/>
  </cols>
  <sheetData>
    <row r="1" spans="1:39" x14ac:dyDescent="0.25">
      <c r="A1" s="1" t="s">
        <v>137</v>
      </c>
      <c r="B1" s="1"/>
      <c r="C1" s="1"/>
      <c r="D1" s="1"/>
      <c r="E1" s="1"/>
      <c r="F1" s="1"/>
      <c r="G1" s="1"/>
      <c r="H1" s="1"/>
      <c r="W1" s="178"/>
    </row>
    <row r="2" spans="1:39" x14ac:dyDescent="0.25">
      <c r="A2" t="s">
        <v>136</v>
      </c>
      <c r="E2" s="1"/>
      <c r="F2" s="1"/>
      <c r="G2" s="1"/>
      <c r="H2" s="1"/>
      <c r="W2" s="178"/>
    </row>
    <row r="3" spans="1:39" ht="18.5" x14ac:dyDescent="0.45">
      <c r="A3" s="1" t="str">
        <f>country</f>
        <v>Australia</v>
      </c>
      <c r="B3" s="1" t="e">
        <f>maxyearAMNE-1</f>
        <v>#N/A</v>
      </c>
      <c r="C3" t="e">
        <f>maxyearAMNE</f>
        <v>#N/A</v>
      </c>
      <c r="D3" s="1"/>
      <c r="E3" s="1"/>
      <c r="F3" s="1"/>
      <c r="G3" s="65" t="s">
        <v>283</v>
      </c>
      <c r="H3" s="1"/>
      <c r="W3" s="178"/>
      <c r="X3" s="65" t="s">
        <v>195</v>
      </c>
    </row>
    <row r="4" spans="1:39" ht="13" x14ac:dyDescent="0.3">
      <c r="A4" s="66" t="s">
        <v>163</v>
      </c>
      <c r="B4" s="67" t="e">
        <f>"Value "&amp;maxyearAMNE-1</f>
        <v>#N/A</v>
      </c>
      <c r="C4" s="67" t="e">
        <f>"Value "&amp;maxyearAMNE</f>
        <v>#N/A</v>
      </c>
      <c r="D4" s="67" t="s">
        <v>165</v>
      </c>
      <c r="E4" s="67" t="s">
        <v>168</v>
      </c>
      <c r="F4" s="74" t="s">
        <v>167</v>
      </c>
      <c r="G4" s="67" t="s">
        <v>174</v>
      </c>
      <c r="H4" s="74" t="s">
        <v>281</v>
      </c>
      <c r="I4" s="74" t="s">
        <v>282</v>
      </c>
      <c r="K4" s="67" t="s">
        <v>37</v>
      </c>
      <c r="L4" s="67" t="s">
        <v>272</v>
      </c>
      <c r="M4" s="67" t="s">
        <v>273</v>
      </c>
      <c r="N4" s="67" t="s">
        <v>188</v>
      </c>
      <c r="O4" s="67" t="s">
        <v>273</v>
      </c>
      <c r="P4" s="67" t="s">
        <v>278</v>
      </c>
      <c r="Q4" s="67" t="s">
        <v>279</v>
      </c>
      <c r="R4" s="67"/>
      <c r="U4" s="67" t="s">
        <v>101</v>
      </c>
      <c r="W4" s="178"/>
      <c r="X4" s="66" t="s">
        <v>163</v>
      </c>
      <c r="Y4" s="67" t="s">
        <v>174</v>
      </c>
      <c r="Z4" s="74" t="s">
        <v>281</v>
      </c>
      <c r="AA4" s="74" t="s">
        <v>282</v>
      </c>
      <c r="AC4" s="67" t="s">
        <v>37</v>
      </c>
      <c r="AD4" s="67" t="s">
        <v>272</v>
      </c>
      <c r="AE4" s="67" t="s">
        <v>273</v>
      </c>
      <c r="AF4" s="67" t="s">
        <v>188</v>
      </c>
      <c r="AG4" s="67" t="s">
        <v>273</v>
      </c>
      <c r="AH4" s="67" t="s">
        <v>278</v>
      </c>
      <c r="AI4" s="67" t="s">
        <v>279</v>
      </c>
      <c r="AJ4" s="67"/>
      <c r="AM4" s="67" t="s">
        <v>101</v>
      </c>
    </row>
    <row r="5" spans="1:39" x14ac:dyDescent="0.25">
      <c r="A5" s="68" t="s">
        <v>127</v>
      </c>
      <c r="B5" s="39" t="e">
        <f>INDEX(amne,MATCH(maxyearAMNE-1&amp;country&amp;$A5&amp;$A$2,amne_row,0),MATCH("VALUE", amne_col,0))</f>
        <v>#N/A</v>
      </c>
      <c r="C5" s="39" t="e">
        <f t="shared" ref="C5:C10" si="0">INDEX(amne,MATCH(maxyearAMNE&amp;country&amp;$A5&amp;$A$2,amne_row,0),MATCH("VALUE", amne_col,0))</f>
        <v>#N/A</v>
      </c>
      <c r="D5" s="39" t="e">
        <f t="shared" ref="D5:D10" si="1">$C5-$B5</f>
        <v>#N/A</v>
      </c>
      <c r="E5" s="72" t="e">
        <f t="shared" ref="E5:E10" si="2">$D5/$B5</f>
        <v>#N/A</v>
      </c>
      <c r="F5" s="72" t="e">
        <f t="shared" ref="F5:F10" si="3">$C5/$C17</f>
        <v>#N/A</v>
      </c>
      <c r="G5" s="39" t="e">
        <f>INDEX(amneEnterprises,MATCH(country,amneEnterprises_row,0),MATCH($G$4, amneEnterprises_col,0))</f>
        <v>#N/A</v>
      </c>
      <c r="H5" s="39" t="e">
        <f>IF($G5=1,"the number of enterprises","")</f>
        <v>#N/A</v>
      </c>
      <c r="I5" s="38" t="e">
        <f>IF(G5&lt;&gt;1,"",IF(COUNTIF($G5:$G$10,1)&gt;2, ", ",IF(COUNTIF($G5:$G$10,1)=2," and ",". ")))</f>
        <v>#N/A</v>
      </c>
      <c r="K5" s="39" t="str">
        <f>IFERROR(RND($C5,0,1),"")</f>
        <v/>
      </c>
      <c r="L5" s="38" t="str">
        <f>IFERROR(IF($C5&gt;=10000,ROUND($C5/1000,1)*1000,IF($C5&gt;=1000,ROUND($C5/1000,1)*1000,IF($C5&gt;=100,ROUND($C5/100,1)*100,$C5))),"")</f>
        <v/>
      </c>
      <c r="M5" s="38" t="e">
        <f>IF($C5&gt;$L5, "over ", IF($C5&lt;$L5, "nearly ", ""))</f>
        <v>#N/A</v>
      </c>
      <c r="N5" s="38" t="e">
        <f>IF($D5&gt;0," an increase of ",IF($D5&lt;0," a decrease of "," unchanged"))</f>
        <v>#N/A</v>
      </c>
      <c r="O5" s="38" t="e">
        <f>IF($D5&gt;0," higher",IF($D5&lt;0," lower",""))</f>
        <v>#N/A</v>
      </c>
      <c r="P5" s="38" t="e">
        <f>IF($E5=0,"",RNDP($E5,1))</f>
        <v>#N/A</v>
      </c>
      <c r="Q5" s="38" t="e">
        <f>RNDP($F5)</f>
        <v>#VALUE!</v>
      </c>
      <c r="R5" s="38" t="e">
        <f>IF(AND(N5=" unchanged",N6="unchanged"),"",IF(N5="",""," and "))</f>
        <v>#N/A</v>
      </c>
      <c r="U5" s="38" t="e">
        <f>"In "&amp;maxyearAMNE&amp;", there were "&amp;M5&amp;K5&amp;" "&amp;adjective&amp;" affiliates "</f>
        <v>#N/A</v>
      </c>
      <c r="W5" s="178"/>
      <c r="X5" s="68" t="s">
        <v>127</v>
      </c>
      <c r="Y5" s="39" t="e">
        <f>INDEX(amneEnterprises,MATCH(country,amneEnterprises_row,0),MATCH($G$4, amneEnterprises_col,0))</f>
        <v>#N/A</v>
      </c>
      <c r="Z5" s="39" t="e">
        <f>IF($G5=1,"le nombre d'entreprises","")</f>
        <v>#N/A</v>
      </c>
      <c r="AA5" s="38" t="e">
        <f>IF(Y5&lt;&gt;1,"",IF(COUNTIF($G5:$G$10,1)&gt;2, ", ",IF(COUNTIF($G5:$G$10,1)=2," et ",". ")))</f>
        <v>#N/A</v>
      </c>
      <c r="AC5" s="39" t="str">
        <f>IFERROR(RNDFR($C5,0,1),"")</f>
        <v/>
      </c>
      <c r="AD5" s="38" t="str">
        <f>IFERROR(IF($C5&gt;=10000,ROUND($C5/1000,1)*1000,IF($C5&gt;=1000,ROUND($C5/1000,1)*1000,IF($C5&gt;=100,ROUND($C5/100,1)*100,$C5))),"")</f>
        <v/>
      </c>
      <c r="AE5" s="38" t="e">
        <f>IF($C5&gt;$L5, "plus de ", IF($C5&lt;$L5, "près de ", ""))</f>
        <v>#N/A</v>
      </c>
      <c r="AF5" s="38" t="e">
        <f>IF($D5&gt;0," soit une augmentation de ",IF($D5&lt;0," soit une diminution de "," inchangé"))</f>
        <v>#N/A</v>
      </c>
      <c r="AG5" s="38" t="e">
        <f>IF($D5&gt;0," augmenté",IF($D5&lt;0," diminué",""))</f>
        <v>#N/A</v>
      </c>
      <c r="AH5" s="38" t="e">
        <f>IF($E5=0,"",RNDPFR($E5,1))</f>
        <v>#N/A</v>
      </c>
      <c r="AI5" s="38" t="e">
        <f t="shared" ref="AI5:AI10" si="4">RNDPFR($F5)</f>
        <v>#VALUE!</v>
      </c>
      <c r="AJ5" s="38" t="e">
        <f>IF(AND(AF5=" inchangé",AF6="inchangé"),"",IF(AF5="",""," et "))</f>
        <v>#N/A</v>
      </c>
      <c r="AM5" s="38" t="e">
        <f>"En "&amp;maxyearAMNE&amp;", il y avait "&amp;AE5&amp;AC5&amp;CHAR(160)&amp;"filiales "&amp;femininPlural&amp;" "</f>
        <v>#N/A</v>
      </c>
    </row>
    <row r="6" spans="1:39" ht="14" customHeight="1" x14ac:dyDescent="0.25">
      <c r="A6" s="68" t="s">
        <v>128</v>
      </c>
      <c r="B6" s="39" t="e">
        <f>INDEX(amne,MATCH(maxyearAMNE-1&amp;country&amp;$A6&amp;$A$2,amne_row,0),MATCH("VALUE", amne_col,0))</f>
        <v>#N/A</v>
      </c>
      <c r="C6" s="39" t="e">
        <f t="shared" si="0"/>
        <v>#N/A</v>
      </c>
      <c r="D6" s="39" t="e">
        <f t="shared" si="1"/>
        <v>#N/A</v>
      </c>
      <c r="E6" s="72" t="e">
        <f t="shared" si="2"/>
        <v>#N/A</v>
      </c>
      <c r="F6" s="72" t="e">
        <f t="shared" si="3"/>
        <v>#N/A</v>
      </c>
      <c r="G6" s="39" t="e">
        <f>INDEX(amneJobs,MATCH(country,amneJobs_row,0),MATCH($G$4, amneJobs_col,0))</f>
        <v>#N/A</v>
      </c>
      <c r="H6" s="39" t="e">
        <f>IF($G6=1,"total jobs","")</f>
        <v>#N/A</v>
      </c>
      <c r="I6" s="38" t="e">
        <f>IF(G6&lt;&gt;1,"",IF(COUNTIF($G6:$G$10,1)&gt;2, ", ",IF(COUNTIF($G6:$G$10,1)=2," and ",". ")))</f>
        <v>#N/A</v>
      </c>
      <c r="K6" s="39" t="str">
        <f>IFERROR(RND($C6,0,1),"")</f>
        <v/>
      </c>
      <c r="L6" s="38" t="str">
        <f>IFERROR(IF($C6&gt;=10000,ROUND($C6/1000,1)*1000,IF($C6&gt;=1000,ROUND($C6/1000,1)*1000,IF($C6&gt;=100,ROUND($C6/100,1)*100,$C6))),"")</f>
        <v/>
      </c>
      <c r="M6" s="38" t="e">
        <f>IF($C6&gt;$L6, "over ", IF($C6&lt;$L6, "nearly ", ""))</f>
        <v>#N/A</v>
      </c>
      <c r="N6" s="38" t="e">
        <f>IF($D6&gt;0,"an increase of ",IF($D6&lt;0,"a decrease of ","unchanged"))</f>
        <v>#N/A</v>
      </c>
      <c r="O6" s="38" t="e">
        <f>IF($D6&gt;0," higher",IF($D6&lt;0," lower",""))</f>
        <v>#N/A</v>
      </c>
      <c r="P6" s="38" t="e">
        <f t="shared" ref="P6:P10" si="5">IF($E6=0,"",RNDP($E6,1))</f>
        <v>#N/A</v>
      </c>
      <c r="Q6" s="38" t="e">
        <f t="shared" ref="Q6:Q10" si="6">RNDP($F6)</f>
        <v>#VALUE!</v>
      </c>
      <c r="R6" s="38" t="e">
        <f>IF(AND(N5=" unchanged",N6="unchanged")," both","")</f>
        <v>#N/A</v>
      </c>
      <c r="U6" s="38" t="e">
        <f>"that employed "&amp;M6&amp;K6&amp;" Canadians,"&amp;R6&amp;N5&amp;P5&amp;R5&amp;R7&amp;"since "&amp;maxyearAMNE-1&amp;". "</f>
        <v>#N/A</v>
      </c>
      <c r="W6" s="178"/>
      <c r="X6" s="68" t="s">
        <v>128</v>
      </c>
      <c r="Y6" s="39" t="e">
        <f>INDEX(amneJobs,MATCH(country,amneJobs_row,0),MATCH($G$4, amneJobs_col,0))</f>
        <v>#N/A</v>
      </c>
      <c r="Z6" s="39" t="e">
        <f>IF($G6=1,"le nombre total d’emplois","")</f>
        <v>#N/A</v>
      </c>
      <c r="AA6" s="38" t="e">
        <f>IF(Y6&lt;&gt;1,"",IF(COUNTIF($G6:$G$10,1)&gt;2, ", ",IF(COUNTIF($G6:$G$10,1)=2," et ",". ")))</f>
        <v>#N/A</v>
      </c>
      <c r="AC6" s="39" t="str">
        <f>IFERROR(RNDFR($C6,0,1),"")</f>
        <v/>
      </c>
      <c r="AD6" s="38" t="str">
        <f>IFERROR(IF($C6&gt;=10000,ROUND($C6/1000,1)*1000,IF($C6&gt;=1000,ROUND($C6/1000,1)*1000,IF($C6&gt;=100,ROUND($C6/100,1)*100,$C6))),"")</f>
        <v/>
      </c>
      <c r="AE6" s="38" t="e">
        <f>IF($C6&gt;$L6, "plus de ", IF($C6&lt;$L6, "près de ", ""))</f>
        <v>#N/A</v>
      </c>
      <c r="AF6" s="38" t="e">
        <f>IF($D6&gt;0,"une augmentation de ",IF($D6&lt;0,"une diminution de ","inchangé"))</f>
        <v>#N/A</v>
      </c>
      <c r="AG6" s="38" t="e">
        <f>IF($D6&gt;0," augmenté",IF($D6&lt;0," diminué",""))</f>
        <v>#N/A</v>
      </c>
      <c r="AH6" s="38" t="e">
        <f t="shared" ref="AH6:AH10" si="7">IF($E6=0,"",RNDPFR($E6,1))</f>
        <v>#N/A</v>
      </c>
      <c r="AI6" s="38" t="e">
        <f t="shared" si="4"/>
        <v>#VALUE!</v>
      </c>
      <c r="AJ6" s="38" t="e">
        <f>IF(AND(AF5=" inchangé",AF6="inchangé")," deux chiffres"&amp;AF5&amp;"s ",AF5)</f>
        <v>#N/A</v>
      </c>
      <c r="AM6" s="38" t="e">
        <f>"qui employaient "&amp;AE6&amp;AC6&amp;" de Canadiens,"&amp;AJ6&amp;AH5&amp;AJ5&amp;AJ7</f>
        <v>#N/A</v>
      </c>
    </row>
    <row r="7" spans="1:39" x14ac:dyDescent="0.25">
      <c r="A7" s="68" t="s">
        <v>130</v>
      </c>
      <c r="B7" s="39" t="e">
        <f t="shared" ref="B7:B10" si="8">INDEX(amne,MATCH(maxyearAMNE-1&amp;country&amp;$A7&amp;$A$2,amne_row,0),MATCH("VALUE", amne_col,0))</f>
        <v>#N/A</v>
      </c>
      <c r="C7" s="39" t="e">
        <f t="shared" si="0"/>
        <v>#N/A</v>
      </c>
      <c r="D7" s="39" t="e">
        <f t="shared" si="1"/>
        <v>#N/A</v>
      </c>
      <c r="E7" s="72" t="e">
        <f t="shared" si="2"/>
        <v>#N/A</v>
      </c>
      <c r="F7" s="72" t="e">
        <f t="shared" si="3"/>
        <v>#N/A</v>
      </c>
      <c r="G7" s="39" t="e">
        <f>INDEX(amneGDP,MATCH(country,amneGDP_row,0),MATCH($G$4, amneGDP_col,0))</f>
        <v>#N/A</v>
      </c>
      <c r="H7" s="39" t="e">
        <f>IF($G7=1,"GDP","")</f>
        <v>#N/A</v>
      </c>
      <c r="I7" s="38" t="e">
        <f>IF(G7&lt;&gt;1,"",IF(COUNTIF($G7:$G$10,1)&gt;2, ", ",IF(COUNTIF($G7:$G$10,1)=2," and ",". ")))</f>
        <v>#N/A</v>
      </c>
      <c r="K7" s="38" t="str">
        <f>IFERROR(RND($C7),"")</f>
        <v/>
      </c>
      <c r="L7" s="38" t="str">
        <f>IFERROR(IF($C7&gt;=10000,ROUND($C7/1000,0)*1000,IF($C7&gt;=1000,ROUND($C7/1000,1)*1000,IF($C7&gt;=100,ROUND($C7/100,1)*100,$C7))),"")</f>
        <v/>
      </c>
      <c r="M7" s="38" t="e">
        <f>IF($C7&gt;$L7, "over ", IF($C7&lt;$L7, "nearly ", ""))</f>
        <v>#N/A</v>
      </c>
      <c r="N7" s="38" t="e">
        <f t="shared" ref="N7:N10" si="9">IF($D7&gt;0," an increase of ",IF($D7&lt;0," a decrease of "," unchanged"))</f>
        <v>#N/A</v>
      </c>
      <c r="O7" s="38" t="e">
        <f t="shared" ref="O7:O8" si="10">IF($D7&gt;0," higher",IF($D7&lt;0," lower",""))</f>
        <v>#N/A</v>
      </c>
      <c r="P7" s="38" t="e">
        <f t="shared" si="5"/>
        <v>#N/A</v>
      </c>
      <c r="Q7" s="38" t="e">
        <f t="shared" si="6"/>
        <v>#VALUE!</v>
      </c>
      <c r="R7" s="38" t="e">
        <f>IF(O6=O5,"",N6)&amp;P6&amp;IF(AND(N5=" unchanged",N6="unchanged"),"",", respectively, ")</f>
        <v>#N/A</v>
      </c>
      <c r="U7" s="38" t="e">
        <f>adjective&amp;" affiliates contributed "&amp;M7&amp;K7&amp;" to the Canadian economy, which accounted for "&amp;Q7&amp;" of the total contribution by foreign affiliates, "</f>
        <v>#N/A</v>
      </c>
      <c r="W7" s="178"/>
      <c r="X7" s="68" t="s">
        <v>130</v>
      </c>
      <c r="Y7" s="39" t="e">
        <f>INDEX(amneGDP,MATCH(country,amneGDP_row,0),MATCH($G$4, amneGDP_col,0))</f>
        <v>#N/A</v>
      </c>
      <c r="Z7" s="39" t="e">
        <f>IF($G7=1,"le PIB","")</f>
        <v>#N/A</v>
      </c>
      <c r="AA7" s="38" t="e">
        <f>IF(Y7&lt;&gt;1,"",IF(COUNTIF($G7:$G$10,1)&gt;2, ", ",IF(COUNTIF($G7:$G$10,1)=2," et ",". ")))</f>
        <v>#N/A</v>
      </c>
      <c r="AC7" s="38" t="str">
        <f>IFERROR(RNDFR($C7),"")</f>
        <v/>
      </c>
      <c r="AD7" s="38" t="str">
        <f>IFERROR(IF($C7&gt;=10000,ROUND($C7/1000,0)*1000,IF($C7&gt;=1000,ROUND($C7/1000,1)*1000,IF($C7&gt;=100,ROUND($C7/100,1)*100,$C7))),"")</f>
        <v/>
      </c>
      <c r="AE7" s="38" t="e">
        <f>IF($C7&gt;$L7, "plus de ", IF($C7&lt;$L7, "près de ", ""))</f>
        <v>#N/A</v>
      </c>
      <c r="AF7" s="38" t="e">
        <f t="shared" ref="AF7:AF10" si="11">IF($D7&gt;0," soit une augmentation de ",IF($D7&lt;0," soit une diminution de "," inchangé"))</f>
        <v>#N/A</v>
      </c>
      <c r="AG7" s="38" t="e">
        <f t="shared" ref="AG7:AG10" si="12">IF($D7&gt;0," augmenté",IF($D7&lt;0," diminué",""))</f>
        <v>#N/A</v>
      </c>
      <c r="AH7" s="38" t="e">
        <f t="shared" si="7"/>
        <v>#N/A</v>
      </c>
      <c r="AI7" s="38" t="e">
        <f t="shared" si="4"/>
        <v>#VALUE!</v>
      </c>
      <c r="AJ7" s="38" t="e">
        <f>IF(AG6=AG5,"",AF6)&amp;AH6&amp;IF(AND(AF5=" inchangé",AF6="inchangé"),""," depuis "&amp;maxyearAMNE-1&amp;", respectivement. ")</f>
        <v>#N/A</v>
      </c>
      <c r="AM7" s="38" t="e">
        <f>"Les filiales "&amp;femininPlural&amp;" ont contribué pour "&amp;AE7&amp;AC7&amp;" à l’économie canadienne"&amp;CHAR(160)&amp;"; leur production représentait "&amp;AI7&amp;" de la contribution totale par des filiales d’entreprises étrangères, "</f>
        <v>#N/A</v>
      </c>
    </row>
    <row r="8" spans="1:39" x14ac:dyDescent="0.25">
      <c r="A8" s="68" t="s">
        <v>129</v>
      </c>
      <c r="B8" s="39" t="e">
        <f t="shared" si="8"/>
        <v>#N/A</v>
      </c>
      <c r="C8" s="39" t="e">
        <f t="shared" si="0"/>
        <v>#N/A</v>
      </c>
      <c r="D8" s="39" t="e">
        <f t="shared" si="1"/>
        <v>#N/A</v>
      </c>
      <c r="E8" s="72" t="e">
        <f t="shared" si="2"/>
        <v>#N/A</v>
      </c>
      <c r="F8" s="72" t="e">
        <f t="shared" si="3"/>
        <v>#N/A</v>
      </c>
      <c r="G8" s="39" t="e">
        <f>INDEX(amneRevenues,MATCH(country,amneRevenues_row,0),MATCH($G$4, amneRevenues_col,0))</f>
        <v>#N/A</v>
      </c>
      <c r="H8" s="39" t="e">
        <f>IF($G8=1,"revenues","")</f>
        <v>#N/A</v>
      </c>
      <c r="I8" s="38" t="e">
        <f>IF(G8&lt;&gt;1,"",IF(COUNTIF($G8:$G$10,1)&gt;2, ", ",IF(COUNTIF($G8:$G$10,1)=2," and ",". ")))</f>
        <v>#N/A</v>
      </c>
      <c r="K8" s="38" t="str">
        <f>IFERROR(RND($C8),"")</f>
        <v/>
      </c>
      <c r="L8" s="38" t="str">
        <f>IFERROR(IF($C8&gt;=10000,ROUND($C8/1000,0)*1000,IF($C8&gt;=1000,ROUND($C8/1000,1)*1000,IF($C8&gt;=100,ROUND($C8/100,1)*100,$C8))),"")</f>
        <v/>
      </c>
      <c r="M8" s="38" t="e">
        <f>IF($C8&gt;$L8, "over ", IF($C8&lt;$L8, "nearly ", ""))</f>
        <v>#N/A</v>
      </c>
      <c r="N8" s="38" t="e">
        <f t="shared" si="9"/>
        <v>#N/A</v>
      </c>
      <c r="O8" s="38" t="e">
        <f t="shared" si="10"/>
        <v>#N/A</v>
      </c>
      <c r="P8" s="38" t="e">
        <f t="shared" si="5"/>
        <v>#N/A</v>
      </c>
      <c r="Q8" s="38" t="e">
        <f t="shared" si="6"/>
        <v>#VALUE!</v>
      </c>
      <c r="R8" t="e">
        <f>"Comparing "&amp;maxyearAMNE&amp;" with the previous year, "</f>
        <v>#N/A</v>
      </c>
      <c r="U8" s="38" t="e">
        <f>"and generated "&amp;M8&amp;K8&amp;" in revenues. "</f>
        <v>#N/A</v>
      </c>
      <c r="W8" s="178"/>
      <c r="X8" s="68" t="s">
        <v>129</v>
      </c>
      <c r="Y8" s="39" t="e">
        <f>INDEX(amneRevenues,MATCH(country,amneRevenues_row,0),MATCH($G$4, amneRevenues_col,0))</f>
        <v>#N/A</v>
      </c>
      <c r="Z8" s="39" t="e">
        <f>IF($G8=1,"les recettes","")</f>
        <v>#N/A</v>
      </c>
      <c r="AA8" s="38" t="e">
        <f>IF(Y8&lt;&gt;1,"",IF(COUNTIF($G8:$G$10,1)&gt;2, ", ",IF(COUNTIF($G8:$G$10,1)=2," et ",". ")))</f>
        <v>#N/A</v>
      </c>
      <c r="AC8" s="38" t="str">
        <f>IFERROR(RNDFR($C8),"")</f>
        <v/>
      </c>
      <c r="AD8" s="38" t="str">
        <f>IFERROR(IF($C8&gt;=10000,ROUND($C8/1000,0)*1000,IF($C8&gt;=1000,ROUND($C8/1000,1)*1000,IF($C8&gt;=100,ROUND($C8/100,1)*100,$C8))),"")</f>
        <v/>
      </c>
      <c r="AE8" s="38" t="e">
        <f>IF($C8&gt;$L8, "plus de ", IF($C8&lt;$L8, "près de ", ""))</f>
        <v>#N/A</v>
      </c>
      <c r="AF8" s="38" t="e">
        <f t="shared" si="11"/>
        <v>#N/A</v>
      </c>
      <c r="AG8" s="38" t="e">
        <f t="shared" si="12"/>
        <v>#N/A</v>
      </c>
      <c r="AH8" s="38" t="e">
        <f t="shared" si="7"/>
        <v>#N/A</v>
      </c>
      <c r="AI8" s="38" t="e">
        <f t="shared" si="4"/>
        <v>#VALUE!</v>
      </c>
      <c r="AM8" s="38" t="e">
        <f>"et ont généré "&amp;AE8&amp;AC8&amp;" de recettes. "</f>
        <v>#N/A</v>
      </c>
    </row>
    <row r="9" spans="1:39" x14ac:dyDescent="0.25">
      <c r="A9" s="68" t="s">
        <v>131</v>
      </c>
      <c r="B9" s="39" t="e">
        <f t="shared" si="8"/>
        <v>#N/A</v>
      </c>
      <c r="C9" s="39" t="e">
        <f t="shared" si="0"/>
        <v>#N/A</v>
      </c>
      <c r="D9" s="39" t="e">
        <f t="shared" si="1"/>
        <v>#N/A</v>
      </c>
      <c r="E9" s="72" t="e">
        <f t="shared" si="2"/>
        <v>#N/A</v>
      </c>
      <c r="F9" s="72" t="e">
        <f t="shared" si="3"/>
        <v>#N/A</v>
      </c>
      <c r="G9" s="39" t="e">
        <f>INDEX(amneImports,MATCH(country,amneImports_row,0),MATCH($G$4, amneImports_col,0))</f>
        <v>#N/A</v>
      </c>
      <c r="H9" s="39" t="e">
        <f>IF($G9=1,"imports","")</f>
        <v>#N/A</v>
      </c>
      <c r="I9" s="38" t="e">
        <f>IF(G9&lt;&gt;1,"",IF(COUNTIF($G9:$G$10,1)&gt;2, ", ",IF(COUNTIF($G9:$G$10,1)=2," and ",". ")))</f>
        <v>#N/A</v>
      </c>
      <c r="K9" s="38" t="str">
        <f>IFERROR(RND($C9),"")</f>
        <v/>
      </c>
      <c r="L9" s="38" t="str">
        <f>IFERROR(IF($C9&gt;=10000,ROUND($C9/1000,0)*1000,IF($C9&gt;=1000,ROUND($C9/1000,1)*1000,IF($C9&gt;=100,ROUND($C9/100,1)*100,$C9))),"")</f>
        <v/>
      </c>
      <c r="M9" s="38" t="e">
        <f>IF($C9&gt;$L9, "over ", IF($C9&lt;$L9, "almost ", ""))</f>
        <v>#N/A</v>
      </c>
      <c r="N9" s="38" t="e">
        <f t="shared" si="9"/>
        <v>#N/A</v>
      </c>
      <c r="O9" s="38" t="e">
        <f>IF($D9&gt;0," higher than their ",IF($D9&lt;0," lower than their ","unchanged from their "))</f>
        <v>#N/A</v>
      </c>
      <c r="P9" s="38" t="e">
        <f t="shared" si="5"/>
        <v>#N/A</v>
      </c>
      <c r="Q9" s="38" t="e">
        <f t="shared" si="6"/>
        <v>#VALUE!</v>
      </c>
      <c r="R9" s="38" t="e">
        <f>"imports "&amp;IF(P9=P10,"and exports ","")&amp;"were "&amp;P9&amp;O9&amp;maxyearAMNE-1&amp;" value"</f>
        <v>#N/A</v>
      </c>
      <c r="U9" s="38" t="e">
        <f>"Their merchandise imports were valued at "&amp;M9&amp;K9&amp;", "</f>
        <v>#N/A</v>
      </c>
      <c r="W9" s="178"/>
      <c r="X9" s="68" t="s">
        <v>131</v>
      </c>
      <c r="Y9" s="39" t="e">
        <f>INDEX(amneImports,MATCH(country,amneImports_row,0),MATCH($G$4, amneImports_col,0))</f>
        <v>#N/A</v>
      </c>
      <c r="Z9" s="39" t="e">
        <f>IF($G9=1,"les importations de marchandises","")</f>
        <v>#N/A</v>
      </c>
      <c r="AA9" s="38" t="e">
        <f>IF(Y9&lt;&gt;1,"",IF(COUNTIF($G9:$G$10,1)&gt;2, ", ",IF(COUNTIF($G9:$G$10,1)=2," et ",". ")))</f>
        <v>#N/A</v>
      </c>
      <c r="AC9" s="38" t="str">
        <f>IFERROR(RNDFR($C9),"")</f>
        <v/>
      </c>
      <c r="AD9" s="38" t="str">
        <f>IFERROR(IF($C9&gt;=10000,ROUND($C9/1000,0)*1000,IF($C9&gt;=1000,ROUND($C9/1000,1)*1000,IF($C9&gt;=100,ROUND($C9/100,1)*100,$C9))),"")</f>
        <v/>
      </c>
      <c r="AE9" s="38" t="e">
        <f t="shared" ref="AE9:AE10" si="13">IF($C9&gt;$L9, "plus de ", IF($C9&lt;$L9, "près de ", ""))</f>
        <v>#N/A</v>
      </c>
      <c r="AF9" s="38" t="e">
        <f t="shared" si="11"/>
        <v>#N/A</v>
      </c>
      <c r="AG9" s="38" t="e">
        <f t="shared" si="12"/>
        <v>#N/A</v>
      </c>
      <c r="AH9" s="38" t="e">
        <f t="shared" si="7"/>
        <v>#N/A</v>
      </c>
      <c r="AI9" s="38" t="e">
        <f t="shared" si="4"/>
        <v>#VALUE!</v>
      </c>
      <c r="AJ9" s="38" t="e">
        <f>"les importations et les exportations ayant respectivement"&amp;AG9&amp;" de "&amp;AH9&amp;" et"&amp;IF(AG9&lt;&gt;AG10,AG10,"")&amp;" de "&amp;AH10&amp;" par rapport à "&amp;maxyearAMNE-1&amp;". "</f>
        <v>#N/A</v>
      </c>
      <c r="AM9" s="38" t="e">
        <f>"Leurs importations de biens s’élevaient à "&amp;AE9&amp;AC9&amp;", "</f>
        <v>#N/A</v>
      </c>
    </row>
    <row r="10" spans="1:39" x14ac:dyDescent="0.25">
      <c r="A10" s="68" t="s">
        <v>132</v>
      </c>
      <c r="B10" s="39" t="e">
        <f t="shared" si="8"/>
        <v>#N/A</v>
      </c>
      <c r="C10" s="39" t="e">
        <f t="shared" si="0"/>
        <v>#N/A</v>
      </c>
      <c r="D10" s="39" t="e">
        <f t="shared" si="1"/>
        <v>#N/A</v>
      </c>
      <c r="E10" s="72" t="e">
        <f t="shared" si="2"/>
        <v>#N/A</v>
      </c>
      <c r="F10" s="72" t="e">
        <f t="shared" si="3"/>
        <v>#N/A</v>
      </c>
      <c r="G10" s="39" t="e">
        <f>INDEX(amneExports,MATCH(country,amneExports_row,0),MATCH($G$4, amneExports_col,0))</f>
        <v>#N/A</v>
      </c>
      <c r="H10" s="39" t="e">
        <f>IF($G10=1,"exports","")</f>
        <v>#N/A</v>
      </c>
      <c r="I10" s="38" t="e">
        <f>IF(G10&lt;&gt;1,"",IF(COUNTIF($G10:$G$10,1)&gt;2, ", ",IF(COUNTIF($G10:$G$10,1)=2," and ",". ")))</f>
        <v>#N/A</v>
      </c>
      <c r="K10" s="38" t="str">
        <f>IFERROR(RND($C10),"")</f>
        <v/>
      </c>
      <c r="L10" s="38" t="str">
        <f>IFERROR(IF($C10&gt;=10000,ROUND($C10/1000,0)*1000,IF($C10&gt;=1000,ROUND($C10/1000,1)*1000,IF($C10&gt;=100,ROUND($C10/100,1)*100,$C10))),"")</f>
        <v/>
      </c>
      <c r="M10" s="38" t="e">
        <f>IF($C10&gt;$L10, "over ", IF($C10&lt;$L10, "almost ", ""))</f>
        <v>#N/A</v>
      </c>
      <c r="N10" s="38" t="e">
        <f t="shared" si="9"/>
        <v>#N/A</v>
      </c>
      <c r="O10" s="38" t="e">
        <f>IF($D10&gt;0," higher",IF($D10&lt;0," lower","unchanged"))</f>
        <v>#N/A</v>
      </c>
      <c r="P10" s="38" t="e">
        <f t="shared" si="5"/>
        <v>#N/A</v>
      </c>
      <c r="Q10" s="38" t="e">
        <f t="shared" si="6"/>
        <v>#VALUE!</v>
      </c>
      <c r="R10" s="38" t="e">
        <f>IF(P9=P10,"",", while exports were "&amp;P10&amp;O10)&amp;". "</f>
        <v>#N/A</v>
      </c>
      <c r="U10" s="38" t="e">
        <f>"while merchandise exports were worth "&amp;M10&amp;K10&amp;". "</f>
        <v>#N/A</v>
      </c>
      <c r="W10" s="178"/>
      <c r="X10" s="68" t="s">
        <v>132</v>
      </c>
      <c r="Y10" s="39" t="e">
        <f>INDEX(amneExports,MATCH(country,amneExports_row,0),MATCH($G$4, amneExports_col,0))</f>
        <v>#N/A</v>
      </c>
      <c r="Z10" s="39" t="e">
        <f>IF($G10=1,"les exportations de marchandises","")</f>
        <v>#N/A</v>
      </c>
      <c r="AA10" s="38" t="e">
        <f>IF(Y10&lt;&gt;1,"",IF(COUNTIF($G10:$G$10,1)&gt;2, ", ",IF(COUNTIF($G10:$G$10,1)=2," et ",". ")))</f>
        <v>#N/A</v>
      </c>
      <c r="AC10" s="38" t="str">
        <f>IFERROR(RNDFR($C10),"")</f>
        <v/>
      </c>
      <c r="AD10" s="38" t="str">
        <f>IFERROR(IF($C10&gt;=10000,ROUND($C10/1000,0)*1000,IF($C10&gt;=1000,ROUND($C10/1000,1)*1000,IF($C10&gt;=100,ROUND($C10/100,1)*100,$C10))),"")</f>
        <v/>
      </c>
      <c r="AE10" s="38" t="e">
        <f t="shared" si="13"/>
        <v>#N/A</v>
      </c>
      <c r="AF10" s="38" t="e">
        <f t="shared" si="11"/>
        <v>#N/A</v>
      </c>
      <c r="AG10" s="38" t="e">
        <f t="shared" si="12"/>
        <v>#N/A</v>
      </c>
      <c r="AH10" s="38" t="e">
        <f t="shared" si="7"/>
        <v>#N/A</v>
      </c>
      <c r="AI10" s="38" t="e">
        <f t="shared" si="4"/>
        <v>#VALUE!</v>
      </c>
      <c r="AJ10" s="38"/>
      <c r="AM10" s="38" t="e">
        <f>"tandis que leurs exportations de biens s’élevaient à "&amp;AE10&amp;AC10&amp;", "</f>
        <v>#N/A</v>
      </c>
    </row>
    <row r="11" spans="1:39" x14ac:dyDescent="0.25">
      <c r="A11" s="1"/>
      <c r="B11" s="1"/>
      <c r="C11" s="1"/>
      <c r="D11" s="1"/>
      <c r="E11" s="1"/>
      <c r="F11" s="154" t="s">
        <v>277</v>
      </c>
      <c r="G11" s="39">
        <f>COUNTIF($G$5:$G$10,1)</f>
        <v>0</v>
      </c>
      <c r="H11" s="1"/>
      <c r="U11" s="38" t="e">
        <f>R8&amp;R9&amp;R10</f>
        <v>#N/A</v>
      </c>
      <c r="W11" s="178"/>
      <c r="Y11" s="39">
        <f>COUNTIF($G$5:$G$10,1)</f>
        <v>0</v>
      </c>
      <c r="Z11" s="1"/>
      <c r="AM11" s="38" t="e">
        <f>AJ9</f>
        <v>#N/A</v>
      </c>
    </row>
    <row r="12" spans="1:39" ht="13" x14ac:dyDescent="0.3">
      <c r="A12" s="66" t="s">
        <v>163</v>
      </c>
      <c r="B12" s="67" t="e">
        <f>"Value "&amp;maxyearAMNE</f>
        <v>#N/A</v>
      </c>
      <c r="C12" s="67" t="s">
        <v>38</v>
      </c>
      <c r="D12" s="1"/>
      <c r="G12" s="38" t="str">
        <f>IF($G$11=6,"all",IF($G$11=5,"five",IF($G$11=4,"four",IF($G$11=3,"three",IF($G$11=2,"two",IF($G$11=1,"one","zero"))))))</f>
        <v>zero</v>
      </c>
      <c r="H12" s="1"/>
      <c r="U12" s="38" t="str">
        <f>IF($G$11=0,"","Among "&amp;continentAdjective&amp;" countries, "&amp;adjective&amp;" affiliates had the largest contribution to the Canadian economy for "&amp;G12&amp;" of the above indicators"&amp;IF($G$11=6,". ",": "&amp;H5&amp;I5&amp;H6&amp;I6&amp;H7&amp;I7&amp;H8&amp;I8&amp;H9&amp;I9&amp;H10&amp;I10))</f>
        <v/>
      </c>
      <c r="W12" s="178"/>
      <c r="Y12" s="38" t="str">
        <f>IF($G$11=6,"tous les",IF($G$11=5,"cinq des",IF($G$11=4,"quatre des",IF($G$11=3,"trois des",IF($G$11=2,"deux des",IF($G$11=1,"l’un des","zéro des"))))))</f>
        <v>zéro des</v>
      </c>
      <c r="Z12" s="1"/>
      <c r="AM12" s="170" t="str">
        <f>IF($Y$11=0,"","Parmi les pays "&amp;prefixContinentFr2&amp;continentFr&amp;", filiales "&amp;adjectiveFr&amp;"s ont offert la plus importante contribution à l’économie canadienne pour "&amp;Y12&amp;" indicateurs ci-dessus"&amp;IF($G$11=6,". ",CHAR(160)&amp;": "&amp;Z5&amp;AA5&amp;Z6&amp;AA6&amp;Z7&amp;AA7&amp;Z8&amp;AA8&amp;Z9&amp;AA9&amp;Z10&amp;AA10))</f>
        <v/>
      </c>
    </row>
    <row r="13" spans="1:39" ht="13" customHeight="1" x14ac:dyDescent="0.3">
      <c r="A13" s="68" t="s">
        <v>166</v>
      </c>
      <c r="B13" s="39" t="e">
        <f>INDEX(amne,MATCH(maxyearAMNE&amp;country&amp;$A$13&amp;$A$2,amne_row,0),MATCH("VALUE", amne_col,0))</f>
        <v>#N/A</v>
      </c>
      <c r="C13" s="72" t="e">
        <f>$B13/$C$6</f>
        <v>#N/A</v>
      </c>
      <c r="D13" s="1"/>
      <c r="H13" s="1"/>
      <c r="I13" s="1"/>
      <c r="K13" s="67" t="s">
        <v>155</v>
      </c>
      <c r="L13" s="67" t="s">
        <v>270</v>
      </c>
      <c r="M13" s="67" t="s">
        <v>272</v>
      </c>
      <c r="N13" s="67" t="s">
        <v>273</v>
      </c>
      <c r="O13" s="67" t="s">
        <v>169</v>
      </c>
      <c r="P13" s="67" t="s">
        <v>273</v>
      </c>
      <c r="Q13" s="67" t="s">
        <v>188</v>
      </c>
      <c r="W13" s="178"/>
      <c r="Z13" s="1"/>
      <c r="AA13" s="1"/>
      <c r="AB13" s="67" t="s">
        <v>351</v>
      </c>
      <c r="AC13" s="67" t="str">
        <f>country</f>
        <v>Australia</v>
      </c>
      <c r="AD13" s="67" t="s">
        <v>270</v>
      </c>
      <c r="AE13" s="67" t="s">
        <v>272</v>
      </c>
      <c r="AF13" s="67" t="s">
        <v>273</v>
      </c>
      <c r="AG13" s="67" t="s">
        <v>169</v>
      </c>
      <c r="AH13" s="67" t="s">
        <v>273</v>
      </c>
      <c r="AI13" s="67" t="s">
        <v>188</v>
      </c>
      <c r="AL13" s="172"/>
      <c r="AM13" s="244" t="e">
        <f>IF($B$13=0,"","Environ "&amp;AC14&amp;" de ces emplois ("&amp;AF14&amp;AD14&amp;")"&amp;" étaient dans le domaine de la recherche et du développement, ce qui est "&amp;AH14&amp;AI14&amp;"à la moyenne de "&amp;AB14&amp;" pour l’ensemble des filiales étrangères au Canada. ")</f>
        <v>#N/A</v>
      </c>
    </row>
    <row r="14" spans="1:39" x14ac:dyDescent="0.25">
      <c r="D14" s="1"/>
      <c r="H14" s="1"/>
      <c r="K14" s="38" t="e">
        <f>RNDP($C13)</f>
        <v>#VALUE!</v>
      </c>
      <c r="L14" s="39" t="str">
        <f>IFERROR(RND($B13,0,1),"")</f>
        <v/>
      </c>
      <c r="M14" s="38" t="str">
        <f>IFERROR(IF($B13&gt;=10000,ROUND($B13/1000,1)*1000,IF($B13&gt;=1000,ROUND($B13/1000,1)*1000,IF($B13&gt;=100,ROUND($B13/100,1)*100,$B13))),"")</f>
        <v/>
      </c>
      <c r="N14" s="38" t="e">
        <f>IF($B13&gt;$M14, "over ", IF($B13&lt;$M14, "nearly ", ""))</f>
        <v>#N/A</v>
      </c>
      <c r="O14" s="153" t="e">
        <f>$C$13-$C$25</f>
        <v>#N/A</v>
      </c>
      <c r="P14" s="38" t="e">
        <f>IF(ABS($C$13-$C$25)&lt;0.001,"similar to ",IF(ABS($C$13-$C$25)&lt;0.002,"slightly ",""))</f>
        <v>#N/A</v>
      </c>
      <c r="Q14" s="38" t="e">
        <f>IF($P14="similar to ","",IF($C$13-$C$25&gt;0,"higher than ","lower than "))</f>
        <v>#N/A</v>
      </c>
      <c r="U14" s="38" t="e">
        <f>IF($B$13=0,"","About "&amp;K14&amp;" of these jobs ("&amp;N14&amp;L14&amp;")"&amp;" were in R&amp;D, and this stands "&amp;P14&amp;Q14&amp;"the "&amp;E25&amp;" average for all foreign affiliates in Canada. ")</f>
        <v>#N/A</v>
      </c>
      <c r="W14" s="178"/>
      <c r="Z14" s="1"/>
      <c r="AB14" s="38" t="e">
        <f>RNDPFR($C$25)</f>
        <v>#VALUE!</v>
      </c>
      <c r="AC14" s="38" t="e">
        <f>RNDPFR($C13)</f>
        <v>#VALUE!</v>
      </c>
      <c r="AD14" s="39" t="str">
        <f>IFERROR(RNDFR($B$13,0,1),"")</f>
        <v/>
      </c>
      <c r="AE14" s="38" t="str">
        <f>IFERROR(IF($B13&gt;=10000,ROUND($B13/1000,1)*1000,IF($B13&gt;=1000,ROUND($B13/1000,1)*1000,IF($B13&gt;=100,ROUND($B13/100,1)*100,$B13))),"")</f>
        <v/>
      </c>
      <c r="AF14" s="38" t="e">
        <f>IF($B13&gt;$M14, "plus de ", IF($B13&lt;$M14, "près de ", ""))</f>
        <v>#N/A</v>
      </c>
      <c r="AG14" s="153" t="e">
        <f>$C$13-$C$25</f>
        <v>#N/A</v>
      </c>
      <c r="AH14" s="38" t="e">
        <f>IF(ABS($C$13-$C$25)&lt;0.001,"similar to ",IF(ABS($C$13-$C$25)&lt;0.002,"légèrement ",""))</f>
        <v>#N/A</v>
      </c>
      <c r="AI14" s="38" t="e">
        <f>IF($P14="similaire ","",IF($C$13-$C$25&gt;0,"supérieur ","inférieur "))</f>
        <v>#N/A</v>
      </c>
      <c r="AL14" s="172"/>
      <c r="AM14" s="245"/>
    </row>
    <row r="15" spans="1:39" x14ac:dyDescent="0.25">
      <c r="A15" s="1" t="s">
        <v>3</v>
      </c>
      <c r="C15" s="1"/>
      <c r="D15" s="1"/>
      <c r="E15" s="1"/>
      <c r="F15" s="1"/>
      <c r="H15" s="1"/>
      <c r="W15" s="178"/>
      <c r="Z15" s="1"/>
      <c r="AM15" s="171"/>
    </row>
    <row r="16" spans="1:39" ht="13" customHeight="1" x14ac:dyDescent="0.3">
      <c r="A16" s="66" t="s">
        <v>163</v>
      </c>
      <c r="B16" s="67" t="e">
        <f>"Value "&amp;maxyearAMNE-1</f>
        <v>#N/A</v>
      </c>
      <c r="C16" s="67" t="e">
        <f>"Value "&amp;maxyearAMNE</f>
        <v>#N/A</v>
      </c>
      <c r="D16" s="67" t="s">
        <v>165</v>
      </c>
      <c r="E16" s="67" t="s">
        <v>168</v>
      </c>
      <c r="H16" s="1"/>
      <c r="J16" s="246" t="e">
        <f>U5&amp;U6&amp;U14&amp;U7&amp;U8&amp;U9&amp;U10&amp;U11&amp;U12</f>
        <v>#N/A</v>
      </c>
      <c r="K16" s="247"/>
      <c r="L16" s="247"/>
      <c r="M16" s="247"/>
      <c r="N16" s="247"/>
      <c r="O16" s="247"/>
      <c r="P16" s="247"/>
      <c r="Q16" s="247"/>
      <c r="R16" s="247"/>
      <c r="S16" s="247"/>
      <c r="T16" s="247"/>
      <c r="U16" s="248"/>
      <c r="W16" s="178"/>
      <c r="Z16" s="1"/>
      <c r="AB16" s="255" t="e">
        <f>AM5&amp;AM6&amp;AM13&amp;AM7&amp;AM8&amp;AM9&amp;AM10&amp;AM11&amp;AM12</f>
        <v>#N/A</v>
      </c>
      <c r="AC16" s="256"/>
      <c r="AD16" s="256"/>
      <c r="AE16" s="256"/>
      <c r="AF16" s="256"/>
      <c r="AG16" s="256"/>
      <c r="AH16" s="256"/>
      <c r="AI16" s="256"/>
      <c r="AJ16" s="256"/>
      <c r="AK16" s="256"/>
      <c r="AL16" s="256"/>
      <c r="AM16" s="257"/>
    </row>
    <row r="17" spans="1:39" x14ac:dyDescent="0.25">
      <c r="A17" s="68" t="s">
        <v>127</v>
      </c>
      <c r="B17" s="39" t="e">
        <f t="shared" ref="B17:B22" si="14">INDEX(amne,MATCH(maxyearAMNE-1&amp;$A$15&amp;$A17&amp;$A$2,amne_row,0),MATCH("VALUE", amne_col,0))</f>
        <v>#N/A</v>
      </c>
      <c r="C17" s="39" t="e">
        <f t="shared" ref="C17:C22" si="15">INDEX(amne,MATCH(maxyearAMNE&amp;$A$15&amp;$A17&amp;$A$2,amne_row,0),MATCH("VALUE", amne_col,0))</f>
        <v>#N/A</v>
      </c>
      <c r="D17" s="39" t="e">
        <f t="shared" ref="D17:D22" si="16">$C17-$B17</f>
        <v>#N/A</v>
      </c>
      <c r="E17" s="72" t="e">
        <f>$D17/$B17</f>
        <v>#N/A</v>
      </c>
      <c r="F17" s="1"/>
      <c r="H17" s="1"/>
      <c r="J17" s="249"/>
      <c r="K17" s="250"/>
      <c r="L17" s="250"/>
      <c r="M17" s="250"/>
      <c r="N17" s="250"/>
      <c r="O17" s="250"/>
      <c r="P17" s="250"/>
      <c r="Q17" s="250"/>
      <c r="R17" s="250"/>
      <c r="S17" s="250"/>
      <c r="T17" s="250"/>
      <c r="U17" s="251"/>
      <c r="W17" s="178"/>
      <c r="Z17" s="1"/>
      <c r="AB17" s="258"/>
      <c r="AC17" s="250"/>
      <c r="AD17" s="250"/>
      <c r="AE17" s="250"/>
      <c r="AF17" s="250"/>
      <c r="AG17" s="250"/>
      <c r="AH17" s="250"/>
      <c r="AI17" s="250"/>
      <c r="AJ17" s="250"/>
      <c r="AK17" s="250"/>
      <c r="AL17" s="250"/>
      <c r="AM17" s="259"/>
    </row>
    <row r="18" spans="1:39" x14ac:dyDescent="0.25">
      <c r="A18" s="68" t="s">
        <v>128</v>
      </c>
      <c r="B18" s="39" t="e">
        <f t="shared" si="14"/>
        <v>#N/A</v>
      </c>
      <c r="C18" s="39" t="e">
        <f t="shared" si="15"/>
        <v>#N/A</v>
      </c>
      <c r="D18" s="39" t="e">
        <f t="shared" si="16"/>
        <v>#N/A</v>
      </c>
      <c r="E18" s="72" t="e">
        <f t="shared" ref="E18:E21" si="17">$D18/$B18</f>
        <v>#N/A</v>
      </c>
      <c r="F18" s="1"/>
      <c r="H18" s="1"/>
      <c r="J18" s="249"/>
      <c r="K18" s="250"/>
      <c r="L18" s="250"/>
      <c r="M18" s="250"/>
      <c r="N18" s="250"/>
      <c r="O18" s="250"/>
      <c r="P18" s="250"/>
      <c r="Q18" s="250"/>
      <c r="R18" s="250"/>
      <c r="S18" s="250"/>
      <c r="T18" s="250"/>
      <c r="U18" s="251"/>
      <c r="W18" s="178"/>
      <c r="Z18" s="1"/>
      <c r="AB18" s="258"/>
      <c r="AC18" s="250"/>
      <c r="AD18" s="250"/>
      <c r="AE18" s="250"/>
      <c r="AF18" s="250"/>
      <c r="AG18" s="250"/>
      <c r="AH18" s="250"/>
      <c r="AI18" s="250"/>
      <c r="AJ18" s="250"/>
      <c r="AK18" s="250"/>
      <c r="AL18" s="250"/>
      <c r="AM18" s="259"/>
    </row>
    <row r="19" spans="1:39" x14ac:dyDescent="0.25">
      <c r="A19" s="68" t="s">
        <v>130</v>
      </c>
      <c r="B19" s="39" t="e">
        <f t="shared" si="14"/>
        <v>#N/A</v>
      </c>
      <c r="C19" s="39" t="e">
        <f t="shared" si="15"/>
        <v>#N/A</v>
      </c>
      <c r="D19" s="39" t="e">
        <f t="shared" si="16"/>
        <v>#N/A</v>
      </c>
      <c r="E19" s="72" t="e">
        <f>$D19/$B19</f>
        <v>#N/A</v>
      </c>
      <c r="F19" s="1"/>
      <c r="H19" s="1"/>
      <c r="J19" s="249"/>
      <c r="K19" s="250"/>
      <c r="L19" s="250"/>
      <c r="M19" s="250"/>
      <c r="N19" s="250"/>
      <c r="O19" s="250"/>
      <c r="P19" s="250"/>
      <c r="Q19" s="250"/>
      <c r="R19" s="250"/>
      <c r="S19" s="250"/>
      <c r="T19" s="250"/>
      <c r="U19" s="251"/>
      <c r="W19" s="178"/>
      <c r="Z19" s="1"/>
      <c r="AB19" s="258"/>
      <c r="AC19" s="250"/>
      <c r="AD19" s="250"/>
      <c r="AE19" s="250"/>
      <c r="AF19" s="250"/>
      <c r="AG19" s="250"/>
      <c r="AH19" s="250"/>
      <c r="AI19" s="250"/>
      <c r="AJ19" s="250"/>
      <c r="AK19" s="250"/>
      <c r="AL19" s="250"/>
      <c r="AM19" s="259"/>
    </row>
    <row r="20" spans="1:39" x14ac:dyDescent="0.25">
      <c r="A20" s="68" t="s">
        <v>129</v>
      </c>
      <c r="B20" s="39" t="e">
        <f t="shared" si="14"/>
        <v>#N/A</v>
      </c>
      <c r="C20" s="39" t="e">
        <f t="shared" si="15"/>
        <v>#N/A</v>
      </c>
      <c r="D20" s="39" t="e">
        <f t="shared" si="16"/>
        <v>#N/A</v>
      </c>
      <c r="E20" s="72" t="e">
        <f t="shared" si="17"/>
        <v>#N/A</v>
      </c>
      <c r="F20" s="1"/>
      <c r="H20" s="1"/>
      <c r="J20" s="249"/>
      <c r="K20" s="250"/>
      <c r="L20" s="250"/>
      <c r="M20" s="250"/>
      <c r="N20" s="250"/>
      <c r="O20" s="250"/>
      <c r="P20" s="250"/>
      <c r="Q20" s="250"/>
      <c r="R20" s="250"/>
      <c r="S20" s="250"/>
      <c r="T20" s="250"/>
      <c r="U20" s="251"/>
      <c r="W20" s="178"/>
      <c r="Z20" s="1"/>
      <c r="AB20" s="258"/>
      <c r="AC20" s="250"/>
      <c r="AD20" s="250"/>
      <c r="AE20" s="250"/>
      <c r="AF20" s="250"/>
      <c r="AG20" s="250"/>
      <c r="AH20" s="250"/>
      <c r="AI20" s="250"/>
      <c r="AJ20" s="250"/>
      <c r="AK20" s="250"/>
      <c r="AL20" s="250"/>
      <c r="AM20" s="259"/>
    </row>
    <row r="21" spans="1:39" x14ac:dyDescent="0.25">
      <c r="A21" s="68" t="s">
        <v>131</v>
      </c>
      <c r="B21" s="39" t="e">
        <f t="shared" si="14"/>
        <v>#N/A</v>
      </c>
      <c r="C21" s="39" t="e">
        <f t="shared" si="15"/>
        <v>#N/A</v>
      </c>
      <c r="D21" s="39" t="e">
        <f t="shared" si="16"/>
        <v>#N/A</v>
      </c>
      <c r="E21" s="72" t="e">
        <f t="shared" si="17"/>
        <v>#N/A</v>
      </c>
      <c r="F21" s="1"/>
      <c r="H21" s="1"/>
      <c r="J21" s="249"/>
      <c r="K21" s="250"/>
      <c r="L21" s="250"/>
      <c r="M21" s="250"/>
      <c r="N21" s="250"/>
      <c r="O21" s="250"/>
      <c r="P21" s="250"/>
      <c r="Q21" s="250"/>
      <c r="R21" s="250"/>
      <c r="S21" s="250"/>
      <c r="T21" s="250"/>
      <c r="U21" s="251"/>
      <c r="W21" s="178"/>
      <c r="Z21" s="1"/>
      <c r="AB21" s="258"/>
      <c r="AC21" s="250"/>
      <c r="AD21" s="250"/>
      <c r="AE21" s="250"/>
      <c r="AF21" s="250"/>
      <c r="AG21" s="250"/>
      <c r="AH21" s="250"/>
      <c r="AI21" s="250"/>
      <c r="AJ21" s="250"/>
      <c r="AK21" s="250"/>
      <c r="AL21" s="250"/>
      <c r="AM21" s="259"/>
    </row>
    <row r="22" spans="1:39" x14ac:dyDescent="0.25">
      <c r="A22" s="68" t="s">
        <v>132</v>
      </c>
      <c r="B22" s="39" t="e">
        <f t="shared" si="14"/>
        <v>#N/A</v>
      </c>
      <c r="C22" s="39" t="e">
        <f t="shared" si="15"/>
        <v>#N/A</v>
      </c>
      <c r="D22" s="39" t="e">
        <f t="shared" si="16"/>
        <v>#N/A</v>
      </c>
      <c r="E22" s="72" t="e">
        <f>$D22/$B22</f>
        <v>#N/A</v>
      </c>
      <c r="F22" s="1"/>
      <c r="H22" s="1"/>
      <c r="J22" s="252"/>
      <c r="K22" s="253"/>
      <c r="L22" s="253"/>
      <c r="M22" s="253"/>
      <c r="N22" s="253"/>
      <c r="O22" s="253"/>
      <c r="P22" s="253"/>
      <c r="Q22" s="253"/>
      <c r="R22" s="253"/>
      <c r="S22" s="253"/>
      <c r="T22" s="253"/>
      <c r="U22" s="254"/>
      <c r="W22" s="178"/>
      <c r="Z22" s="1"/>
      <c r="AB22" s="260"/>
      <c r="AC22" s="261"/>
      <c r="AD22" s="261"/>
      <c r="AE22" s="261"/>
      <c r="AF22" s="261"/>
      <c r="AG22" s="261"/>
      <c r="AH22" s="261"/>
      <c r="AI22" s="261"/>
      <c r="AJ22" s="261"/>
      <c r="AK22" s="261"/>
      <c r="AL22" s="261"/>
      <c r="AM22" s="262"/>
    </row>
    <row r="23" spans="1:39" x14ac:dyDescent="0.25">
      <c r="D23" s="1"/>
      <c r="E23" s="1"/>
      <c r="F23" s="1"/>
      <c r="H23" s="1"/>
      <c r="W23" s="178"/>
    </row>
    <row r="24" spans="1:39" ht="13" x14ac:dyDescent="0.3">
      <c r="A24" s="66" t="s">
        <v>163</v>
      </c>
      <c r="B24" s="67" t="e">
        <f>"Value "&amp;maxyearAMNE</f>
        <v>#N/A</v>
      </c>
      <c r="C24" s="67" t="s">
        <v>38</v>
      </c>
      <c r="D24" s="1"/>
      <c r="E24" s="66" t="s">
        <v>155</v>
      </c>
      <c r="F24" s="66" t="s">
        <v>37</v>
      </c>
      <c r="G24" s="66" t="s">
        <v>272</v>
      </c>
      <c r="H24" s="66" t="s">
        <v>273</v>
      </c>
      <c r="W24" s="178"/>
    </row>
    <row r="25" spans="1:39" x14ac:dyDescent="0.25">
      <c r="A25" s="68" t="s">
        <v>166</v>
      </c>
      <c r="B25" s="39" t="e">
        <f>INDEX(amne,MATCH(maxyearAMNE&amp;$A$15&amp;$A$13&amp;$A$2,amne_row,0),MATCH("VALUE", amne_col,0))</f>
        <v>#N/A</v>
      </c>
      <c r="C25" s="72" t="e">
        <f>B25/$C$18</f>
        <v>#N/A</v>
      </c>
      <c r="D25" s="1"/>
      <c r="E25" s="38" t="e">
        <f>RNDP($C25)</f>
        <v>#VALUE!</v>
      </c>
      <c r="F25" s="39" t="str">
        <f>IFERROR(RND($B25,0,1),"")</f>
        <v/>
      </c>
      <c r="G25" s="38" t="str">
        <f>IFERROR(IF($B25&gt;=10000,ROUND($B25/1000,1)*1000,IF($B25&gt;=1000,ROUND($B25/1000,1)*1000,IF($B25&gt;=100,ROUND($B25/100,1)*100,$B25))),"")</f>
        <v/>
      </c>
      <c r="H25" s="38" t="e">
        <f>IF($B25&gt;$G25, "over ", IF($B25&lt;$G25, "nearly ", ""))</f>
        <v>#N/A</v>
      </c>
      <c r="W25" s="178"/>
    </row>
    <row r="26" spans="1:39" x14ac:dyDescent="0.25">
      <c r="A26" s="1"/>
      <c r="B26" s="1"/>
      <c r="C26" s="1"/>
      <c r="D26" s="1"/>
      <c r="E26" s="1"/>
      <c r="F26" s="1"/>
      <c r="H26" s="1"/>
      <c r="W26" s="178"/>
    </row>
    <row r="27" spans="1:39" x14ac:dyDescent="0.25">
      <c r="A27" s="1"/>
      <c r="B27" s="1"/>
      <c r="C27" s="1"/>
      <c r="D27" s="1"/>
      <c r="E27" s="1"/>
      <c r="F27" s="1"/>
      <c r="H27" s="1"/>
      <c r="W27" s="178"/>
    </row>
    <row r="28" spans="1:39" x14ac:dyDescent="0.25">
      <c r="A28" s="1"/>
      <c r="E28" t="s">
        <v>171</v>
      </c>
      <c r="H28" s="1"/>
      <c r="I28" s="1"/>
      <c r="W28" s="178"/>
      <c r="Z28" t="s">
        <v>171</v>
      </c>
    </row>
    <row r="29" spans="1:39" x14ac:dyDescent="0.25">
      <c r="A29" t="str">
        <f>country</f>
        <v>Australia</v>
      </c>
      <c r="B29" t="e">
        <f>maxyearAMNE-1</f>
        <v>#N/A</v>
      </c>
      <c r="F29" t="e">
        <f>maxyearAMNE-1</f>
        <v>#N/A</v>
      </c>
      <c r="G29" t="e">
        <f>maxyearAMNE-2</f>
        <v>#N/A</v>
      </c>
      <c r="K29" s="1"/>
      <c r="L29" s="1"/>
      <c r="W29" s="178"/>
    </row>
    <row r="30" spans="1:39" ht="13" x14ac:dyDescent="0.3">
      <c r="A30" s="66" t="s">
        <v>163</v>
      </c>
      <c r="B30" s="67" t="e">
        <f>"Value "&amp;maxyearAMNE-1</f>
        <v>#N/A</v>
      </c>
      <c r="C30" s="74" t="s">
        <v>105</v>
      </c>
      <c r="E30" s="66" t="s">
        <v>163</v>
      </c>
      <c r="F30" s="67" t="e">
        <f>"Value "&amp;maxyearAMNE-2</f>
        <v>#N/A</v>
      </c>
      <c r="G30" s="67" t="e">
        <f>"Value "&amp;maxyearAMNE-1</f>
        <v>#N/A</v>
      </c>
      <c r="H30" s="67" t="s">
        <v>165</v>
      </c>
      <c r="I30" s="67" t="s">
        <v>168</v>
      </c>
      <c r="K30" s="66" t="s">
        <v>38</v>
      </c>
      <c r="L30" s="66" t="s">
        <v>37</v>
      </c>
      <c r="M30" s="66" t="s">
        <v>272</v>
      </c>
      <c r="N30" s="66" t="s">
        <v>273</v>
      </c>
      <c r="O30" s="66" t="s">
        <v>188</v>
      </c>
      <c r="P30" s="66" t="s">
        <v>273</v>
      </c>
      <c r="Q30" s="66" t="s">
        <v>280</v>
      </c>
      <c r="W30" s="178"/>
      <c r="X30" s="66" t="s">
        <v>163</v>
      </c>
      <c r="Y30" s="74" t="s">
        <v>105</v>
      </c>
      <c r="Z30" s="66" t="s">
        <v>163</v>
      </c>
      <c r="AA30" s="66" t="s">
        <v>38</v>
      </c>
      <c r="AB30" s="66" t="s">
        <v>37</v>
      </c>
      <c r="AC30" s="66" t="s">
        <v>273</v>
      </c>
    </row>
    <row r="31" spans="1:39" x14ac:dyDescent="0.25">
      <c r="A31" s="68" t="s">
        <v>133</v>
      </c>
      <c r="B31" s="39" t="e">
        <f>INDEX(amne,MATCH(maxyearAMNE-1&amp;country&amp;$A31&amp;$A$2,amne_row,0),MATCH("VALUE", amne_col,0))</f>
        <v>#N/A</v>
      </c>
      <c r="C31" s="39"/>
      <c r="E31" s="68" t="str">
        <f>LOWER($A31)</f>
        <v>gross fixed capital formation</v>
      </c>
      <c r="F31" s="39" t="e">
        <f>INDEX(amne,MATCH(maxyearAMNE-2&amp;country&amp;$E31&amp;$A$2,amne_row,0),MATCH("VALUE", amne_col,0))</f>
        <v>#N/A</v>
      </c>
      <c r="G31" s="39" t="e">
        <f>INDEX(amne,MATCH(maxyearAMNE-1&amp;country&amp;$E31&amp;$A$2,amne_row,0),MATCH("VALUE", amne_col,0))</f>
        <v>#N/A</v>
      </c>
      <c r="H31" s="39" t="e">
        <f>$G31-$F31</f>
        <v>#N/A</v>
      </c>
      <c r="I31" s="72" t="e">
        <f>$H31/$F31</f>
        <v>#N/A</v>
      </c>
      <c r="K31" s="38"/>
      <c r="L31" s="38" t="str">
        <f>IFERROR(RND($G31),"")</f>
        <v/>
      </c>
      <c r="M31" s="38" t="str">
        <f>IFERROR(IF($G31&gt;=10000,ROUND($G31/1000,0)*1000,IF($G31&gt;=1000,ROUND($G31/1000,1)*1000,IF($G31&gt;=100,ROUND($G31/100,1)*100,$G31))),"")</f>
        <v/>
      </c>
      <c r="N31" s="38" t="e">
        <f>IF($G31&gt;$M31, "over ", IF($G31&lt;$M31, "nearly ", ""))</f>
        <v>#N/A</v>
      </c>
      <c r="O31" s="38" t="e">
        <f>IF($H31&gt;0,"an increase","a decrease")</f>
        <v>#N/A</v>
      </c>
      <c r="P31" s="38" t="e">
        <f>IF($H31&gt;0," higher"," lower")</f>
        <v>#N/A</v>
      </c>
      <c r="Q31" s="38" t="e">
        <f>RNDP($I31,1)</f>
        <v>#VALUE!</v>
      </c>
      <c r="T31" s="42"/>
      <c r="U31" s="38" t="e">
        <f>"In "&amp;maxyearAMNE-1&amp;", "&amp;adjective&amp;" affiliates invested "&amp;N31&amp;L31&amp;" in "</f>
        <v>#N/A</v>
      </c>
      <c r="W31" s="178"/>
      <c r="X31" s="68" t="s">
        <v>133</v>
      </c>
      <c r="Y31" s="39"/>
      <c r="Z31" s="68" t="str">
        <f>LOWER($X31)</f>
        <v>gross fixed capital formation</v>
      </c>
      <c r="AA31" s="38"/>
      <c r="AB31" s="38" t="str">
        <f>IFERROR(RNDFR($G31),"")</f>
        <v/>
      </c>
      <c r="AC31" s="38" t="e">
        <f>IF($G31&gt;$M31, "plus de ", IF($G31&lt;$M31, "près de ", ""))</f>
        <v>#N/A</v>
      </c>
      <c r="AE31" s="38" t="e">
        <f>"En "&amp;maxyearAMNE-1&amp;", les filiales "&amp;femininPlural&amp;" ont investi "&amp;AC31&amp;AB31</f>
        <v>#N/A</v>
      </c>
    </row>
    <row r="32" spans="1:39" x14ac:dyDescent="0.25">
      <c r="A32" s="68" t="s">
        <v>196</v>
      </c>
      <c r="B32" s="39" t="e">
        <f>INDEX(amne,MATCH(maxyearAMNE-1&amp;country&amp;$A32&amp;$A$2,amne_row,0),MATCH("VALUE", amne_col,0))</f>
        <v>#N/A</v>
      </c>
      <c r="C32" s="39" t="e">
        <f>_xlfn.RANK.EQ($B32,$B$32:$B$34)</f>
        <v>#N/A</v>
      </c>
      <c r="E32" s="68" t="e">
        <f>LOWER(INDEX($A$30:$C$34,MATCH(1,$C$30:$C$34,0),MATCH("Variable",$A$30:$C$30,0)))</f>
        <v>#N/A</v>
      </c>
      <c r="F32" s="39" t="e">
        <f>INDEX(amne,MATCH(maxyearAMNE-2&amp;country&amp;$E32&amp;$A$2,amne_row,0),MATCH("VALUE", amne_col,0))</f>
        <v>#N/A</v>
      </c>
      <c r="G32" s="39" t="e">
        <f>INDEX(amne,MATCH(maxyearAMNE-1&amp;country&amp;$E32&amp;$A$2,amne_row,0),MATCH("VALUE", amne_col,0))</f>
        <v>#N/A</v>
      </c>
      <c r="H32" s="39" t="e">
        <f>$G32-$F32</f>
        <v>#N/A</v>
      </c>
      <c r="I32" s="72" t="e">
        <f t="shared" ref="I32:I34" si="18">$H32/$F32</f>
        <v>#N/A</v>
      </c>
      <c r="K32" s="38" t="e">
        <f>RNDP($G32/$G$31)</f>
        <v>#VALUE!</v>
      </c>
      <c r="L32" s="38" t="str">
        <f>IFERROR(RND($G32),"")</f>
        <v/>
      </c>
      <c r="M32" s="38" t="str">
        <f>IFERROR(IF($G32&gt;=10000,ROUND($G32/1000,0)*1000,IF($G32&gt;=1000,ROUND($G32/1000,1)*1000,IF($G32&gt;=100,ROUND($G32/100,1)*100,$G32))),"")</f>
        <v/>
      </c>
      <c r="N32" s="38" t="e">
        <f>IF($G32&gt;$M32, "over ", IF($G32&lt;$M32, "nearly ", ""))</f>
        <v>#N/A</v>
      </c>
      <c r="O32" s="38" t="e">
        <f>IF($H32&gt;0,"an increase","a decrease")</f>
        <v>#N/A</v>
      </c>
      <c r="P32" s="38" t="e">
        <f>IF($H32&gt;0," higher"," lower")</f>
        <v>#N/A</v>
      </c>
      <c r="Q32" s="38" t="e">
        <f t="shared" ref="Q32:Q34" si="19">RNDP($I32,1)</f>
        <v>#VALUE!</v>
      </c>
      <c r="T32" s="42"/>
      <c r="U32" s="38" t="e">
        <f>IF($G32&lt;&gt;0,$E32&amp;" ("&amp;$K32&amp;" of total investments)","")&amp;IF(COUNTBLANK(U33:U34)=1," and ",IF(COUNTBLANK(U33:U34)=2,". ",", "))</f>
        <v>#N/A</v>
      </c>
      <c r="W32" s="178"/>
      <c r="X32" s="68" t="s">
        <v>382</v>
      </c>
      <c r="Y32" s="39" t="e">
        <f>_xlfn.RANK.EQ($B32,$B$32:$B$34)</f>
        <v>#N/A</v>
      </c>
      <c r="Z32" s="68" t="e">
        <f>LOWER(INDEX($X$30:$Y$34,MATCH(1,$Y$30:$Y$34,0),MATCH("Variable",$X$30:$Y$30,0)))</f>
        <v>#N/A</v>
      </c>
      <c r="AA32" s="38" t="e">
        <f>RNDPFR($G32/$G$31)</f>
        <v>#VALUE!</v>
      </c>
      <c r="AB32" s="38" t="str">
        <f>IFERROR(RNDFR($G32),"")</f>
        <v/>
      </c>
      <c r="AC32" s="38" t="e">
        <f t="shared" ref="AC32:AC34" si="20">IF($G32&gt;$M32, "plus de ", IF($G32&lt;$M32, "près de ", ""))</f>
        <v>#N/A</v>
      </c>
      <c r="AE32" s="38" t="e">
        <f>IF($G32&lt;&gt;0,$Z32&amp;" ("&amp;$AA32&amp;" des investissements totaux)","")&amp;IF(COUNTBLANK(AE33:AE34)=1," et",IF(COUNTBLANK(AE33:AE34)=2,".",","))</f>
        <v>#N/A</v>
      </c>
    </row>
    <row r="33" spans="1:39" x14ac:dyDescent="0.25">
      <c r="A33" s="68" t="s">
        <v>197</v>
      </c>
      <c r="B33" s="39" t="e">
        <f>INDEX(amne,MATCH(maxyearAMNE-1&amp;country&amp;$A33&amp;$A$2,amne_row,0),MATCH("VALUE", amne_col,0))</f>
        <v>#N/A</v>
      </c>
      <c r="C33" s="39" t="e">
        <f t="shared" ref="C33:C34" si="21">_xlfn.RANK.EQ($B33,$B$32:$B$34)</f>
        <v>#N/A</v>
      </c>
      <c r="E33" s="68" t="e">
        <f>LOWER(INDEX($A$30:$C$34,MATCH(2,$C$30:$C$34,0),MATCH("Variable",$A$30:$C$30,0)))</f>
        <v>#N/A</v>
      </c>
      <c r="F33" s="39" t="e">
        <f>INDEX(amne,MATCH(maxyearAMNE-2&amp;country&amp;$E33&amp;$A$2,amne_row,0),MATCH("VALUE", amne_col,0))</f>
        <v>#N/A</v>
      </c>
      <c r="G33" s="39" t="e">
        <f>INDEX(amne,MATCH(maxyearAMNE-1&amp;country&amp;$E33&amp;$A$2,amne_row,0),MATCH("VALUE", amne_col,0))</f>
        <v>#N/A</v>
      </c>
      <c r="H33" s="39" t="e">
        <f>$G33-$F33</f>
        <v>#N/A</v>
      </c>
      <c r="I33" s="72" t="e">
        <f t="shared" si="18"/>
        <v>#N/A</v>
      </c>
      <c r="K33" s="38" t="e">
        <f t="shared" ref="K33:K34" si="22">RNDP($G33/$G$31)</f>
        <v>#VALUE!</v>
      </c>
      <c r="L33" s="38" t="str">
        <f>IFERROR(RND($G33),"")</f>
        <v/>
      </c>
      <c r="M33" s="38" t="str">
        <f>IFERROR(IF($G33&gt;=10000,ROUND($G33/1000,0)*1000,IF($G33&gt;=1000,ROUND($G33/1000,1)*1000,IF($G33&gt;=100,ROUND($G33/100,1)*100,$G33))),"")</f>
        <v/>
      </c>
      <c r="N33" s="38" t="e">
        <f>IF($G33&gt;$M33, "over ", IF($G33&lt;$M33, "nearly ", ""))</f>
        <v>#N/A</v>
      </c>
      <c r="O33" s="38" t="e">
        <f>IF($H33&gt;0,"an increase","a decrease")</f>
        <v>#N/A</v>
      </c>
      <c r="P33" s="38" t="e">
        <f>IF($H33&gt;0," higher"," lower")</f>
        <v>#N/A</v>
      </c>
      <c r="Q33" s="38" t="e">
        <f t="shared" si="19"/>
        <v>#VALUE!</v>
      </c>
      <c r="T33" s="42"/>
      <c r="U33" s="38" t="e">
        <f>IF($G33&lt;&gt;0,$E33&amp;" ("&amp;$K33&amp;")","")&amp;IF(COUNTBLANK(U34:U35)=1," and ",IF(COUNTBLANK(U34:U35)=2,". ",", "))</f>
        <v>#N/A</v>
      </c>
      <c r="W33" s="178"/>
      <c r="X33" s="68" t="s">
        <v>383</v>
      </c>
      <c r="Y33" s="39" t="e">
        <f t="shared" ref="Y33:Y34" si="23">_xlfn.RANK.EQ($B33,$B$32:$B$34)</f>
        <v>#N/A</v>
      </c>
      <c r="Z33" s="68" t="e">
        <f>LOWER(INDEX($X$30:$Y$34,MATCH(2,$Y$30:$Y$34,0),MATCH("Variable",$X$30:$Y$30,0)))</f>
        <v>#N/A</v>
      </c>
      <c r="AA33" s="38" t="e">
        <f>RNDPFR($G33/$G$31)</f>
        <v>#VALUE!</v>
      </c>
      <c r="AB33" s="38" t="str">
        <f>IFERROR(RNDFR($G33),"")</f>
        <v/>
      </c>
      <c r="AC33" s="38" t="e">
        <f t="shared" si="20"/>
        <v>#N/A</v>
      </c>
      <c r="AE33" s="38" t="e">
        <f>IF($G33&lt;&gt;0,$Z33&amp;" ("&amp;$AA33&amp;")","")&amp;IF(COUNTBLANK(AE34:AE35)=1," et",IF(COUNTBLANK(AE34:AE35)=2,".",","))</f>
        <v>#N/A</v>
      </c>
    </row>
    <row r="34" spans="1:39" x14ac:dyDescent="0.25">
      <c r="A34" s="68" t="s">
        <v>198</v>
      </c>
      <c r="B34" s="39" t="e">
        <f>INDEX(amne,MATCH(maxyearAMNE-1&amp;country&amp;$A34&amp;$A$2,amne_row,0),MATCH("VALUE", amne_col,0))</f>
        <v>#N/A</v>
      </c>
      <c r="C34" s="39" t="e">
        <f t="shared" si="21"/>
        <v>#N/A</v>
      </c>
      <c r="E34" s="68" t="e">
        <f>LOWER(INDEX($A$30:$C$34,MATCH(3,$C$30:$C$34,0),MATCH("Variable",$A$30:$C$30,0)))</f>
        <v>#N/A</v>
      </c>
      <c r="F34" s="39" t="e">
        <f>INDEX(amne,MATCH(maxyearAMNE-2&amp;country&amp;$E34&amp;$A$2,amne_row,0),MATCH("VALUE", amne_col,0))</f>
        <v>#N/A</v>
      </c>
      <c r="G34" s="39" t="e">
        <f>INDEX(amne,MATCH(maxyearAMNE-1&amp;country&amp;$E34&amp;$A$2,amne_row,0),MATCH("VALUE", amne_col,0))</f>
        <v>#N/A</v>
      </c>
      <c r="H34" s="39" t="e">
        <f>$G34-$F34</f>
        <v>#N/A</v>
      </c>
      <c r="I34" s="72" t="e">
        <f t="shared" si="18"/>
        <v>#N/A</v>
      </c>
      <c r="K34" s="38" t="e">
        <f t="shared" si="22"/>
        <v>#VALUE!</v>
      </c>
      <c r="L34" s="38" t="str">
        <f>IFERROR(RND($G34),"")</f>
        <v/>
      </c>
      <c r="M34" s="38" t="str">
        <f>IFERROR(IF($G34&gt;=10000,ROUND($G34/1000,0)*1000,IF($G34&gt;=1000,ROUND($G34/1000,1)*1000,IF($G34&gt;=100,ROUND($G34/100,1)*100,$G34))),"")</f>
        <v/>
      </c>
      <c r="N34" s="38" t="e">
        <f>IF($G34&gt;$M34, "over ", IF($G34&lt;$M34, "nearly ", ""))</f>
        <v>#N/A</v>
      </c>
      <c r="O34" s="38" t="e">
        <f>IF($H34&gt;0,"an increase","a decrease")</f>
        <v>#N/A</v>
      </c>
      <c r="P34" s="38" t="e">
        <f>IF($H34&gt;0," higher"," lower")</f>
        <v>#N/A</v>
      </c>
      <c r="Q34" s="38" t="e">
        <f t="shared" si="19"/>
        <v>#VALUE!</v>
      </c>
      <c r="T34" s="42"/>
      <c r="U34" s="38" t="e">
        <f>IF($G34&lt;&gt;0,$E34&amp;" ("&amp;$K34&amp;")","")&amp;IF(COUNTBLANK(U35:U36)=1," and ",IF(COUNTBLANK(U35:U36)=2,". ",", "))</f>
        <v>#N/A</v>
      </c>
      <c r="W34" s="178"/>
      <c r="X34" s="68" t="s">
        <v>384</v>
      </c>
      <c r="Y34" s="39" t="e">
        <f t="shared" si="23"/>
        <v>#N/A</v>
      </c>
      <c r="Z34" s="68" t="e">
        <f>LOWER(INDEX($X$30:$Y$34,MATCH(3,$Y$30:$Y$34,0),MATCH("Variable",$X$30:$Y$30,0)))</f>
        <v>#N/A</v>
      </c>
      <c r="AA34" s="38" t="e">
        <f>RNDPFR($G34/$G$31)</f>
        <v>#VALUE!</v>
      </c>
      <c r="AB34" s="38" t="str">
        <f>IFERROR(RNDFR($G34),"")</f>
        <v/>
      </c>
      <c r="AC34" s="38" t="e">
        <f t="shared" si="20"/>
        <v>#N/A</v>
      </c>
      <c r="AE34" s="38" t="e">
        <f>IF($G34&lt;&gt;0,$Z34&amp;" ("&amp;$AA34&amp;")","")&amp;IF(COUNTBLANK(AE35:AE36)=1," et",IF(COUNTBLANK(AE35:AE36)=2,".",","))</f>
        <v>#N/A</v>
      </c>
    </row>
    <row r="35" spans="1:39" x14ac:dyDescent="0.25">
      <c r="W35" s="178"/>
    </row>
    <row r="36" spans="1:39" x14ac:dyDescent="0.25">
      <c r="W36" s="178"/>
    </row>
    <row r="37" spans="1:39" x14ac:dyDescent="0.25">
      <c r="W37" s="178"/>
    </row>
    <row r="38" spans="1:39" x14ac:dyDescent="0.25">
      <c r="A38" t="str">
        <f>country</f>
        <v>Australia</v>
      </c>
      <c r="W38" s="178"/>
    </row>
    <row r="39" spans="1:39" ht="12.5" customHeight="1" x14ac:dyDescent="0.3">
      <c r="A39" s="66" t="s">
        <v>156</v>
      </c>
      <c r="B39" s="67" t="s">
        <v>152</v>
      </c>
      <c r="C39" s="66" t="s">
        <v>204</v>
      </c>
      <c r="D39" s="67" t="s">
        <v>153</v>
      </c>
      <c r="E39" s="66" t="s">
        <v>205</v>
      </c>
      <c r="F39" s="67" t="s">
        <v>154</v>
      </c>
      <c r="G39" s="66" t="s">
        <v>105</v>
      </c>
      <c r="K39" s="66" t="s">
        <v>112</v>
      </c>
      <c r="L39" s="66" t="s">
        <v>276</v>
      </c>
      <c r="M39" s="66" t="s">
        <v>206</v>
      </c>
      <c r="N39" s="151" t="s">
        <v>208</v>
      </c>
      <c r="O39" s="66" t="s">
        <v>273</v>
      </c>
      <c r="P39" s="66" t="s">
        <v>207</v>
      </c>
      <c r="Q39" s="66" t="s">
        <v>208</v>
      </c>
      <c r="R39" s="66" t="s">
        <v>273</v>
      </c>
      <c r="U39" s="38" t="e">
        <f>"Based on GDP and employment, the top two sectors for "&amp;adjective&amp;" affiliates were "&amp;LOWER(L40)&amp;" and "&amp;LOWER(L41)&amp;". "</f>
        <v>#N/A</v>
      </c>
      <c r="W39" s="178" t="s">
        <v>367</v>
      </c>
      <c r="X39" s="66" t="s">
        <v>156</v>
      </c>
      <c r="Y39" s="66" t="s">
        <v>105</v>
      </c>
      <c r="AB39" s="66" t="s">
        <v>112</v>
      </c>
      <c r="AC39" s="66" t="s">
        <v>276</v>
      </c>
      <c r="AD39" s="66" t="s">
        <v>367</v>
      </c>
      <c r="AE39" s="66" t="s">
        <v>206</v>
      </c>
      <c r="AF39" s="151" t="s">
        <v>208</v>
      </c>
      <c r="AG39" s="66" t="s">
        <v>273</v>
      </c>
      <c r="AH39" s="66" t="s">
        <v>207</v>
      </c>
      <c r="AI39" s="66" t="s">
        <v>208</v>
      </c>
      <c r="AJ39" s="66" t="s">
        <v>273</v>
      </c>
      <c r="AK39" s="263" t="e">
        <f>"Selon l’apport au PIB et à l'emploi, les deux principaux secteurs d’activité des filiales "&amp;femininPlural&amp;" étaient "&amp;LOWER(AC40)&amp;" ainsi que "&amp;LOWER(AC41)&amp;". "</f>
        <v>#N/A</v>
      </c>
      <c r="AL39" s="263"/>
      <c r="AM39" s="263"/>
    </row>
    <row r="40" spans="1:39" x14ac:dyDescent="0.25">
      <c r="A40" s="68" t="s">
        <v>136</v>
      </c>
      <c r="B40" s="39" t="e">
        <f t="shared" ref="B40:B51" si="24">INDEX(amne,MATCH(maxyearAMNE&amp;country&amp;$A$7&amp;$A40,amne_row,0),MATCH("VALUE", amne_col,0))</f>
        <v>#N/A</v>
      </c>
      <c r="C40" s="38"/>
      <c r="D40" s="38" t="e">
        <f t="shared" ref="D40:D51" si="25">INDEX(amne,MATCH(maxyearAMNE&amp;country&amp;$A$6&amp;$A40,amne_row,0),MATCH("VALUE", amne_col,0))</f>
        <v>#N/A</v>
      </c>
      <c r="E40" s="38"/>
      <c r="F40" s="38"/>
      <c r="G40" s="38"/>
      <c r="J40" s="39" t="s">
        <v>157</v>
      </c>
      <c r="K40" s="39" t="e">
        <f>INDEX($A$39:$G$51,MATCH(1,$G$39:$G$51,0),MATCH("Sectors", $A$39:$G$39,0))</f>
        <v>#N/A</v>
      </c>
      <c r="L40" s="39" t="e">
        <f>LEFT(K40, SEARCH("[",K40)-2)</f>
        <v>#N/A</v>
      </c>
      <c r="M40" s="39" t="e">
        <f>INDEX($A$39:$G$51,MATCH(K40,$A$39:$A$51,0),MATCH("Share of GDP", $A$39:$G$39,0))</f>
        <v>#N/A</v>
      </c>
      <c r="N40" s="39" t="e">
        <f>ROUND(M40*100,0)</f>
        <v>#N/A</v>
      </c>
      <c r="O40" s="39" t="e">
        <f>IF(M40*100&gt;N40,"over ",IF(M40&lt;N40,"almost ",""))</f>
        <v>#N/A</v>
      </c>
      <c r="P40" s="39" t="e">
        <f>INDEX($A$39:$G$51,MATCH(K40,$A$39:$A$51,0),MATCH("Share of Employment", $A$39:$G$39,0))</f>
        <v>#N/A</v>
      </c>
      <c r="Q40" s="39" t="e">
        <f>ROUND(P40*100,0)</f>
        <v>#N/A</v>
      </c>
      <c r="R40" s="39" t="e">
        <f>IF(P40*100&gt;Q40,"over ",IF(P40&lt;Q40,"almost ",""))</f>
        <v>#N/A</v>
      </c>
      <c r="U40" s="38" t="e">
        <f>L40&amp;" made up "&amp;O40&amp;N40&amp;"% of "&amp;IF(AND(N40=Q40,O40=R40),"both output and employment","output and "&amp;R40&amp;Q40&amp;"% of employment")&amp;" of "&amp;adjective&amp;" affiliates, while "</f>
        <v>#N/A</v>
      </c>
      <c r="W40" s="178" t="s">
        <v>368</v>
      </c>
      <c r="X40" s="68" t="s">
        <v>286</v>
      </c>
      <c r="Y40" s="38"/>
      <c r="AA40" s="39" t="s">
        <v>157</v>
      </c>
      <c r="AB40" s="39" t="e">
        <f>INDEX($X$39:$Y$51,MATCH(1,$Y$39:$Y$51,0),MATCH("Sectors", $X$39:$Y$39,0))</f>
        <v>#N/A</v>
      </c>
      <c r="AC40" s="39" t="e">
        <f>LEFT(AB40, SEARCH("[",AB40)-2)</f>
        <v>#N/A</v>
      </c>
      <c r="AD40" s="39" t="e">
        <f>INDEX($W$39:$Y$51,MATCH($AB40,$X$39:$X$51,0),MATCH($W$39, $W$39:$Y$39,0))</f>
        <v>#N/A</v>
      </c>
      <c r="AE40" s="174" t="e">
        <f>INDEX($A$39:$G$51,MATCH($K40,$A$39:$A$51,0),MATCH("Share of GDP", $A$39:$G$39,0))</f>
        <v>#N/A</v>
      </c>
      <c r="AF40" s="174" t="e">
        <f>RNDPFR(AE40)</f>
        <v>#VALUE!</v>
      </c>
      <c r="AG40" s="39" t="e">
        <f>IF(M40*100&gt;N40," plus de ",IF(M40&lt;N40," près de ",""))</f>
        <v>#N/A</v>
      </c>
      <c r="AH40" s="174" t="e">
        <f>INDEX($A$39:$G$51,MATCH($K40,$A$39:$A$51,0),MATCH("Share of Employment", $A$39:$G$39,0))</f>
        <v>#N/A</v>
      </c>
      <c r="AI40" s="174" t="e">
        <f>RNDPFR(AH40)</f>
        <v>#VALUE!</v>
      </c>
      <c r="AJ40" s="39" t="e">
        <f>IF(P40*100&gt;Q40," plus de ",IF(P40&lt;Q40," près de ",""))</f>
        <v>#N/A</v>
      </c>
      <c r="AK40" s="263" t="e">
        <f>AC40&amp;" est associé"&amp;IF($AD$40="feminine","e","")&amp;" à"&amp;AG40&amp;AF40&amp;" de la production et"&amp;IF(AND(AE40=AH40,AF40=AI40),"",AJ40&amp;AI40)&amp;" de l'emploi des filiales "&amp;femininPlural&amp;", alors que "</f>
        <v>#N/A</v>
      </c>
      <c r="AL40" s="263"/>
      <c r="AM40" s="263"/>
    </row>
    <row r="41" spans="1:39" x14ac:dyDescent="0.25">
      <c r="A41" s="68" t="s">
        <v>143</v>
      </c>
      <c r="B41" s="39" t="e">
        <f t="shared" si="24"/>
        <v>#N/A</v>
      </c>
      <c r="C41" s="62" t="e">
        <f>$B41/$B$40</f>
        <v>#N/A</v>
      </c>
      <c r="D41" s="38" t="e">
        <f t="shared" si="25"/>
        <v>#N/A</v>
      </c>
      <c r="E41" s="62" t="e">
        <f t="shared" ref="E41:E51" si="26">$D41/$D$40</f>
        <v>#N/A</v>
      </c>
      <c r="F41" s="69" t="e">
        <f t="shared" ref="F41:F51" si="27">AVERAGE($C41,$E41)</f>
        <v>#N/A</v>
      </c>
      <c r="G41" s="38" t="e">
        <f t="shared" ref="G41:G51" si="28">_xlfn.RANK.EQ($F41,$F$41:$F$51)</f>
        <v>#N/A</v>
      </c>
      <c r="J41" s="39" t="s">
        <v>158</v>
      </c>
      <c r="K41" s="39" t="e">
        <f>INDEX($A$39:$G$51,MATCH(2,$G$39:$G$51,0),MATCH("Sectors", $A$39:$G$39,0))</f>
        <v>#N/A</v>
      </c>
      <c r="L41" s="39" t="e">
        <f>LEFT(K41, SEARCH("[",K41)-2)</f>
        <v>#N/A</v>
      </c>
      <c r="M41" s="39" t="e">
        <f>INDEX($A$39:$G$51,MATCH(K41,$A$39:$A$51,0),MATCH("Share of GDP", $A$39:$G$39,0))</f>
        <v>#N/A</v>
      </c>
      <c r="N41" s="39" t="e">
        <f>ROUND(M41*100,0)</f>
        <v>#N/A</v>
      </c>
      <c r="O41" s="39" t="e">
        <f>IF(M41*100&gt;N41,"over ",IF(M41&lt;N41,"almost ",""))</f>
        <v>#N/A</v>
      </c>
      <c r="P41" s="39" t="e">
        <f>INDEX($A$39:$G$51,MATCH(K41,$A$39:$A$51,0),MATCH("Share of Employment", $A$39:$G$39,0))</f>
        <v>#N/A</v>
      </c>
      <c r="Q41" s="39" t="e">
        <f>ROUND(P41*100,0)</f>
        <v>#N/A</v>
      </c>
      <c r="R41" s="39" t="e">
        <f>IF(P41*100&gt;Q41,"over ",IF(P41&lt;Q41,"almost ",""))</f>
        <v>#N/A</v>
      </c>
      <c r="U41" s="38" t="e">
        <f>LOWER(L41)&amp;" made up "&amp;O41&amp;N41&amp;"% of "&amp;IF(AND(N41=Q41,O41=R41),"both output and employment.","output and "&amp;R41&amp;Q41&amp;"% of employment.")</f>
        <v>#N/A</v>
      </c>
      <c r="W41" s="178" t="s">
        <v>366</v>
      </c>
      <c r="X41" s="68" t="s">
        <v>314</v>
      </c>
      <c r="Y41" s="38" t="e">
        <f t="shared" ref="Y41:Y51" si="29">_xlfn.RANK.EQ($F41,$F$41:$F$51)</f>
        <v>#N/A</v>
      </c>
      <c r="AA41" s="39" t="s">
        <v>158</v>
      </c>
      <c r="AB41" s="39" t="e">
        <f>INDEX($X$39:$Y$51,MATCH(2,$Y$39:$Y$51,0),MATCH("Sectors", $X$39:$Y$39,0))</f>
        <v>#N/A</v>
      </c>
      <c r="AC41" s="39" t="e">
        <f>LEFT(AB41, SEARCH("[",AB41)-2)</f>
        <v>#N/A</v>
      </c>
      <c r="AD41" s="39" t="e">
        <f>INDEX($W$39:$Y$51,MATCH($AB41,$X$39:$X$51,0),MATCH($W$39, $W$39:$Y$39,0))</f>
        <v>#N/A</v>
      </c>
      <c r="AE41" s="174" t="e">
        <f>INDEX($A$39:$G$51,MATCH($K41,$A$39:$A$51,0),MATCH("Share of GDP", $A$39:$G$39,0))</f>
        <v>#N/A</v>
      </c>
      <c r="AF41" s="174" t="e">
        <f>RNDPFR(AE41)</f>
        <v>#VALUE!</v>
      </c>
      <c r="AG41" s="39" t="e">
        <f>IF(M41*100&gt;N41," plus de ",IF(M41&lt;N41," près de ",""))</f>
        <v>#N/A</v>
      </c>
      <c r="AH41" s="174" t="e">
        <f>INDEX($A$39:$G$51,MATCH($K41,$A$39:$A$51,0),MATCH("Share of Employment", $A$39:$G$39,0))</f>
        <v>#N/A</v>
      </c>
      <c r="AI41" s="174" t="e">
        <f>RNDPFR(AH41)</f>
        <v>#VALUE!</v>
      </c>
      <c r="AJ41" s="39" t="e">
        <f>IF(P41*100&gt;Q41," plus de ",IF(P41&lt;Q41," près de ",""))</f>
        <v>#N/A</v>
      </c>
      <c r="AK41" s="263" t="e">
        <f>LOWER(AC41)&amp;" représentait"&amp;AG41&amp;AF41&amp;" de la production et"&amp;IF(AND(AE41=AH41,AF41=AI41),"",AJ41&amp;AI41)&amp;" de l'emploi."</f>
        <v>#N/A</v>
      </c>
      <c r="AL41" s="263"/>
      <c r="AM41" s="263"/>
    </row>
    <row r="42" spans="1:39" x14ac:dyDescent="0.25">
      <c r="A42" s="68" t="s">
        <v>49</v>
      </c>
      <c r="B42" s="39" t="e">
        <f t="shared" si="24"/>
        <v>#N/A</v>
      </c>
      <c r="C42" s="62" t="e">
        <f>$B42/$B$40</f>
        <v>#N/A</v>
      </c>
      <c r="D42" s="38" t="e">
        <f t="shared" si="25"/>
        <v>#N/A</v>
      </c>
      <c r="E42" s="62" t="e">
        <f t="shared" si="26"/>
        <v>#N/A</v>
      </c>
      <c r="F42" s="69" t="e">
        <f>AVERAGE($C42,$E42)</f>
        <v>#N/A</v>
      </c>
      <c r="G42" s="38" t="e">
        <f>_xlfn.RANK.EQ($F42,$F$41:$F$51)</f>
        <v>#N/A</v>
      </c>
      <c r="W42" s="178" t="s">
        <v>366</v>
      </c>
      <c r="X42" s="68" t="s">
        <v>319</v>
      </c>
      <c r="Y42" s="38" t="e">
        <f>_xlfn.RANK.EQ($F42,$F$41:$F$51)</f>
        <v>#N/A</v>
      </c>
    </row>
    <row r="43" spans="1:39" x14ac:dyDescent="0.25">
      <c r="A43" s="68" t="s">
        <v>50</v>
      </c>
      <c r="B43" s="39" t="e">
        <f t="shared" si="24"/>
        <v>#N/A</v>
      </c>
      <c r="C43" s="62" t="e">
        <f t="shared" ref="C43:C51" si="30">$B43/$B$40</f>
        <v>#N/A</v>
      </c>
      <c r="D43" s="38" t="e">
        <f t="shared" si="25"/>
        <v>#N/A</v>
      </c>
      <c r="E43" s="62" t="e">
        <f t="shared" si="26"/>
        <v>#N/A</v>
      </c>
      <c r="F43" s="69" t="e">
        <f t="shared" si="27"/>
        <v>#N/A</v>
      </c>
      <c r="G43" s="38" t="e">
        <f t="shared" si="28"/>
        <v>#N/A</v>
      </c>
      <c r="W43" s="178" t="s">
        <v>366</v>
      </c>
      <c r="X43" s="68" t="s">
        <v>312</v>
      </c>
      <c r="Y43" s="38" t="e">
        <f t="shared" si="29"/>
        <v>#N/A</v>
      </c>
    </row>
    <row r="44" spans="1:39" ht="12.5" customHeight="1" x14ac:dyDescent="0.25">
      <c r="A44" s="68" t="s">
        <v>144</v>
      </c>
      <c r="B44" s="39" t="e">
        <f t="shared" si="24"/>
        <v>#N/A</v>
      </c>
      <c r="C44" s="62" t="e">
        <f t="shared" si="30"/>
        <v>#N/A</v>
      </c>
      <c r="D44" s="38" t="e">
        <f t="shared" si="25"/>
        <v>#N/A</v>
      </c>
      <c r="E44" s="62" t="e">
        <f t="shared" si="26"/>
        <v>#N/A</v>
      </c>
      <c r="F44" s="69" t="e">
        <f t="shared" si="27"/>
        <v>#N/A</v>
      </c>
      <c r="G44" s="38" t="e">
        <f t="shared" si="28"/>
        <v>#N/A</v>
      </c>
      <c r="J44" s="246" t="e">
        <f>IFERROR(J16&amp;U31&amp;U32&amp;U33&amp;U34, "Data on "&amp;adjective&amp;" Multi-National Enterprises in Canada are unavailable. ")</f>
        <v>#N/A</v>
      </c>
      <c r="K44" s="247"/>
      <c r="L44" s="247"/>
      <c r="M44" s="247"/>
      <c r="N44" s="247"/>
      <c r="O44" s="247"/>
      <c r="P44" s="247"/>
      <c r="Q44" s="247"/>
      <c r="R44" s="247"/>
      <c r="S44" s="247"/>
      <c r="T44" s="247"/>
      <c r="U44" s="248"/>
      <c r="W44" s="178" t="s">
        <v>368</v>
      </c>
      <c r="X44" s="68" t="s">
        <v>315</v>
      </c>
      <c r="Y44" s="38" t="e">
        <f t="shared" si="29"/>
        <v>#N/A</v>
      </c>
      <c r="AB44" s="246" t="e">
        <f>IFERROR(AB16&amp;AE31&amp;AE32&amp;AE33&amp;AE34, "Les données sur les entreprises multinationales "&amp;femininPlural&amp;" au Canada ne sont pas disponibles. ")</f>
        <v>#N/A</v>
      </c>
      <c r="AC44" s="247"/>
      <c r="AD44" s="247"/>
      <c r="AE44" s="247"/>
      <c r="AF44" s="247"/>
      <c r="AG44" s="247"/>
      <c r="AH44" s="247"/>
      <c r="AI44" s="247"/>
      <c r="AJ44" s="247"/>
      <c r="AK44" s="247"/>
      <c r="AL44" s="247"/>
      <c r="AM44" s="248"/>
    </row>
    <row r="45" spans="1:39" ht="12.5" customHeight="1" x14ac:dyDescent="0.25">
      <c r="A45" s="68" t="s">
        <v>145</v>
      </c>
      <c r="B45" s="39" t="e">
        <f t="shared" si="24"/>
        <v>#N/A</v>
      </c>
      <c r="C45" s="62" t="e">
        <f t="shared" si="30"/>
        <v>#N/A</v>
      </c>
      <c r="D45" s="38" t="e">
        <f t="shared" si="25"/>
        <v>#N/A</v>
      </c>
      <c r="E45" s="62" t="e">
        <f t="shared" si="26"/>
        <v>#N/A</v>
      </c>
      <c r="F45" s="69" t="e">
        <f t="shared" si="27"/>
        <v>#N/A</v>
      </c>
      <c r="G45" s="38" t="e">
        <f t="shared" si="28"/>
        <v>#N/A</v>
      </c>
      <c r="J45" s="249"/>
      <c r="K45" s="250"/>
      <c r="L45" s="250"/>
      <c r="M45" s="250"/>
      <c r="N45" s="250"/>
      <c r="O45" s="250"/>
      <c r="P45" s="250"/>
      <c r="Q45" s="250"/>
      <c r="R45" s="250"/>
      <c r="S45" s="250"/>
      <c r="T45" s="250"/>
      <c r="U45" s="251"/>
      <c r="V45" s="73"/>
      <c r="W45" s="178" t="s">
        <v>368</v>
      </c>
      <c r="X45" s="68" t="s">
        <v>316</v>
      </c>
      <c r="Y45" s="38" t="e">
        <f t="shared" si="29"/>
        <v>#N/A</v>
      </c>
      <c r="Z45" s="73"/>
      <c r="AB45" s="249"/>
      <c r="AC45" s="250"/>
      <c r="AD45" s="250"/>
      <c r="AE45" s="250"/>
      <c r="AF45" s="250"/>
      <c r="AG45" s="250"/>
      <c r="AH45" s="250"/>
      <c r="AI45" s="250"/>
      <c r="AJ45" s="250"/>
      <c r="AK45" s="250"/>
      <c r="AL45" s="250"/>
      <c r="AM45" s="251"/>
    </row>
    <row r="46" spans="1:39" x14ac:dyDescent="0.25">
      <c r="A46" s="68" t="s">
        <v>146</v>
      </c>
      <c r="B46" s="39" t="e">
        <f t="shared" si="24"/>
        <v>#N/A</v>
      </c>
      <c r="C46" s="62" t="e">
        <f t="shared" si="30"/>
        <v>#N/A</v>
      </c>
      <c r="D46" s="38" t="e">
        <f t="shared" si="25"/>
        <v>#N/A</v>
      </c>
      <c r="E46" s="62" t="e">
        <f t="shared" si="26"/>
        <v>#N/A</v>
      </c>
      <c r="F46" s="69" t="e">
        <f t="shared" si="27"/>
        <v>#N/A</v>
      </c>
      <c r="G46" s="38" t="e">
        <f t="shared" si="28"/>
        <v>#N/A</v>
      </c>
      <c r="J46" s="249"/>
      <c r="K46" s="250"/>
      <c r="L46" s="250"/>
      <c r="M46" s="250"/>
      <c r="N46" s="250"/>
      <c r="O46" s="250"/>
      <c r="P46" s="250"/>
      <c r="Q46" s="250"/>
      <c r="R46" s="250"/>
      <c r="S46" s="250"/>
      <c r="T46" s="250"/>
      <c r="U46" s="251"/>
      <c r="V46" s="73"/>
      <c r="W46" s="178" t="s">
        <v>368</v>
      </c>
      <c r="X46" s="68" t="s">
        <v>320</v>
      </c>
      <c r="Y46" s="38" t="e">
        <f t="shared" si="29"/>
        <v>#N/A</v>
      </c>
      <c r="Z46" s="73"/>
      <c r="AB46" s="249"/>
      <c r="AC46" s="250"/>
      <c r="AD46" s="250"/>
      <c r="AE46" s="250"/>
      <c r="AF46" s="250"/>
      <c r="AG46" s="250"/>
      <c r="AH46" s="250"/>
      <c r="AI46" s="250"/>
      <c r="AJ46" s="250"/>
      <c r="AK46" s="250"/>
      <c r="AL46" s="250"/>
      <c r="AM46" s="251"/>
    </row>
    <row r="47" spans="1:39" x14ac:dyDescent="0.25">
      <c r="A47" s="68" t="s">
        <v>147</v>
      </c>
      <c r="B47" s="39" t="e">
        <f t="shared" si="24"/>
        <v>#N/A</v>
      </c>
      <c r="C47" s="62" t="e">
        <f t="shared" si="30"/>
        <v>#N/A</v>
      </c>
      <c r="D47" s="38" t="e">
        <f t="shared" si="25"/>
        <v>#N/A</v>
      </c>
      <c r="E47" s="62" t="e">
        <f t="shared" si="26"/>
        <v>#N/A</v>
      </c>
      <c r="F47" s="69" t="e">
        <f t="shared" si="27"/>
        <v>#N/A</v>
      </c>
      <c r="G47" s="38" t="e">
        <f t="shared" si="28"/>
        <v>#N/A</v>
      </c>
      <c r="J47" s="249"/>
      <c r="K47" s="250"/>
      <c r="L47" s="250"/>
      <c r="M47" s="250"/>
      <c r="N47" s="250"/>
      <c r="O47" s="250"/>
      <c r="P47" s="250"/>
      <c r="Q47" s="250"/>
      <c r="R47" s="250"/>
      <c r="S47" s="250"/>
      <c r="T47" s="250"/>
      <c r="U47" s="251"/>
      <c r="V47" s="73"/>
      <c r="W47" s="178" t="s">
        <v>366</v>
      </c>
      <c r="X47" s="68" t="s">
        <v>313</v>
      </c>
      <c r="Y47" s="38" t="e">
        <f t="shared" si="29"/>
        <v>#N/A</v>
      </c>
      <c r="Z47" s="73"/>
      <c r="AB47" s="249"/>
      <c r="AC47" s="250"/>
      <c r="AD47" s="250"/>
      <c r="AE47" s="250"/>
      <c r="AF47" s="250"/>
      <c r="AG47" s="250"/>
      <c r="AH47" s="250"/>
      <c r="AI47" s="250"/>
      <c r="AJ47" s="250"/>
      <c r="AK47" s="250"/>
      <c r="AL47" s="250"/>
      <c r="AM47" s="251"/>
    </row>
    <row r="48" spans="1:39" x14ac:dyDescent="0.25">
      <c r="A48" s="68" t="s">
        <v>148</v>
      </c>
      <c r="B48" s="39" t="e">
        <f t="shared" si="24"/>
        <v>#N/A</v>
      </c>
      <c r="C48" s="62" t="e">
        <f t="shared" si="30"/>
        <v>#N/A</v>
      </c>
      <c r="D48" s="38" t="e">
        <f t="shared" si="25"/>
        <v>#N/A</v>
      </c>
      <c r="E48" s="62" t="e">
        <f t="shared" si="26"/>
        <v>#N/A</v>
      </c>
      <c r="F48" s="69" t="e">
        <f t="shared" si="27"/>
        <v>#N/A</v>
      </c>
      <c r="G48" s="38" t="e">
        <f t="shared" si="28"/>
        <v>#N/A</v>
      </c>
      <c r="J48" s="249"/>
      <c r="K48" s="250"/>
      <c r="L48" s="250"/>
      <c r="M48" s="250"/>
      <c r="N48" s="250"/>
      <c r="O48" s="250"/>
      <c r="P48" s="250"/>
      <c r="Q48" s="250"/>
      <c r="R48" s="250"/>
      <c r="S48" s="250"/>
      <c r="T48" s="250"/>
      <c r="U48" s="251"/>
      <c r="V48" s="73"/>
      <c r="W48" s="178" t="s">
        <v>368</v>
      </c>
      <c r="X48" s="68" t="s">
        <v>322</v>
      </c>
      <c r="Y48" s="38" t="e">
        <f t="shared" si="29"/>
        <v>#N/A</v>
      </c>
      <c r="Z48" s="73"/>
      <c r="AB48" s="249"/>
      <c r="AC48" s="250"/>
      <c r="AD48" s="250"/>
      <c r="AE48" s="250"/>
      <c r="AF48" s="250"/>
      <c r="AG48" s="250"/>
      <c r="AH48" s="250"/>
      <c r="AI48" s="250"/>
      <c r="AJ48" s="250"/>
      <c r="AK48" s="250"/>
      <c r="AL48" s="250"/>
      <c r="AM48" s="251"/>
    </row>
    <row r="49" spans="1:39" x14ac:dyDescent="0.25">
      <c r="A49" s="68" t="s">
        <v>149</v>
      </c>
      <c r="B49" s="39" t="e">
        <f t="shared" si="24"/>
        <v>#N/A</v>
      </c>
      <c r="C49" s="62" t="e">
        <f t="shared" si="30"/>
        <v>#N/A</v>
      </c>
      <c r="D49" s="38" t="e">
        <f t="shared" si="25"/>
        <v>#N/A</v>
      </c>
      <c r="E49" s="62" t="e">
        <f t="shared" si="26"/>
        <v>#N/A</v>
      </c>
      <c r="F49" s="69" t="e">
        <f t="shared" si="27"/>
        <v>#N/A</v>
      </c>
      <c r="G49" s="38" t="e">
        <f t="shared" si="28"/>
        <v>#N/A</v>
      </c>
      <c r="J49" s="249"/>
      <c r="K49" s="250"/>
      <c r="L49" s="250"/>
      <c r="M49" s="250"/>
      <c r="N49" s="250"/>
      <c r="O49" s="250"/>
      <c r="P49" s="250"/>
      <c r="Q49" s="250"/>
      <c r="R49" s="250"/>
      <c r="S49" s="250"/>
      <c r="T49" s="250"/>
      <c r="U49" s="251"/>
      <c r="V49" s="73"/>
      <c r="W49" s="178" t="s">
        <v>368</v>
      </c>
      <c r="X49" s="68" t="s">
        <v>323</v>
      </c>
      <c r="Y49" s="38" t="e">
        <f t="shared" si="29"/>
        <v>#N/A</v>
      </c>
      <c r="Z49" s="73"/>
      <c r="AB49" s="249"/>
      <c r="AC49" s="250"/>
      <c r="AD49" s="250"/>
      <c r="AE49" s="250"/>
      <c r="AF49" s="250"/>
      <c r="AG49" s="250"/>
      <c r="AH49" s="250"/>
      <c r="AI49" s="250"/>
      <c r="AJ49" s="250"/>
      <c r="AK49" s="250"/>
      <c r="AL49" s="250"/>
      <c r="AM49" s="251"/>
    </row>
    <row r="50" spans="1:39" ht="12.5" customHeight="1" x14ac:dyDescent="0.25">
      <c r="A50" s="68" t="s">
        <v>150</v>
      </c>
      <c r="B50" s="39" t="e">
        <f t="shared" si="24"/>
        <v>#N/A</v>
      </c>
      <c r="C50" s="62" t="e">
        <f t="shared" si="30"/>
        <v>#N/A</v>
      </c>
      <c r="D50" s="38" t="e">
        <f t="shared" si="25"/>
        <v>#N/A</v>
      </c>
      <c r="E50" s="62" t="e">
        <f t="shared" si="26"/>
        <v>#N/A</v>
      </c>
      <c r="F50" s="69" t="e">
        <f t="shared" si="27"/>
        <v>#N/A</v>
      </c>
      <c r="G50" s="38" t="e">
        <f t="shared" si="28"/>
        <v>#N/A</v>
      </c>
      <c r="J50" s="252"/>
      <c r="K50" s="253"/>
      <c r="L50" s="253"/>
      <c r="M50" s="253"/>
      <c r="N50" s="253"/>
      <c r="O50" s="253"/>
      <c r="P50" s="253"/>
      <c r="Q50" s="253"/>
      <c r="R50" s="253"/>
      <c r="S50" s="253"/>
      <c r="T50" s="253"/>
      <c r="U50" s="254"/>
      <c r="V50" s="73"/>
      <c r="W50" s="178" t="s">
        <v>366</v>
      </c>
      <c r="X50" s="68" t="s">
        <v>324</v>
      </c>
      <c r="Y50" s="38" t="e">
        <f t="shared" si="29"/>
        <v>#N/A</v>
      </c>
      <c r="Z50" s="73"/>
      <c r="AB50" s="252"/>
      <c r="AC50" s="253"/>
      <c r="AD50" s="253"/>
      <c r="AE50" s="253"/>
      <c r="AF50" s="253"/>
      <c r="AG50" s="253"/>
      <c r="AH50" s="253"/>
      <c r="AI50" s="253"/>
      <c r="AJ50" s="253"/>
      <c r="AK50" s="253"/>
      <c r="AL50" s="253"/>
      <c r="AM50" s="254"/>
    </row>
    <row r="51" spans="1:39" x14ac:dyDescent="0.25">
      <c r="A51" s="68" t="s">
        <v>151</v>
      </c>
      <c r="B51" s="39" t="e">
        <f t="shared" si="24"/>
        <v>#N/A</v>
      </c>
      <c r="C51" s="62" t="e">
        <f t="shared" si="30"/>
        <v>#N/A</v>
      </c>
      <c r="D51" s="38" t="e">
        <f t="shared" si="25"/>
        <v>#N/A</v>
      </c>
      <c r="E51" s="62" t="e">
        <f t="shared" si="26"/>
        <v>#N/A</v>
      </c>
      <c r="F51" s="69" t="e">
        <f t="shared" si="27"/>
        <v>#N/A</v>
      </c>
      <c r="G51" s="38" t="e">
        <f t="shared" si="28"/>
        <v>#N/A</v>
      </c>
      <c r="J51" s="246" t="str">
        <f>IFERROR(U39&amp;U40&amp;U41,"")</f>
        <v/>
      </c>
      <c r="K51" s="247"/>
      <c r="L51" s="247"/>
      <c r="M51" s="247"/>
      <c r="N51" s="247"/>
      <c r="O51" s="247"/>
      <c r="P51" s="247"/>
      <c r="Q51" s="247"/>
      <c r="R51" s="247"/>
      <c r="S51" s="247"/>
      <c r="T51" s="247"/>
      <c r="U51" s="248"/>
      <c r="V51" s="73"/>
      <c r="W51" s="178" t="s">
        <v>368</v>
      </c>
      <c r="X51" s="68" t="s">
        <v>352</v>
      </c>
      <c r="Y51" s="38" t="e">
        <f t="shared" si="29"/>
        <v>#N/A</v>
      </c>
      <c r="Z51" s="73"/>
      <c r="AB51" s="246" t="str">
        <f>IFERROR(AK39&amp;AK40&amp;AK41,"")</f>
        <v/>
      </c>
      <c r="AC51" s="247"/>
      <c r="AD51" s="247"/>
      <c r="AE51" s="247"/>
      <c r="AF51" s="247"/>
      <c r="AG51" s="247"/>
      <c r="AH51" s="247"/>
      <c r="AI51" s="247"/>
      <c r="AJ51" s="247"/>
      <c r="AK51" s="247"/>
      <c r="AL51" s="247"/>
      <c r="AM51" s="248"/>
    </row>
    <row r="52" spans="1:39" x14ac:dyDescent="0.25">
      <c r="J52" s="249"/>
      <c r="K52" s="250"/>
      <c r="L52" s="250"/>
      <c r="M52" s="250"/>
      <c r="N52" s="250"/>
      <c r="O52" s="250"/>
      <c r="P52" s="250"/>
      <c r="Q52" s="250"/>
      <c r="R52" s="250"/>
      <c r="S52" s="250"/>
      <c r="T52" s="250"/>
      <c r="U52" s="251"/>
      <c r="V52" s="73"/>
      <c r="W52" s="179"/>
      <c r="X52" s="73"/>
      <c r="Y52" s="73"/>
      <c r="Z52" s="73"/>
      <c r="AB52" s="249"/>
      <c r="AC52" s="250"/>
      <c r="AD52" s="250"/>
      <c r="AE52" s="250"/>
      <c r="AF52" s="250"/>
      <c r="AG52" s="250"/>
      <c r="AH52" s="250"/>
      <c r="AI52" s="250"/>
      <c r="AJ52" s="250"/>
      <c r="AK52" s="250"/>
      <c r="AL52" s="250"/>
      <c r="AM52" s="251"/>
    </row>
    <row r="53" spans="1:39" x14ac:dyDescent="0.25">
      <c r="A53" s="1" t="s">
        <v>3</v>
      </c>
      <c r="J53" s="252"/>
      <c r="K53" s="253"/>
      <c r="L53" s="253"/>
      <c r="M53" s="253"/>
      <c r="N53" s="253"/>
      <c r="O53" s="253"/>
      <c r="P53" s="253"/>
      <c r="Q53" s="253"/>
      <c r="R53" s="253"/>
      <c r="S53" s="253"/>
      <c r="T53" s="253"/>
      <c r="U53" s="254"/>
      <c r="V53" s="73"/>
      <c r="W53" s="179"/>
      <c r="X53" s="73"/>
      <c r="Y53" s="73"/>
      <c r="Z53" s="73"/>
      <c r="AB53" s="252"/>
      <c r="AC53" s="253"/>
      <c r="AD53" s="253"/>
      <c r="AE53" s="253"/>
      <c r="AF53" s="253"/>
      <c r="AG53" s="253"/>
      <c r="AH53" s="253"/>
      <c r="AI53" s="253"/>
      <c r="AJ53" s="253"/>
      <c r="AK53" s="253"/>
      <c r="AL53" s="253"/>
      <c r="AM53" s="254"/>
    </row>
    <row r="54" spans="1:39" ht="13" x14ac:dyDescent="0.3">
      <c r="A54" s="66" t="s">
        <v>156</v>
      </c>
      <c r="B54" s="67" t="s">
        <v>152</v>
      </c>
      <c r="C54" s="66" t="s">
        <v>38</v>
      </c>
      <c r="D54" s="67" t="s">
        <v>153</v>
      </c>
      <c r="E54" s="66" t="s">
        <v>38</v>
      </c>
      <c r="F54" s="67" t="s">
        <v>154</v>
      </c>
      <c r="G54" s="66" t="s">
        <v>105</v>
      </c>
      <c r="J54" s="176"/>
      <c r="K54" s="176"/>
      <c r="L54" s="176"/>
      <c r="M54" s="176"/>
      <c r="N54" s="176"/>
      <c r="O54" s="176"/>
      <c r="P54" s="176"/>
      <c r="Q54" s="176"/>
      <c r="R54" s="176"/>
      <c r="S54" s="176"/>
      <c r="T54" s="176"/>
      <c r="U54" s="176"/>
      <c r="V54" s="73"/>
      <c r="W54" s="179"/>
      <c r="X54" s="73"/>
      <c r="Y54" s="73"/>
      <c r="Z54" s="73"/>
    </row>
    <row r="55" spans="1:39" x14ac:dyDescent="0.25">
      <c r="A55" s="68" t="s">
        <v>136</v>
      </c>
      <c r="B55" s="39" t="e">
        <f>INDEX(amne,MATCH(maxyearAMNE&amp;$A$53&amp;$A$7&amp;$A55,amne_row,0),MATCH("VALUE", amne_col,0))</f>
        <v>#N/A</v>
      </c>
      <c r="C55" s="38"/>
      <c r="D55" s="38" t="e">
        <f t="shared" ref="D55:D66" si="31">INDEX(amne,MATCH(maxyearAMNE&amp;$A$53&amp;$A$6&amp;$A55,amne_row,0),MATCH("VALUE", amne_col,0))</f>
        <v>#N/A</v>
      </c>
      <c r="E55" s="38"/>
      <c r="F55" s="38"/>
      <c r="G55" s="38"/>
      <c r="J55" s="176"/>
      <c r="K55" s="176"/>
      <c r="L55" s="176"/>
      <c r="M55" s="176"/>
      <c r="N55" s="176"/>
      <c r="O55" s="176"/>
      <c r="P55" s="176"/>
      <c r="Q55" s="176"/>
      <c r="R55" s="176"/>
      <c r="S55" s="176"/>
      <c r="T55" s="176"/>
      <c r="U55" s="176"/>
      <c r="W55" s="178"/>
    </row>
    <row r="56" spans="1:39" x14ac:dyDescent="0.25">
      <c r="A56" s="68" t="s">
        <v>143</v>
      </c>
      <c r="B56" s="39" t="e">
        <f t="shared" ref="B56:B66" si="32">INDEX(amne,MATCH(maxyearAMNE&amp;$A$53&amp;$A$7&amp;$A56,amne_row,0),MATCH("VALUE", amne_col,0))</f>
        <v>#N/A</v>
      </c>
      <c r="C56" s="62" t="e">
        <f>$B56/$B$55</f>
        <v>#N/A</v>
      </c>
      <c r="D56" s="38" t="e">
        <f t="shared" si="31"/>
        <v>#N/A</v>
      </c>
      <c r="E56" s="62" t="e">
        <f>$D56/$D$55</f>
        <v>#N/A</v>
      </c>
      <c r="F56" s="69" t="e">
        <f>AVERAGE($C56,$E56)</f>
        <v>#N/A</v>
      </c>
      <c r="G56" s="38" t="e">
        <f>_xlfn.RANK.EQ($F56,$F$56:$F$66)</f>
        <v>#N/A</v>
      </c>
      <c r="J56" s="176"/>
      <c r="K56" s="176"/>
      <c r="L56" s="176"/>
      <c r="M56" s="176"/>
      <c r="N56" s="176"/>
      <c r="O56" s="176"/>
      <c r="P56" s="176"/>
      <c r="Q56" s="176"/>
      <c r="R56" s="176"/>
      <c r="S56" s="176"/>
      <c r="T56" s="176"/>
      <c r="U56" s="176"/>
      <c r="W56" s="178"/>
    </row>
    <row r="57" spans="1:39" x14ac:dyDescent="0.25">
      <c r="A57" s="68" t="s">
        <v>49</v>
      </c>
      <c r="B57" s="39" t="e">
        <f t="shared" si="32"/>
        <v>#N/A</v>
      </c>
      <c r="C57" s="62" t="e">
        <f t="shared" ref="C57:C66" si="33">$B57/$B$55</f>
        <v>#N/A</v>
      </c>
      <c r="D57" s="38" t="e">
        <f t="shared" si="31"/>
        <v>#N/A</v>
      </c>
      <c r="E57" s="62" t="e">
        <f t="shared" ref="E57:E66" si="34">$D57/$D$55</f>
        <v>#N/A</v>
      </c>
      <c r="F57" s="69" t="e">
        <f t="shared" ref="F57:F66" si="35">AVERAGE($C57,$E57)</f>
        <v>#N/A</v>
      </c>
      <c r="G57" s="38" t="e">
        <f t="shared" ref="G57:G66" si="36">_xlfn.RANK.EQ($F57,$F$56:$F$66)</f>
        <v>#N/A</v>
      </c>
      <c r="J57" s="176"/>
      <c r="K57" s="176"/>
      <c r="L57" s="176"/>
      <c r="M57" s="176"/>
      <c r="N57" s="176"/>
      <c r="O57" s="176"/>
      <c r="P57" s="176"/>
      <c r="Q57" s="176"/>
      <c r="R57" s="176"/>
      <c r="S57" s="176"/>
      <c r="T57" s="176"/>
      <c r="U57" s="176"/>
      <c r="W57" s="178"/>
    </row>
    <row r="58" spans="1:39" x14ac:dyDescent="0.25">
      <c r="A58" s="68" t="s">
        <v>50</v>
      </c>
      <c r="B58" s="39" t="e">
        <f t="shared" si="32"/>
        <v>#N/A</v>
      </c>
      <c r="C58" s="62" t="e">
        <f t="shared" si="33"/>
        <v>#N/A</v>
      </c>
      <c r="D58" s="38" t="e">
        <f t="shared" si="31"/>
        <v>#N/A</v>
      </c>
      <c r="E58" s="62" t="e">
        <f t="shared" si="34"/>
        <v>#N/A</v>
      </c>
      <c r="F58" s="69" t="e">
        <f t="shared" si="35"/>
        <v>#N/A</v>
      </c>
      <c r="G58" s="38" t="e">
        <f t="shared" si="36"/>
        <v>#N/A</v>
      </c>
      <c r="J58" s="176"/>
      <c r="K58" s="176"/>
      <c r="L58" s="176"/>
      <c r="M58" s="176"/>
      <c r="N58" s="176"/>
      <c r="O58" s="176"/>
      <c r="P58" s="176"/>
      <c r="Q58" s="176"/>
      <c r="R58" s="176"/>
      <c r="S58" s="176"/>
      <c r="T58" s="176"/>
      <c r="U58" s="176"/>
      <c r="W58" s="178"/>
    </row>
    <row r="59" spans="1:39" x14ac:dyDescent="0.25">
      <c r="A59" s="68" t="s">
        <v>144</v>
      </c>
      <c r="B59" s="39" t="e">
        <f t="shared" si="32"/>
        <v>#N/A</v>
      </c>
      <c r="C59" s="62" t="e">
        <f t="shared" si="33"/>
        <v>#N/A</v>
      </c>
      <c r="D59" s="38" t="e">
        <f t="shared" si="31"/>
        <v>#N/A</v>
      </c>
      <c r="E59" s="62" t="e">
        <f t="shared" si="34"/>
        <v>#N/A</v>
      </c>
      <c r="F59" s="69" t="e">
        <f t="shared" si="35"/>
        <v>#N/A</v>
      </c>
      <c r="G59" s="38" t="e">
        <f t="shared" si="36"/>
        <v>#N/A</v>
      </c>
      <c r="W59" s="178"/>
    </row>
    <row r="60" spans="1:39" x14ac:dyDescent="0.25">
      <c r="A60" s="68" t="s">
        <v>145</v>
      </c>
      <c r="B60" s="39" t="e">
        <f t="shared" si="32"/>
        <v>#N/A</v>
      </c>
      <c r="C60" s="62" t="e">
        <f t="shared" si="33"/>
        <v>#N/A</v>
      </c>
      <c r="D60" s="38" t="e">
        <f t="shared" si="31"/>
        <v>#N/A</v>
      </c>
      <c r="E60" s="62" t="e">
        <f t="shared" si="34"/>
        <v>#N/A</v>
      </c>
      <c r="F60" s="69" t="e">
        <f t="shared" si="35"/>
        <v>#N/A</v>
      </c>
      <c r="G60" s="38" t="e">
        <f t="shared" si="36"/>
        <v>#N/A</v>
      </c>
      <c r="W60" s="178"/>
    </row>
    <row r="61" spans="1:39" x14ac:dyDescent="0.25">
      <c r="A61" s="68" t="s">
        <v>146</v>
      </c>
      <c r="B61" s="39" t="e">
        <f>INDEX(amne,MATCH(maxyearAMNE&amp;$A$53&amp;$A$7&amp;$A61,amne_row,0),MATCH("VALUE", amne_col,0))</f>
        <v>#N/A</v>
      </c>
      <c r="C61" s="62" t="e">
        <f t="shared" si="33"/>
        <v>#N/A</v>
      </c>
      <c r="D61" s="38" t="e">
        <f t="shared" si="31"/>
        <v>#N/A</v>
      </c>
      <c r="E61" s="62" t="e">
        <f t="shared" si="34"/>
        <v>#N/A</v>
      </c>
      <c r="F61" s="69" t="e">
        <f t="shared" si="35"/>
        <v>#N/A</v>
      </c>
      <c r="G61" s="38" t="e">
        <f t="shared" si="36"/>
        <v>#N/A</v>
      </c>
      <c r="W61" s="178"/>
    </row>
    <row r="62" spans="1:39" x14ac:dyDescent="0.25">
      <c r="A62" s="68" t="s">
        <v>147</v>
      </c>
      <c r="B62" s="39" t="e">
        <f t="shared" si="32"/>
        <v>#N/A</v>
      </c>
      <c r="C62" s="62" t="e">
        <f t="shared" si="33"/>
        <v>#N/A</v>
      </c>
      <c r="D62" s="38" t="e">
        <f t="shared" si="31"/>
        <v>#N/A</v>
      </c>
      <c r="E62" s="62" t="e">
        <f t="shared" si="34"/>
        <v>#N/A</v>
      </c>
      <c r="F62" s="69" t="e">
        <f t="shared" si="35"/>
        <v>#N/A</v>
      </c>
      <c r="G62" s="38" t="e">
        <f t="shared" si="36"/>
        <v>#N/A</v>
      </c>
      <c r="W62" s="178"/>
    </row>
    <row r="63" spans="1:39" x14ac:dyDescent="0.25">
      <c r="A63" s="68" t="s">
        <v>148</v>
      </c>
      <c r="B63" s="39" t="e">
        <f t="shared" si="32"/>
        <v>#N/A</v>
      </c>
      <c r="C63" s="62" t="e">
        <f t="shared" si="33"/>
        <v>#N/A</v>
      </c>
      <c r="D63" s="38" t="e">
        <f t="shared" si="31"/>
        <v>#N/A</v>
      </c>
      <c r="E63" s="62" t="e">
        <f t="shared" si="34"/>
        <v>#N/A</v>
      </c>
      <c r="F63" s="69" t="e">
        <f t="shared" si="35"/>
        <v>#N/A</v>
      </c>
      <c r="G63" s="38" t="e">
        <f t="shared" si="36"/>
        <v>#N/A</v>
      </c>
      <c r="W63" s="178"/>
    </row>
    <row r="64" spans="1:39" x14ac:dyDescent="0.25">
      <c r="A64" s="68" t="s">
        <v>149</v>
      </c>
      <c r="B64" s="39" t="e">
        <f t="shared" si="32"/>
        <v>#N/A</v>
      </c>
      <c r="C64" s="62" t="e">
        <f t="shared" si="33"/>
        <v>#N/A</v>
      </c>
      <c r="D64" s="38" t="e">
        <f t="shared" si="31"/>
        <v>#N/A</v>
      </c>
      <c r="E64" s="62" t="e">
        <f t="shared" si="34"/>
        <v>#N/A</v>
      </c>
      <c r="F64" s="69" t="e">
        <f t="shared" si="35"/>
        <v>#N/A</v>
      </c>
      <c r="G64" s="38" t="e">
        <f t="shared" si="36"/>
        <v>#N/A</v>
      </c>
      <c r="W64" s="178"/>
    </row>
    <row r="65" spans="1:37" x14ac:dyDescent="0.25">
      <c r="A65" s="68" t="s">
        <v>150</v>
      </c>
      <c r="B65" s="39" t="e">
        <f t="shared" si="32"/>
        <v>#N/A</v>
      </c>
      <c r="C65" s="62" t="e">
        <f t="shared" si="33"/>
        <v>#N/A</v>
      </c>
      <c r="D65" s="38" t="e">
        <f t="shared" si="31"/>
        <v>#N/A</v>
      </c>
      <c r="E65" s="62" t="e">
        <f t="shared" si="34"/>
        <v>#N/A</v>
      </c>
      <c r="F65" s="69" t="e">
        <f t="shared" si="35"/>
        <v>#N/A</v>
      </c>
      <c r="G65" s="38" t="e">
        <f t="shared" si="36"/>
        <v>#N/A</v>
      </c>
      <c r="W65" s="178"/>
    </row>
    <row r="66" spans="1:37" x14ac:dyDescent="0.25">
      <c r="A66" s="68" t="s">
        <v>151</v>
      </c>
      <c r="B66" s="39" t="e">
        <f t="shared" si="32"/>
        <v>#N/A</v>
      </c>
      <c r="C66" s="62" t="e">
        <f t="shared" si="33"/>
        <v>#N/A</v>
      </c>
      <c r="D66" s="38" t="e">
        <f t="shared" si="31"/>
        <v>#N/A</v>
      </c>
      <c r="E66" s="62" t="e">
        <f t="shared" si="34"/>
        <v>#N/A</v>
      </c>
      <c r="F66" s="69" t="e">
        <f t="shared" si="35"/>
        <v>#N/A</v>
      </c>
      <c r="G66" s="38" t="e">
        <f t="shared" si="36"/>
        <v>#N/A</v>
      </c>
      <c r="W66" s="178"/>
    </row>
    <row r="67" spans="1:37" x14ac:dyDescent="0.25">
      <c r="W67" s="178"/>
    </row>
    <row r="68" spans="1:37" x14ac:dyDescent="0.25">
      <c r="W68" s="178"/>
    </row>
    <row r="69" spans="1:37" x14ac:dyDescent="0.25">
      <c r="W69" s="178"/>
    </row>
    <row r="70" spans="1:37" x14ac:dyDescent="0.25">
      <c r="W70" s="178"/>
    </row>
    <row r="71" spans="1:37" x14ac:dyDescent="0.25">
      <c r="A71" t="s">
        <v>138</v>
      </c>
      <c r="W71" s="178"/>
      <c r="X71" t="s">
        <v>138</v>
      </c>
    </row>
    <row r="72" spans="1:37" x14ac:dyDescent="0.25">
      <c r="W72" s="178"/>
    </row>
    <row r="73" spans="1:37" x14ac:dyDescent="0.25">
      <c r="A73" t="str">
        <f>country</f>
        <v>Australia</v>
      </c>
      <c r="W73" s="178"/>
    </row>
    <row r="74" spans="1:37" ht="13" x14ac:dyDescent="0.3">
      <c r="A74" s="66" t="s">
        <v>163</v>
      </c>
      <c r="B74" s="67" t="str">
        <f>"Value in "&amp;maxyearCMNE-1</f>
        <v>Value in -1</v>
      </c>
      <c r="C74" s="67" t="s">
        <v>190</v>
      </c>
      <c r="D74" s="67" t="str">
        <f>"Value in "&amp;maxyearCMNE</f>
        <v>Value in 0</v>
      </c>
      <c r="E74" s="67" t="s">
        <v>270</v>
      </c>
      <c r="F74" s="67" t="s">
        <v>369</v>
      </c>
      <c r="G74" s="67" t="s">
        <v>155</v>
      </c>
      <c r="H74" s="67" t="s">
        <v>188</v>
      </c>
      <c r="I74" s="67" t="s">
        <v>189</v>
      </c>
      <c r="J74" s="74" t="s">
        <v>185</v>
      </c>
      <c r="K74" s="74" t="s">
        <v>180</v>
      </c>
      <c r="L74" s="67" t="s">
        <v>186</v>
      </c>
      <c r="W74" s="178"/>
      <c r="X74" s="66" t="s">
        <v>163</v>
      </c>
      <c r="Y74" s="67" t="s">
        <v>370</v>
      </c>
      <c r="Z74" s="67" t="s">
        <v>155</v>
      </c>
      <c r="AA74" s="67" t="s">
        <v>188</v>
      </c>
      <c r="AB74" s="67" t="s">
        <v>189</v>
      </c>
      <c r="AC74" s="74" t="s">
        <v>180</v>
      </c>
      <c r="AD74" s="67" t="s">
        <v>377</v>
      </c>
      <c r="AJ74" s="66" t="s">
        <v>101</v>
      </c>
      <c r="AK74" s="66" t="s">
        <v>371</v>
      </c>
    </row>
    <row r="75" spans="1:37" x14ac:dyDescent="0.25">
      <c r="A75" s="68" t="s">
        <v>193</v>
      </c>
      <c r="B75" s="39" t="e">
        <f>INDEX(CMNEemployees,MATCH(country,CMNEemployees_row,0),MATCH(maxyearCMNE-1, CMNEemployees_col,0))</f>
        <v>#N/A</v>
      </c>
      <c r="C75" s="72" t="e">
        <f>($D75-$B75)/$B75</f>
        <v>#N/A</v>
      </c>
      <c r="D75" s="39" t="e">
        <f>INDEX(CMNEemployees,MATCH(country,CMNEemployees_row,0),MATCH(maxyearCMNE, CMNEemployees_col,0))</f>
        <v>#N/A</v>
      </c>
      <c r="E75" s="39" t="str">
        <f>IFERROR(IF(D75&gt;=10000,ROUND(D75/1000,0)*1000,IF(D75&gt;=1000,ROUND(D75/1000,1)*1000,IF(D75&gt;=100,ROUND(D75/100,1)*100,D75))),"")</f>
        <v/>
      </c>
      <c r="F75" s="39" t="e">
        <f>IF(E75&lt;D75,"over ",IF(E75&gt;D75,"almost ",""))</f>
        <v>#N/A</v>
      </c>
      <c r="G75" s="39" t="str">
        <f>IFERROR(RND($D75,0,1),"")</f>
        <v/>
      </c>
      <c r="H75" s="38" t="e">
        <f>IF($C75&gt;0," increased ",IF($C75&lt;0," decreased "," remained unchanged "))</f>
        <v>#N/A</v>
      </c>
      <c r="I75" s="38" t="e">
        <f>RNDP($C75,1)</f>
        <v>#VALUE!</v>
      </c>
      <c r="J75" s="39" t="e">
        <f>IF(C75&gt;0,_xlfn.RANK.EQ($C75,$C$75:$C$78),-1*_xlfn.RANK.EQ($C75,$C$75:$C$78))</f>
        <v>#N/A</v>
      </c>
      <c r="K75" s="39" t="e">
        <f>IF($J75&gt;0,$J75,$J75+5+$H$79)</f>
        <v>#N/A</v>
      </c>
      <c r="L75" s="38" t="e">
        <f>IF($H75=" remained unchanged ","in "&amp;maxyearCMNE&amp;", at about ","by "&amp;$I75&amp;" from "&amp;maxyearCMNE-1&amp;", to "&amp;F75)</f>
        <v>#N/A</v>
      </c>
      <c r="W75" s="178"/>
      <c r="X75" s="68" t="s">
        <v>355</v>
      </c>
      <c r="Y75" s="39" t="e">
        <f>IF(E75&lt;D75,"plus de ",IF(E75&gt;D75,"près de ",""))</f>
        <v>#N/A</v>
      </c>
      <c r="Z75" s="39" t="str">
        <f>IFERROR(RNDFR($D75,0,1),"")</f>
        <v/>
      </c>
      <c r="AA75" s="38" t="e">
        <f>IF($C75&gt;0," a augmenté ",IF($C75&lt;0," a diminué "," était restée inchangée "))</f>
        <v>#N/A</v>
      </c>
      <c r="AB75" s="38" t="e">
        <f>RNDPFR($C75,1)</f>
        <v>#VALUE!</v>
      </c>
      <c r="AC75" s="39" t="e">
        <f>IF($J75&gt;0,$J75,$J75+5+$H$79)</f>
        <v>#N/A</v>
      </c>
      <c r="AD75" s="38" t="e">
        <f>IF($H75=" remained unchanged ","en "&amp;maxyearCMNE&amp;", à "&amp;Y75,"de "&amp;$AB75&amp;INDEX($AJ$74:$AK$78,MATCH(AC75,$AJ$74:$AJ$78,0),MATCH($AK$74,$AJ$74:$AK$74,0))&amp;Y75)</f>
        <v>#N/A</v>
      </c>
      <c r="AJ75" s="38">
        <v>1</v>
      </c>
      <c r="AK75" s="188" t="s">
        <v>372</v>
      </c>
    </row>
    <row r="76" spans="1:37" x14ac:dyDescent="0.25">
      <c r="A76" s="68" t="s">
        <v>192</v>
      </c>
      <c r="B76" s="39" t="e">
        <f>INDEX(CMNEassets,MATCH(country,CMNEassets_row,0),MATCH(maxyearCMNE-1, CMNEassets_col,0))</f>
        <v>#N/A</v>
      </c>
      <c r="C76" s="72" t="e">
        <f>($D76-$B76)/$B76</f>
        <v>#N/A</v>
      </c>
      <c r="D76" s="39" t="e">
        <f>INDEX(CMNEassets,MATCH(country,CMNEassets_row,0),MATCH(maxyearCMNE, CMNEassets_col,0))</f>
        <v>#N/A</v>
      </c>
      <c r="E76" s="39" t="str">
        <f t="shared" ref="E76:E78" si="37">IFERROR(IF(D76&gt;=10000,ROUND(D76/1000,0)*1000,IF(D76&gt;=1000,ROUND(D76/1000,1)*1000,IF(D76&gt;=100,ROUND(D76/100,1)*100,D76))),"")</f>
        <v/>
      </c>
      <c r="F76" s="39" t="e">
        <f t="shared" ref="F76:F78" si="38">IF(E76&lt;D76,"over ",IF(E76&gt;D76,"almost ",""))</f>
        <v>#N/A</v>
      </c>
      <c r="G76" s="39" t="str">
        <f>IFERROR(RND($D76),"")</f>
        <v/>
      </c>
      <c r="H76" s="38" t="e">
        <f>IF($C76&gt;0," increased ",IF($C76&lt;0," decreased "," remained unchanged "))</f>
        <v>#N/A</v>
      </c>
      <c r="I76" s="38" t="e">
        <f t="shared" ref="I76:I78" si="39">RNDP($C76,1)</f>
        <v>#VALUE!</v>
      </c>
      <c r="J76" s="39" t="e">
        <f>IF(C76&gt;0,_xlfn.RANK.EQ($C76,$C$75:$C$78),-1*_xlfn.RANK.EQ($C76,$C$75:$C$78))</f>
        <v>#N/A</v>
      </c>
      <c r="K76" s="39" t="e">
        <f>IF($J76&gt;0,$J76,$J76+5+$H$79)</f>
        <v>#N/A</v>
      </c>
      <c r="L76" s="38" t="e">
        <f>IF($H76=" remained unchanged ","in "&amp;maxyearCMNE&amp;", at about ","by "&amp;$I76&amp;" from "&amp;maxyearCMNE-1&amp;", to "&amp;F76)</f>
        <v>#N/A</v>
      </c>
      <c r="W76" s="178"/>
      <c r="X76" s="68" t="s">
        <v>354</v>
      </c>
      <c r="Y76" s="39" t="e">
        <f t="shared" ref="Y76:Y78" si="40">IF(E76&lt;D76,"plus de ",IF(E76&gt;D76,"près de ",""))</f>
        <v>#N/A</v>
      </c>
      <c r="Z76" s="39" t="str">
        <f>IFERROR(RNDFR($D76),"")</f>
        <v/>
      </c>
      <c r="AA76" s="38" t="e">
        <f t="shared" ref="AA76:AA78" si="41">IF($C76&gt;0," a augmenté ",IF($C76&lt;0," a diminué "," était restée inchangée "))</f>
        <v>#N/A</v>
      </c>
      <c r="AB76" s="38" t="e">
        <f>RNDPFR($C76,1)</f>
        <v>#VALUE!</v>
      </c>
      <c r="AC76" s="39" t="e">
        <f>IF($J76&gt;0,$J76,$J76+5+$H$79)</f>
        <v>#N/A</v>
      </c>
      <c r="AD76" s="38" t="e">
        <f>IF($H76=" remained unchanged ","en "&amp;maxyearCMNE&amp;", à "&amp;Y76,"de "&amp;$AB76&amp;INDEX($AJ$74:$AK$78,MATCH(AC76,$AJ$74:$AJ$78,0),MATCH($AK$74,$AJ$74:$AK$74,0))&amp;Y76)</f>
        <v>#N/A</v>
      </c>
      <c r="AJ76" s="38">
        <v>2</v>
      </c>
      <c r="AK76" s="188" t="s">
        <v>373</v>
      </c>
    </row>
    <row r="77" spans="1:37" x14ac:dyDescent="0.25">
      <c r="A77" s="68" t="s">
        <v>194</v>
      </c>
      <c r="B77" s="39" t="e">
        <f>INDEX(CMNEliabilities,MATCH(country,CMNEliabilities_row,0),MATCH(maxyearCMNE-1, CMNEliabilities_col,0))</f>
        <v>#N/A</v>
      </c>
      <c r="C77" s="72" t="e">
        <f>($D77-$B77)/$B77</f>
        <v>#N/A</v>
      </c>
      <c r="D77" s="39" t="e">
        <f>INDEX(CMNEliabilities,MATCH(country,CMNEliabilities_row,0),MATCH(maxyearCMNE, CMNEliabilities_col,0))</f>
        <v>#N/A</v>
      </c>
      <c r="E77" s="39" t="str">
        <f t="shared" si="37"/>
        <v/>
      </c>
      <c r="F77" s="39" t="e">
        <f t="shared" si="38"/>
        <v>#N/A</v>
      </c>
      <c r="G77" s="39" t="str">
        <f>IFERROR(RND($D77),"")</f>
        <v/>
      </c>
      <c r="H77" s="38" t="e">
        <f>IF($C77&gt;0," increased ",IF($C77&lt;0," decreased "," remained unchanged "))</f>
        <v>#N/A</v>
      </c>
      <c r="I77" s="38" t="e">
        <f t="shared" si="39"/>
        <v>#VALUE!</v>
      </c>
      <c r="J77" s="39" t="e">
        <f>IF(C77&gt;0,_xlfn.RANK.EQ($C77,$C$75:$C$78),-1*_xlfn.RANK.EQ($C77,$C$75:$C$78))</f>
        <v>#N/A</v>
      </c>
      <c r="K77" s="39" t="e">
        <f>IF($J77&gt;0,$J77,$J77+5+$H$79)</f>
        <v>#N/A</v>
      </c>
      <c r="L77" s="38" t="e">
        <f>IF($H77=" remained unchanged ","in "&amp;maxyearCMNE&amp;", at about ","by "&amp;$I77&amp;" from "&amp;maxyearCMNE-1&amp;", to "&amp;F77)</f>
        <v>#N/A</v>
      </c>
      <c r="W77" s="178"/>
      <c r="X77" s="68" t="s">
        <v>353</v>
      </c>
      <c r="Y77" s="39" t="e">
        <f t="shared" si="40"/>
        <v>#N/A</v>
      </c>
      <c r="Z77" s="39" t="str">
        <f>IFERROR(RNDFR($D77),"")</f>
        <v/>
      </c>
      <c r="AA77" s="38" t="e">
        <f t="shared" si="41"/>
        <v>#N/A</v>
      </c>
      <c r="AB77" s="38" t="e">
        <f>RNDPFR($C77,1)</f>
        <v>#VALUE!</v>
      </c>
      <c r="AC77" s="39" t="e">
        <f>IF($J77&gt;0,$J77,$J77+5+$H$79)</f>
        <v>#N/A</v>
      </c>
      <c r="AD77" s="38" t="e">
        <f>IF($H77=" remained unchanged ","en "&amp;maxyearCMNE&amp;", à "&amp;Y77,"de "&amp;$AB77&amp;INDEX($AJ$74:$AK$78,MATCH(AC77,$AJ$74:$AJ$78,0),MATCH($AK$74,$AJ$74:$AK$74,0))&amp;Y77)</f>
        <v>#N/A</v>
      </c>
      <c r="AJ77" s="38">
        <v>3</v>
      </c>
      <c r="AK77" s="188" t="s">
        <v>374</v>
      </c>
    </row>
    <row r="78" spans="1:37" x14ac:dyDescent="0.25">
      <c r="A78" s="68" t="s">
        <v>191</v>
      </c>
      <c r="B78" s="39" t="e">
        <f>INDEX(CMNEsales,MATCH(country,CMNEsales_row,0),MATCH(maxyearCMNE-1, CMNEsales_col,0))</f>
        <v>#N/A</v>
      </c>
      <c r="C78" s="72" t="e">
        <f>($D78-$B78)/$B78</f>
        <v>#N/A</v>
      </c>
      <c r="D78" s="39" t="e">
        <f>INDEX(CMNEsales,MATCH(country,CMNEsales_row,0),MATCH(maxyearCMNE, CMNEsales_col,0))</f>
        <v>#N/A</v>
      </c>
      <c r="E78" s="39" t="str">
        <f t="shared" si="37"/>
        <v/>
      </c>
      <c r="F78" s="39" t="e">
        <f t="shared" si="38"/>
        <v>#N/A</v>
      </c>
      <c r="G78" s="39" t="str">
        <f>IFERROR(RND($D78),"")</f>
        <v/>
      </c>
      <c r="H78" s="38" t="e">
        <f>IF($C78&gt;0," increased ",IF($C78&lt;0," decreased "," remained unchanged "))</f>
        <v>#N/A</v>
      </c>
      <c r="I78" s="38" t="e">
        <f t="shared" si="39"/>
        <v>#VALUE!</v>
      </c>
      <c r="J78" s="39" t="e">
        <f>IF(C78&gt;0,_xlfn.RANK.EQ($C78,$C$75:$C$78),-1*_xlfn.RANK.EQ($C78,$C$75:$C$78))</f>
        <v>#N/A</v>
      </c>
      <c r="K78" s="39" t="e">
        <f>IF($J78&gt;0,$J78,$J78+5+$H$79)</f>
        <v>#N/A</v>
      </c>
      <c r="L78" s="38" t="e">
        <f>IF($H78=" remained unchanged ","in "&amp;maxyearCMNE&amp;", at about ","by "&amp;$I78&amp;" from "&amp;maxyearCMNE-1&amp;", to "&amp;F78)</f>
        <v>#N/A</v>
      </c>
      <c r="W78" s="178"/>
      <c r="X78" s="68" t="s">
        <v>356</v>
      </c>
      <c r="Y78" s="39" t="e">
        <f t="shared" si="40"/>
        <v>#N/A</v>
      </c>
      <c r="Z78" s="39" t="str">
        <f>IFERROR(RNDFR($D78),"")</f>
        <v/>
      </c>
      <c r="AA78" s="38" t="e">
        <f t="shared" si="41"/>
        <v>#N/A</v>
      </c>
      <c r="AB78" s="38" t="e">
        <f>RNDPFR($C78,1)</f>
        <v>#VALUE!</v>
      </c>
      <c r="AC78" s="39" t="e">
        <f>IF($J78&gt;0,$J78,$J78+5+$H$79)</f>
        <v>#N/A</v>
      </c>
      <c r="AD78" s="38" t="e">
        <f>IF($H78=" remained unchanged ","en "&amp;maxyearCMNE&amp;", à "&amp;Y78,"de "&amp;$AB78&amp;INDEX($AJ$74:$AK$78,MATCH(AC78,$AJ$74:$AJ$78,0),MATCH($AK$74,$AJ$74:$AK$74,0))&amp;Y78)</f>
        <v>#N/A</v>
      </c>
      <c r="AJ78" s="38">
        <v>4</v>
      </c>
      <c r="AK78" s="188" t="s">
        <v>375</v>
      </c>
    </row>
    <row r="79" spans="1:37" x14ac:dyDescent="0.25">
      <c r="G79" t="s">
        <v>172</v>
      </c>
      <c r="H79">
        <f>COUNTIF($H$75:$H$78," increased ")</f>
        <v>0</v>
      </c>
      <c r="I79" t="str">
        <f>IF(H79=0," decreased "," increased ")</f>
        <v xml:space="preserve"> decreased </v>
      </c>
      <c r="J79" s="80" t="str">
        <f>IF(OR(H79=0,H79=4)," in all ",IF(H79=1," in one of the ",IF(H79=2," in two of the ",IF(H79=3," in three of the ",""))))</f>
        <v xml:space="preserve"> in all </v>
      </c>
      <c r="W79" s="178"/>
      <c r="Z79" t="s">
        <v>172</v>
      </c>
      <c r="AA79">
        <f>COUNTIF($H$75:$H$78," increased ")</f>
        <v>0</v>
      </c>
      <c r="AB79" t="str">
        <f>IF(AA79=0," a diminué "," a augmenté ")</f>
        <v xml:space="preserve"> a diminué </v>
      </c>
      <c r="AC79" s="80" t="str">
        <f>IF(OR(AA79=0,AA79=4)," pour les ",IF(AA79=1," pour l'un des ",IF(AA79=2," pour deux des ",IF(AA79=3," pour trois des ",""))))</f>
        <v xml:space="preserve"> pour les </v>
      </c>
    </row>
    <row r="80" spans="1:37" x14ac:dyDescent="0.25">
      <c r="H80" s="80"/>
      <c r="W80" s="178"/>
    </row>
    <row r="81" spans="1:39" x14ac:dyDescent="0.25">
      <c r="G81" s="96" t="s">
        <v>187</v>
      </c>
      <c r="U81" s="95"/>
      <c r="AC81" s="96" t="s">
        <v>187</v>
      </c>
    </row>
    <row r="82" spans="1:39" ht="13" x14ac:dyDescent="0.3">
      <c r="B82" s="66" t="s">
        <v>179</v>
      </c>
      <c r="C82" s="180"/>
      <c r="D82" s="183" t="s">
        <v>181</v>
      </c>
      <c r="E82" s="183"/>
      <c r="F82" s="183" t="s">
        <v>182</v>
      </c>
      <c r="G82" s="183"/>
      <c r="H82" s="183" t="s">
        <v>183</v>
      </c>
      <c r="I82" s="183"/>
      <c r="J82" s="183" t="s">
        <v>184</v>
      </c>
      <c r="K82" s="66"/>
      <c r="L82" s="66"/>
      <c r="M82" s="66"/>
      <c r="N82" s="66"/>
      <c r="O82" s="152" t="e">
        <f>"The economic activity of CMNEs in "&amp;LOWER(prefix)&amp;country&amp;$I$79&amp;"in "&amp;maxyearCMNE&amp;$J$79&amp;"four indicators. "</f>
        <v>#N/A</v>
      </c>
      <c r="X82" t="s">
        <v>376</v>
      </c>
      <c r="Y82" s="66" t="s">
        <v>179</v>
      </c>
      <c r="Z82" s="183" t="s">
        <v>181</v>
      </c>
      <c r="AA82" s="183"/>
      <c r="AB82" s="183" t="s">
        <v>182</v>
      </c>
      <c r="AC82" s="183"/>
      <c r="AD82" s="183" t="s">
        <v>183</v>
      </c>
      <c r="AE82" s="183"/>
      <c r="AF82" s="183" t="s">
        <v>184</v>
      </c>
      <c r="AG82" s="66"/>
      <c r="AH82" s="66"/>
      <c r="AI82" s="66"/>
      <c r="AJ82" s="66"/>
      <c r="AL82" s="152" t="e">
        <f>"L'activité économique des EMNC "&amp;LOWER(prefixFr3)&amp;countryFr&amp;$AB$79&amp;"en "&amp;maxyearCMNE&amp;$AC$79&amp;"quatre indicateurs. "</f>
        <v>#N/A</v>
      </c>
    </row>
    <row r="83" spans="1:39" x14ac:dyDescent="0.25">
      <c r="A83" t="str">
        <f>IFERROR(INDEX($A$74:$K$78,MATCH(1,$K$74:$K$78,0),MATCH("Order EQ",$A$74:$K$74,0)),"")</f>
        <v/>
      </c>
      <c r="B83" s="38">
        <f>COUNTIF($K$75:$K$78,1)</f>
        <v>0</v>
      </c>
      <c r="C83" s="181" t="str">
        <f>IF(ISNUMBER($A83),"The ","")</f>
        <v/>
      </c>
      <c r="D83" s="175" t="e">
        <f>IF($K$75=$A83,$A$75&amp;IF(OR(F83&lt;&gt;"",H83&lt;&gt;"",J83&lt;&gt;"")," and the ",""),"")</f>
        <v>#N/A</v>
      </c>
      <c r="E83" s="175" t="e">
        <f>IF(D83&lt;&gt;"",INDEX($A$74:$K$78,MATCH($A$75,$A$74:$A$78,0),MATCH("Formatted",$A$74:$K$74,0))&amp;IF(COUNTBLANK(F83:$K83)=6,"",IF(COUNTBLANK(F83:$K83)&gt;3," and ",", ")),"")</f>
        <v>#N/A</v>
      </c>
      <c r="F83" s="175" t="e">
        <f>IF($K$76=$A83,$A$76&amp;IF(OR(H83&lt;&gt;"",J83&lt;&gt;"")," and the ",""),"")</f>
        <v>#N/A</v>
      </c>
      <c r="G83" s="175" t="e">
        <f>IF(F83&lt;&gt;"",INDEX($A$74:$K$78,MATCH($A$76,$A$74:$A$78,0),MATCH("Formatted", $A$74:$K$74,0))&amp;IF(COUNTBLANK(H83:$K83)=4,"",IF(COUNTBLANK(H83:$K83)&gt;1," and ",", ")),"")</f>
        <v>#N/A</v>
      </c>
      <c r="H83" s="175" t="e">
        <f>IF($K$77=$A83,$A$77&amp;IF(J83&lt;&gt;""," and the ",""),"")</f>
        <v>#N/A</v>
      </c>
      <c r="I83" s="175" t="e">
        <f>IF(H83&lt;&gt;"",INDEX($A$74:$K$78,MATCH($A$77,$A$74:$A$78,0),MATCH("Formatted", $A$74:$K$74,0))&amp;IF(COUNTBLANK(J83:$K83)=2,"",IF(COUNTBLANK(J83:$K83)=0," and ","")),"")</f>
        <v>#N/A</v>
      </c>
      <c r="J83" s="175" t="e">
        <f>IF($K$78=$A83,$A$78,"")</f>
        <v>#N/A</v>
      </c>
      <c r="K83" s="182" t="e">
        <f>IF(J83&lt;&gt;"",INDEX($A$74:$K$78,MATCH($A$78,$A$74:$A$78,0),MATCH("Formatted", $A$74:$K$74,0)),"")</f>
        <v>#N/A</v>
      </c>
      <c r="L83" s="38" t="str">
        <f>IFERROR(INDEX($A$74:$K$78,MATCH(A83,$K$74:$K$78,0),MATCH("Change", $A$74:$K$74,0)),"")</f>
        <v/>
      </c>
      <c r="M83" s="38" t="str">
        <f>IFERROR(INDEX($A$74:$L$78,MATCH(A83,$K$74:$K$78,0),MATCH("Formatted %", $A$74:$L$74,0)),"")</f>
        <v/>
      </c>
      <c r="N83" s="38" t="str">
        <f>IF(COUNTBLANK(D83:K83)&lt;6," respectively.", ". ")</f>
        <v xml:space="preserve"> respectively.</v>
      </c>
      <c r="O83" s="152" t="e">
        <f>C83&amp;D83&amp;F83&amp;H83&amp;J83&amp;L83&amp;M83&amp;E83&amp;G83&amp;I83&amp;K83&amp;N83</f>
        <v>#N/A</v>
      </c>
      <c r="W83" t="e">
        <f>IF(X83=$AC$75,$X$75,IF(X83=$AC$76,$X$76,IF(X83=$AC$77,$X$77,$X$78)))</f>
        <v>#N/A</v>
      </c>
      <c r="X83" t="str">
        <f>IFERROR(INDEX($A$74:$K$78,MATCH(1,$K$74:$K$78,0),MATCH("Order EQ",$A$74:$K$74,0)),"")</f>
        <v/>
      </c>
      <c r="Y83" s="38">
        <f>COUNTIF($AC$75:$AC$78,1)</f>
        <v>0</v>
      </c>
      <c r="Z83" s="175" t="e">
        <f>IF($AC$75=$X83,$X$75&amp;IF(OR(AB83&lt;&gt;"",AD83&lt;&gt;"",AF83&lt;&gt;"")," et la ",""),"")</f>
        <v>#N/A</v>
      </c>
      <c r="AA83" s="175" t="e">
        <f>IF(Z83&lt;&gt;"",INDEX($X$74:$AD$78,MATCH($X$75,$X$74:$X$78,0),MATCH("Formatted",$X$74:$AD$74,0))&amp;IF(COUNTBLANK(AB83:AG83)=6,"",IF(COUNTBLANK(AB83:AG83)&gt;3," et ",", ")),"")</f>
        <v>#N/A</v>
      </c>
      <c r="AB83" s="175" t="e">
        <f>IF($K$76=$A83,$X$76&amp;IF(OR(AD83&lt;&gt;"",AF83&lt;&gt;"")," and the ",""),"")</f>
        <v>#N/A</v>
      </c>
      <c r="AC83" s="175" t="e">
        <f>IF(AB83&lt;&gt;"",INDEX($X$74:$AD$78,MATCH($X$76,$X$74:$X$78,0),MATCH("Formatted",$X$74:$AD$74,0))&amp;IF(COUNTBLANK(AD83:AI83)=4,"",IF(COUNTBLANK(AD83:AI83)&gt;1," et ",", ")),"")</f>
        <v>#N/A</v>
      </c>
      <c r="AD83" s="175" t="e">
        <f>IF($K$77=$A83,$X$77&amp;IF(AF83&lt;&gt;""," and the ",""),"")</f>
        <v>#N/A</v>
      </c>
      <c r="AE83" s="175" t="e">
        <f>IF(AD83&lt;&gt;"",INDEX($X$74:$AD$78,MATCH($X$77,$X$74:$X$78,0),MATCH("Formatted",$X$74:$AD$74,0))&amp;IF(COUNTBLANK(AF83:AG83)=2,"",IF(COUNTBLANK(AF83:AG83)=0," et ","")),"")</f>
        <v>#N/A</v>
      </c>
      <c r="AF83" s="175" t="e">
        <f>IF($K$78=$A83,$X$78,"")</f>
        <v>#N/A</v>
      </c>
      <c r="AG83" s="182" t="e">
        <f>IF(AF83&lt;&gt;"",INDEX($X$74:$AD$78,MATCH($X$78,$X$74:$X$78,0),MATCH("Formatted",$X$74:$AD$74,0)),"")</f>
        <v>#N/A</v>
      </c>
      <c r="AH83" s="38" t="str">
        <f>IFERROR(INDEX($X$74:$AC$78,MATCH(X83,$AC$74:$AC$78,0),MATCH("Change", $X$74:$AC$74,0)),"")</f>
        <v/>
      </c>
      <c r="AI83" s="38" t="str">
        <f>IFERROR(INDEX($X$74:$AD$78,MATCH(X83,$AC$74:$AC$78,0),MATCH($AD$74, $X$74:$AD$74,0)),"")</f>
        <v/>
      </c>
      <c r="AJ83" s="38" t="str">
        <f>IF(COUNTBLANK(Z83:AG83)&lt;6," respectively.", ". ")</f>
        <v xml:space="preserve"> respectively.</v>
      </c>
      <c r="AL83" s="152" t="e">
        <f>Z83&amp;AB83&amp;AD83&amp;AF83&amp;AH83&amp;AI83&amp;AA83&amp;AC83&amp;AE83&amp;AG83&amp;AJ83</f>
        <v>#N/A</v>
      </c>
    </row>
    <row r="84" spans="1:39" x14ac:dyDescent="0.25">
      <c r="A84" t="str">
        <f>IFERROR(INDEX($A$74:$K$78,MATCH(2,$K$74:$K$78,0),MATCH("Order EQ",$A$74:$K$74,0)),"")</f>
        <v/>
      </c>
      <c r="B84" s="38">
        <f>COUNTIF($K$75:$K$78,2)</f>
        <v>0</v>
      </c>
      <c r="C84" s="181" t="str">
        <f>IF(ISNUMBER($A84),"The ","")</f>
        <v/>
      </c>
      <c r="D84" s="175" t="e">
        <f>IF($K$75=$A84,$A$75&amp;IF(OR(F84&lt;&gt;"",H84&lt;&gt;"",J84&lt;&gt;"")," and the ",""),"")</f>
        <v>#N/A</v>
      </c>
      <c r="E84" s="175" t="e">
        <f>IF(D84&lt;&gt;"",INDEX($A$74:$K$78,MATCH($A$75,$A$74:$A$78,0),MATCH("Formatted",$A$74:$K$74,0))&amp;IF(COUNTBLANK(F84:$K84)=6,"",IF(COUNTBLANK(F84:$K84)&gt;3," and ",", ")),"")</f>
        <v>#N/A</v>
      </c>
      <c r="F84" s="175" t="e">
        <f>IF($K$76=$A84,$A$76&amp;IF(OR(H84&lt;&gt;"",J84&lt;&gt;"")," and the ",""),"")</f>
        <v>#N/A</v>
      </c>
      <c r="G84" s="175" t="e">
        <f>IF(F84&lt;&gt;"",INDEX($A$74:$K$78,MATCH($A$76,$A$74:$A$78,0),MATCH("Formatted", $A$74:$K$74,0))&amp;IF(COUNTBLANK(H84:$K84)=4,"",IF(COUNTBLANK(H84:$K84)&gt;1," and ",", ")),"")</f>
        <v>#N/A</v>
      </c>
      <c r="H84" s="175" t="e">
        <f>IF($K$77=$A84,$A$77&amp;IF(J84&lt;&gt;""," and the ",""),"")</f>
        <v>#N/A</v>
      </c>
      <c r="I84" s="175" t="e">
        <f>IF(H84&lt;&gt;"",INDEX($A$74:$K$78,MATCH($A$77,$A$74:$A$78,0),MATCH("Formatted", $A$74:$K$74,0))&amp;IF(COUNTBLANK(J84:$K84)=2,"",IF(COUNTBLANK(J84:$K84)=0," and ","")),"")</f>
        <v>#N/A</v>
      </c>
      <c r="J84" s="175" t="e">
        <f>IF($K$78=$A84,$A$78,"")</f>
        <v>#N/A</v>
      </c>
      <c r="K84" s="182" t="e">
        <f>IF(J84&lt;&gt;"",INDEX($A$74:$K$78,MATCH($A$78,$A$74:$A$78,0),MATCH("Formatted", $A$74:$K$74,0)),"")</f>
        <v>#N/A</v>
      </c>
      <c r="L84" s="38" t="str">
        <f>IFERROR(INDEX($A$74:$K$78,MATCH(A84,$K$74:$K$78,0),MATCH("Change", $A$74:$K$74,0)),"")</f>
        <v/>
      </c>
      <c r="M84" s="38" t="str">
        <f>IFERROR(INDEX($A$74:$L$78,MATCH(A84,$K$74:$K$78,0),MATCH("Formatted %", $A$74:$L$74,0)),"")</f>
        <v/>
      </c>
      <c r="N84" s="38" t="str">
        <f t="shared" ref="N84:N86" si="42">IF(COUNTBLANK(D84:K84)&lt;6," respectively.", ". ")</f>
        <v xml:space="preserve"> respectively.</v>
      </c>
      <c r="O84" s="152" t="e">
        <f t="shared" ref="O84:O86" si="43">C84&amp;D84&amp;F84&amp;H84&amp;J84&amp;L84&amp;M84&amp;E84&amp;G84&amp;I84&amp;K84&amp;N84</f>
        <v>#N/A</v>
      </c>
      <c r="W84" t="e">
        <f>IF(X84=$AC$75,$X$75,IF(X84=$AC$76,$X$76,IF(X84=$AC$77,$X$77,$X$78)))</f>
        <v>#N/A</v>
      </c>
      <c r="X84" t="str">
        <f>IFERROR(INDEX($A$74:$K$78,MATCH(2,$K$74:$K$78,0),MATCH("Order EQ",$A$74:$K$74,0)),"")</f>
        <v/>
      </c>
      <c r="Y84" s="38">
        <f>COUNTIF($AC$75:$AC$78,2)</f>
        <v>0</v>
      </c>
      <c r="Z84" s="175" t="e">
        <f>IF($AC$75=$X84,$X$75&amp;IF(OR(AB84&lt;&gt;"",AD84&lt;&gt;"",AF84&lt;&gt;"")," and the ",""),"")</f>
        <v>#N/A</v>
      </c>
      <c r="AA84" s="175" t="e">
        <f>IF(Z84&lt;&gt;"",INDEX($X$74:$AD$78,MATCH($X$75,$X$74:$X$78,0),MATCH("Formatted",$X$74:$AD$74,0))&amp;IF(COUNTBLANK(AB84:AG84)=6,"",IF(COUNTBLANK(AB84:AG84)&gt;3," et ",", ")),"")</f>
        <v>#N/A</v>
      </c>
      <c r="AB84" s="175" t="e">
        <f>IF($K$76=$A84,$X$76&amp;IF(OR(AD84&lt;&gt;"",AF84&lt;&gt;"")," and the ",""),"")</f>
        <v>#N/A</v>
      </c>
      <c r="AC84" s="175" t="e">
        <f>IF(AB84&lt;&gt;"",INDEX($X$74:$AD$78,MATCH($X$76,$X$74:$X$78,0),MATCH("Formatted",$X$74:$AD$74,0))&amp;IF(COUNTBLANK(AD84:AI84)=4,"",IF(COUNTBLANK(AD84:AI84)&gt;1," et ",", ")),"")</f>
        <v>#N/A</v>
      </c>
      <c r="AD84" s="175" t="e">
        <f>IF($K$77=$A84,$X$77&amp;IF(AF84&lt;&gt;""," and the ",""),"")</f>
        <v>#N/A</v>
      </c>
      <c r="AE84" s="175" t="e">
        <f>IF(AD84&lt;&gt;"",INDEX($X$74:$AD$78,MATCH($X$77,$X$74:$X$78,0),MATCH("Formatted",$X$74:$AD$74,0))&amp;IF(COUNTBLANK(AF84:AG84)=2,"",IF(COUNTBLANK(AF84:AG84)=0," et ","")),"")</f>
        <v>#N/A</v>
      </c>
      <c r="AF84" s="175" t="e">
        <f>IF($K$78=$A84,$X$78,"")</f>
        <v>#N/A</v>
      </c>
      <c r="AG84" s="182" t="e">
        <f>IF(AF84&lt;&gt;"",INDEX($X$74:$AD$78,MATCH($X$78,$X$74:$X$78,0),MATCH("Formatted",$X$74:$AD$74,0)),"")</f>
        <v>#N/A</v>
      </c>
      <c r="AH84" s="38" t="str">
        <f>IFERROR(INDEX($X$74:$AC$78,MATCH(X84,$AC$74:$AC$78,0),MATCH("Change", $X$74:$AC$74,0)),"")</f>
        <v/>
      </c>
      <c r="AI84" s="38" t="str">
        <f t="shared" ref="AI84:AI86" si="44">IFERROR(INDEX($X$74:$AD$78,MATCH(X84,$AC$74:$AC$78,0),MATCH($AD$74, $X$74:$AD$74,0)),"")</f>
        <v/>
      </c>
      <c r="AJ84" s="38" t="str">
        <f>IF(COUNTBLANK(Z84:AG84)&lt;6," respectively.", ". ")</f>
        <v xml:space="preserve"> respectively.</v>
      </c>
      <c r="AL84" s="152" t="e">
        <f>Z84&amp;AB84&amp;AD84&amp;AF84&amp;AH84&amp;AI84&amp;AA84&amp;AC84&amp;AE84&amp;AG84&amp;AJ84</f>
        <v>#N/A</v>
      </c>
    </row>
    <row r="85" spans="1:39" x14ac:dyDescent="0.25">
      <c r="A85" t="str">
        <f>IFERROR(INDEX($A$74:$K$78,MATCH(3,$K$74:$K$78,0),MATCH("Order EQ",$A$74:$K$74,0)),"")</f>
        <v/>
      </c>
      <c r="B85" s="38">
        <f>COUNTIF($K$75:$K$78,3)</f>
        <v>0</v>
      </c>
      <c r="C85" s="181" t="str">
        <f>IF(ISNUMBER($A85),"The ","")</f>
        <v/>
      </c>
      <c r="D85" s="175" t="e">
        <f>IF($K$75=$A85,$A$75&amp;IF(OR(F85&lt;&gt;"",H85&lt;&gt;"",J85&lt;&gt;"")," and the ",""),"")</f>
        <v>#N/A</v>
      </c>
      <c r="E85" s="175" t="e">
        <f>IF(D85&lt;&gt;"",INDEX($A$74:$K$78,MATCH($A$75,$A$74:$A$78,0),MATCH("Formatted",$A$74:$K$74,0))&amp;IF(COUNTBLANK(F85:$K85)=6,"",IF(COUNTBLANK(F85:$K85)&gt;3," and ",", ")),"")</f>
        <v>#N/A</v>
      </c>
      <c r="F85" s="175" t="e">
        <f>IF($K$76=$A85,$A$76&amp;IF(OR(H85&lt;&gt;"",J85&lt;&gt;"")," and the ",""),"")</f>
        <v>#N/A</v>
      </c>
      <c r="G85" s="175" t="e">
        <f>IF(F85&lt;&gt;"",INDEX($A$74:$K$78,MATCH($A$76,$A$74:$A$78,0),MATCH("Formatted", $A$74:$K$74,0))&amp;IF(COUNTBLANK(H85:$K85)=4,"",IF(COUNTBLANK(H85:$K85)&gt;1," and ",", ")),"")</f>
        <v>#N/A</v>
      </c>
      <c r="H85" s="175" t="e">
        <f>IF($K$77=$A85,$A$77&amp;IF(J85&lt;&gt;""," and the ",""),"")</f>
        <v>#N/A</v>
      </c>
      <c r="I85" s="175" t="e">
        <f>IF(H85&lt;&gt;"",INDEX($A$74:$K$78,MATCH($A$77,$A$74:$A$78,0),MATCH("Formatted", $A$74:$K$74,0))&amp;IF(COUNTBLANK(J85:$K85)=2,"",IF(COUNTBLANK(J85:$K85)=0," and ","")),"")</f>
        <v>#N/A</v>
      </c>
      <c r="J85" s="175" t="e">
        <f>IF($K$78=$A85,$A$78,"")</f>
        <v>#N/A</v>
      </c>
      <c r="K85" s="182" t="e">
        <f>IF(J85&lt;&gt;"",INDEX($A$74:$K$78,MATCH($A$78,$A$74:$A$78,0),MATCH("Formatted", $A$74:$K$74,0)),"")</f>
        <v>#N/A</v>
      </c>
      <c r="L85" s="38" t="str">
        <f>IFERROR(INDEX($A$74:$K$78,MATCH(A85,$K$74:$K$78,0),MATCH("Change", $A$74:$K$74,0)),"")</f>
        <v/>
      </c>
      <c r="M85" s="38" t="str">
        <f>IFERROR(INDEX($A$74:$L$78,MATCH(A85,$K$74:$K$78,0),MATCH("Formatted %", $A$74:$L$74,0)),"")</f>
        <v/>
      </c>
      <c r="N85" s="38" t="str">
        <f t="shared" si="42"/>
        <v xml:space="preserve"> respectively.</v>
      </c>
      <c r="O85" s="152" t="e">
        <f t="shared" si="43"/>
        <v>#N/A</v>
      </c>
      <c r="W85" t="e">
        <f>IF(X85=$AC$75,$X$75,IF(X85=$AC$76,$X$76,IF(X85=$AC$77,$X$77,$X$78)))</f>
        <v>#N/A</v>
      </c>
      <c r="X85" t="str">
        <f>IFERROR(INDEX($A$74:$K$78,MATCH(3,$K$74:$K$78,0),MATCH("Order EQ",$A$74:$K$74,0)),"")</f>
        <v/>
      </c>
      <c r="Y85" s="38">
        <f>COUNTIF($AC$75:$AC$78,3)</f>
        <v>0</v>
      </c>
      <c r="Z85" s="175" t="e">
        <f>IF($AC$75=$X85,$X$75&amp;IF(OR(AB85&lt;&gt;"",AD85&lt;&gt;"",AF85&lt;&gt;"")," and the ",""),"")</f>
        <v>#N/A</v>
      </c>
      <c r="AA85" s="175" t="e">
        <f>IF(Z85&lt;&gt;"",INDEX($X$74:$AD$78,MATCH($X$75,$X$74:$X$78,0),MATCH("Formatted",$X$74:$AD$74,0))&amp;IF(COUNTBLANK(AB85:AG85)=6,"",IF(COUNTBLANK(AB85:AG85)&gt;3," et ",", ")),"")</f>
        <v>#N/A</v>
      </c>
      <c r="AB85" s="175" t="e">
        <f>IF($K$76=$A85,$X$76&amp;IF(OR(AD85&lt;&gt;"",AF85&lt;&gt;"")," and the ",""),"")</f>
        <v>#N/A</v>
      </c>
      <c r="AC85" s="175" t="e">
        <f>IF(AB85&lt;&gt;"",INDEX($X$74:$AD$78,MATCH($X$76,$X$74:$X$78,0),MATCH("Formatted",$X$74:$AD$74,0))&amp;IF(COUNTBLANK(AD85:AI85)=4,"",IF(COUNTBLANK(AD85:AI85)&gt;1," et ",", ")),"")</f>
        <v>#N/A</v>
      </c>
      <c r="AD85" s="175" t="e">
        <f>IF($K$77=$A85,$X$77&amp;IF(AF85&lt;&gt;""," and the ",""),"")</f>
        <v>#N/A</v>
      </c>
      <c r="AE85" s="175" t="e">
        <f>IF(AD85&lt;&gt;"",INDEX($X$74:$AD$78,MATCH($X$77,$X$74:$X$78,0),MATCH("Formatted",$X$74:$AD$74,0))&amp;IF(COUNTBLANK(AF85:AG85)=2,"",IF(COUNTBLANK(AF85:AG85)=0," et ","")),"")</f>
        <v>#N/A</v>
      </c>
      <c r="AF85" s="175" t="e">
        <f>IF($K$78=$A85,$X$78,"")</f>
        <v>#N/A</v>
      </c>
      <c r="AG85" s="182" t="e">
        <f>IF(AF85&lt;&gt;"",INDEX($X$74:$AD$78,MATCH($X$78,$X$74:$X$78,0),MATCH("Formatted",$X$74:$AD$74,0)),"")</f>
        <v>#N/A</v>
      </c>
      <c r="AH85" s="38" t="str">
        <f>IFERROR(INDEX($X$74:$AC$78,MATCH(X85,$AC$74:$AC$78,0),MATCH("Change", $X$74:$AC$74,0)),"")</f>
        <v/>
      </c>
      <c r="AI85" s="38" t="str">
        <f t="shared" si="44"/>
        <v/>
      </c>
      <c r="AJ85" s="38" t="str">
        <f>IF(COUNTBLANK(Z85:AG85)&lt;6," respectively.", ". ")</f>
        <v xml:space="preserve"> respectively.</v>
      </c>
      <c r="AL85" s="152" t="e">
        <f>Z85&amp;AB85&amp;AD85&amp;AF85&amp;AH85&amp;AI85&amp;AA85&amp;AC85&amp;AE85&amp;AG85&amp;AJ85</f>
        <v>#N/A</v>
      </c>
    </row>
    <row r="86" spans="1:39" x14ac:dyDescent="0.25">
      <c r="A86" t="str">
        <f>IFERROR(INDEX($A$74:$K$78,MATCH(4,$K$74:$K$78,0),MATCH("Order EQ",$A$74:$K$74,0)),"")</f>
        <v/>
      </c>
      <c r="B86" s="38">
        <f>COUNTIF($K$75:$K$78,4)</f>
        <v>0</v>
      </c>
      <c r="C86" s="181" t="str">
        <f>IF(ISNUMBER($A86),"The ","")</f>
        <v/>
      </c>
      <c r="D86" s="175" t="e">
        <f>IF($K$75=$A86,$A$75&amp;IF(OR(F86&lt;&gt;"",H86&lt;&gt;"",J86&lt;&gt;"")," and the ",""),"")</f>
        <v>#N/A</v>
      </c>
      <c r="E86" s="175" t="e">
        <f>IF(D86&lt;&gt;"",INDEX($A$74:$K$78,MATCH($A$75,$A$74:$A$78,0),MATCH("Formatted",$A$74:$K$74,0))&amp;IF(COUNTBLANK(F86:$K86)=6,"",IF(COUNTBLANK(F86:$K86)&gt;3," and ",", ")),"")</f>
        <v>#N/A</v>
      </c>
      <c r="F86" s="175" t="e">
        <f>IF($K$76=$A86,$A$76&amp;IF(OR(H86&lt;&gt;"",J86&lt;&gt;"")," and the ",""),"")</f>
        <v>#N/A</v>
      </c>
      <c r="G86" s="175" t="e">
        <f>IF(F86&lt;&gt;"",INDEX($A$74:$K$78,MATCH($A$76,$A$74:$A$78,0),MATCH("Formatted", $A$74:$K$74,0))&amp;IF(COUNTBLANK(H86:$K86)=4,"",IF(COUNTBLANK(H86:$K86)&gt;1," and ",", ")),"")</f>
        <v>#N/A</v>
      </c>
      <c r="H86" s="175" t="e">
        <f>IF($K$77=$A86,$A$77&amp;IF(J86&lt;&gt;""," and the ",""),"")</f>
        <v>#N/A</v>
      </c>
      <c r="I86" s="175" t="e">
        <f>IF(H86&lt;&gt;"",INDEX($A$74:$K$78,MATCH($A$77,$A$74:$A$78,0),MATCH("Formatted", $A$74:$K$74,0))&amp;IF(COUNTBLANK(J86:$K86)=2,"",IF(COUNTBLANK(J86:$K86)=0," and ","")),"")</f>
        <v>#N/A</v>
      </c>
      <c r="J86" s="175" t="e">
        <f>IF($K$78=$A86,$A$78,"")</f>
        <v>#N/A</v>
      </c>
      <c r="K86" s="182" t="e">
        <f>IF(J86&lt;&gt;"",INDEX($A$74:$K$78,MATCH($A$78,$A$74:$A$78,0),MATCH("Formatted", $A$74:$K$74,0)),"")</f>
        <v>#N/A</v>
      </c>
      <c r="L86" s="38" t="str">
        <f>IFERROR(INDEX($A$74:$K$78,MATCH(A86,$K$74:$K$78,0),MATCH("Change", $A$74:$K$74,0)),"")</f>
        <v/>
      </c>
      <c r="M86" s="38" t="str">
        <f>IFERROR(INDEX($A$74:$L$78,MATCH(A86,$K$74:$K$78,0),MATCH("Formatted %", $A$74:$L$74,0)),"")</f>
        <v/>
      </c>
      <c r="N86" s="38" t="str">
        <f t="shared" si="42"/>
        <v xml:space="preserve"> respectively.</v>
      </c>
      <c r="O86" s="152" t="e">
        <f t="shared" si="43"/>
        <v>#N/A</v>
      </c>
      <c r="W86" t="e">
        <f>IF(X86=$AC$75,$X$75,IF(X86=$AC$76,$X$76,IF(X86=$AC$77,$X$77,$X$78)))</f>
        <v>#N/A</v>
      </c>
      <c r="X86" t="str">
        <f>IFERROR(INDEX($A$74:$K$78,MATCH(4,$K$74:$K$78,0),MATCH("Order EQ",$A$74:$K$74,0)),"")</f>
        <v/>
      </c>
      <c r="Y86" s="38">
        <f>COUNTIF($AC$75:$AC$78,4)</f>
        <v>0</v>
      </c>
      <c r="Z86" s="175" t="e">
        <f>IF($AC$75=$X86,$X$75&amp;IF(OR(AB86&lt;&gt;"",AD86&lt;&gt;"",AF86&lt;&gt;"")," and the ",""),"")</f>
        <v>#N/A</v>
      </c>
      <c r="AA86" s="175" t="e">
        <f>IF(Z86&lt;&gt;"",INDEX($X$74:$AD$78,MATCH($X$75,$X$74:$X$78,0),MATCH("Formatted",$X$74:$AD$74,0))&amp;IF(COUNTBLANK(AB86:AG86)=6,"",IF(COUNTBLANK(AB86:AG86)&gt;3," et ",", ")),"")</f>
        <v>#N/A</v>
      </c>
      <c r="AB86" s="175" t="e">
        <f>IF($K$76=$A86,$X$76&amp;IF(OR(AD86&lt;&gt;"",AF86&lt;&gt;"")," and the ",""),"")</f>
        <v>#N/A</v>
      </c>
      <c r="AC86" s="175" t="e">
        <f>IF(AB86&lt;&gt;"",INDEX($X$74:$AD$78,MATCH($X$76,$X$74:$X$78,0),MATCH("Formatted",$X$74:$AD$74,0))&amp;IF(COUNTBLANK(AD86:AI86)=4,"",IF(COUNTBLANK(AD86:AI86)&gt;1," et ",", ")),"")</f>
        <v>#N/A</v>
      </c>
      <c r="AD86" s="175" t="e">
        <f>IF($K$77=$A86,$X$77&amp;IF(AF86&lt;&gt;""," and the ",""),"")</f>
        <v>#N/A</v>
      </c>
      <c r="AE86" s="175" t="e">
        <f>IF(AD86&lt;&gt;"",INDEX($X$74:$AD$78,MATCH($X$77,$X$74:$X$78,0),MATCH("Formatted",$X$74:$AD$74,0))&amp;IF(COUNTBLANK(AF86:AG86)=2,"",IF(COUNTBLANK(AF86:AG86)=0," et ","")),"")</f>
        <v>#N/A</v>
      </c>
      <c r="AF86" s="175" t="e">
        <f>IF($K$78=$A86,$X$78,"")</f>
        <v>#N/A</v>
      </c>
      <c r="AG86" s="182" t="e">
        <f>IF(AF86&lt;&gt;"",INDEX($X$74:$AD$78,MATCH($X$78,$X$74:$X$78,0),MATCH("Formatted",$X$74:$AD$74,0)),"")</f>
        <v>#N/A</v>
      </c>
      <c r="AH86" s="38" t="str">
        <f>IFERROR(INDEX($X$74:$AC$78,MATCH(X86,$AC$74:$AC$78,0),MATCH("Change", $X$74:$AC$74,0)),"")</f>
        <v/>
      </c>
      <c r="AI86" s="38" t="str">
        <f t="shared" si="44"/>
        <v/>
      </c>
      <c r="AJ86" s="38" t="str">
        <f t="shared" ref="AJ86" si="45">IF(COUNTBLANK(Z86:AG86)&lt;6," respectively.", ". ")</f>
        <v xml:space="preserve"> respectively.</v>
      </c>
      <c r="AL86" s="152" t="e">
        <f>Z86&amp;AB86&amp;AD86&amp;AF86&amp;AH86&amp;AI86&amp;AA86&amp;AC86&amp;AE86&amp;AG86&amp;AJ86</f>
        <v>#N/A</v>
      </c>
    </row>
    <row r="87" spans="1:39" x14ac:dyDescent="0.25">
      <c r="H87" s="97"/>
      <c r="N87" s="80"/>
      <c r="P87" s="79"/>
      <c r="R87" s="80"/>
      <c r="U87" s="95"/>
      <c r="W87" s="178"/>
    </row>
    <row r="88" spans="1:39" x14ac:dyDescent="0.25">
      <c r="P88" s="79"/>
      <c r="R88" s="80"/>
      <c r="U88" s="95"/>
      <c r="W88" s="178"/>
    </row>
    <row r="89" spans="1:39" x14ac:dyDescent="0.25">
      <c r="P89" s="79"/>
      <c r="R89" s="80"/>
      <c r="U89" s="95"/>
      <c r="W89" s="178"/>
    </row>
    <row r="90" spans="1:39" x14ac:dyDescent="0.25">
      <c r="A90" s="1" t="s">
        <v>174</v>
      </c>
      <c r="F90" s="96" t="s">
        <v>187</v>
      </c>
      <c r="W90" s="1" t="s">
        <v>174</v>
      </c>
      <c r="AA90" s="96" t="s">
        <v>187</v>
      </c>
    </row>
    <row r="91" spans="1:39" ht="13" x14ac:dyDescent="0.3">
      <c r="A91" s="66" t="s">
        <v>163</v>
      </c>
      <c r="B91" s="67" t="s">
        <v>174</v>
      </c>
      <c r="C91" s="67" t="s">
        <v>155</v>
      </c>
      <c r="D91" s="74" t="s">
        <v>180</v>
      </c>
      <c r="F91" s="66"/>
      <c r="G91" s="66"/>
      <c r="H91" s="66" t="s">
        <v>181</v>
      </c>
      <c r="I91" s="66"/>
      <c r="J91" s="66" t="s">
        <v>182</v>
      </c>
      <c r="K91" s="66"/>
      <c r="L91" s="66" t="s">
        <v>183</v>
      </c>
      <c r="M91" s="66"/>
      <c r="N91" s="66" t="s">
        <v>184</v>
      </c>
      <c r="O91" s="66"/>
      <c r="P91" s="66"/>
      <c r="Q91" s="66" t="s">
        <v>179</v>
      </c>
      <c r="W91" s="66" t="s">
        <v>163</v>
      </c>
      <c r="X91" s="67" t="s">
        <v>155</v>
      </c>
      <c r="Y91" s="74" t="s">
        <v>180</v>
      </c>
      <c r="Z91" t="s">
        <v>376</v>
      </c>
      <c r="AA91" s="66"/>
      <c r="AB91" s="66"/>
      <c r="AC91" s="66" t="s">
        <v>181</v>
      </c>
      <c r="AD91" s="66"/>
      <c r="AE91" s="66" t="s">
        <v>182</v>
      </c>
      <c r="AF91" s="66"/>
      <c r="AG91" s="66" t="s">
        <v>183</v>
      </c>
      <c r="AH91" s="66"/>
      <c r="AI91" s="66" t="s">
        <v>184</v>
      </c>
      <c r="AJ91" s="66"/>
      <c r="AK91" s="66"/>
      <c r="AL91" s="66" t="s">
        <v>179</v>
      </c>
    </row>
    <row r="92" spans="1:39" x14ac:dyDescent="0.25">
      <c r="A92" s="68" t="s">
        <v>140</v>
      </c>
      <c r="B92" s="39" t="e">
        <f>INDEX(CMNEemployees,MATCH(country,CMNEemployees_row,0),MATCH("Regional Rank", CMNEemployees_col,0))</f>
        <v>#N/A</v>
      </c>
      <c r="C92" s="39" t="e">
        <f>$B92&amp;IF(AND(MOD($B92,100)&gt;=10,MOD($B92,100)&lt;=14),"th",CHOOSE(MOD($B92,10)+1,"th","st","nd","rd","th","th","th","th","th","th"))</f>
        <v>#N/A</v>
      </c>
      <c r="D92" s="39" t="e">
        <f>_xlfn.RANK.EQ(B92,$B$92:$B$95,1)</f>
        <v>#N/A</v>
      </c>
      <c r="E92" t="str">
        <f>IFERROR(INDEX($A$91:$D$95,MATCH(1,$D$91:$D$95,0),MATCH("Order EQ",$A$91:$D$91,0)),"")</f>
        <v/>
      </c>
      <c r="F92" s="38" t="str">
        <f>IFERROR(INDEX($A$91:$D$95,MATCH(E92,$D$91:$D$95,0),MATCH("Formatted",$A$91:$D$91,0))&amp;" in "&amp;continent,"")</f>
        <v/>
      </c>
      <c r="G92" s="38" t="str">
        <f>IF(F92="",""," with respect to ")</f>
        <v/>
      </c>
      <c r="H92" s="38" t="e">
        <f>IF($D$92=$E92,"the number of employees","")</f>
        <v>#N/A</v>
      </c>
      <c r="I92" s="38" t="e">
        <f>IF(H92&lt;&gt;"",IF(COUNTBLANK($J92)+COUNTBLANK($L92)+COUNTBLANK($N92)=2," and ",IF(SUM($Q93:$Q$95)=0,IF(COUNTBLANK($J92)+COUNTBLANK($L92)+COUNTBLANK($N92)=3,". ",", "),", ")),"")</f>
        <v>#N/A</v>
      </c>
      <c r="J92" s="38" t="e">
        <f>IF($D$93=$E92,"the value of assets","")</f>
        <v>#N/A</v>
      </c>
      <c r="K92" s="38" t="e">
        <f>IF(J92&lt;&gt;"",IF(COUNTBLANK($L92)+COUNTBLANK($N92)=1," and ",IF(SUM($Q93:$Q$95)=0,IF(COUNTBLANK($L92)+COUNTBLANK($N92)=2,". ",", "),", ")),"")</f>
        <v>#N/A</v>
      </c>
      <c r="L92" s="38" t="e">
        <f>IF($D$94=$E92,"the value of liabilities","")</f>
        <v>#N/A</v>
      </c>
      <c r="M92" s="38" t="e">
        <f>IF(L92&lt;&gt;"",IF(COUNTBLANK($N92)=0," and ",IF(SUM($Q93:$Q$95)=0,IF(COUNTBLANK($N92)=1,". ",", "),", ")),"")</f>
        <v>#N/A</v>
      </c>
      <c r="N92" s="38" t="e">
        <f>IF($D$95=$E92,"the value of sales","")</f>
        <v>#N/A</v>
      </c>
      <c r="O92" s="38" t="e">
        <f>IF(N92&lt;&gt;"",IF(SUM($Q93:$Q$95)=0,". ",", "),"")</f>
        <v>#N/A</v>
      </c>
      <c r="P92" s="38" t="str">
        <f>IF(AND(ISBLANK(Q94),Q93&gt;0),"and ","")</f>
        <v/>
      </c>
      <c r="Q92" s="38">
        <f>COUNTIF($D$92:$D$95,1)</f>
        <v>0</v>
      </c>
      <c r="U92" s="38" t="e">
        <f>prefix&amp;country&amp;" ranked "&amp;F92&amp;G92&amp;H92&amp;I92&amp;J92&amp;K92&amp;L92&amp;M92&amp;N92&amp;O92&amp;P92</f>
        <v>#N/A</v>
      </c>
      <c r="W92" s="68" t="s">
        <v>140</v>
      </c>
      <c r="X92" s="39" t="e">
        <f>$B92&amp;"e"</f>
        <v>#N/A</v>
      </c>
      <c r="Y92" s="39" t="e">
        <f>_xlfn.RANK.EQ(B92,$B$92:$B$95,1)</f>
        <v>#N/A</v>
      </c>
      <c r="Z92" t="str">
        <f>IFERROR(INDEX($A$91:$D$95,MATCH(1,$D$91:$D$95,0),MATCH("Order EQ",$A$91:$D$91,0)),"")</f>
        <v/>
      </c>
      <c r="AA92" s="38" t="str">
        <f>IFERROR("au "&amp;INDEX($W$91:$Y$95,MATCH($Z92,$Y$91:$Y$95,0),MATCH($X$91,$W$91:$Y$91,0))&amp;" rang en "&amp;continentFr,"")</f>
        <v/>
      </c>
      <c r="AB92" s="38" t="str">
        <f>IF(AA92="",""," en ce qui concerne ")</f>
        <v/>
      </c>
      <c r="AC92" s="38" t="e">
        <f>IF($D$92=$E92,"le nombre d’employés","")</f>
        <v>#N/A</v>
      </c>
      <c r="AD92" s="38" t="e">
        <f>IF(AC92&lt;&gt;"",IF(COUNTBLANK($J92)+COUNTBLANK($L92)+COUNTBLANK($N92)=2," et ",IF(SUM($Q93:$Q$95)=0,IF(COUNTBLANK($J92)+COUNTBLANK($L92)+COUNTBLANK($N92)=3,". ",", "),", ")),"")</f>
        <v>#N/A</v>
      </c>
      <c r="AE92" s="38" t="e">
        <f>IF($D$93=$E92,"la valeur des actifs","")</f>
        <v>#N/A</v>
      </c>
      <c r="AF92" s="38" t="e">
        <f>IF(AE92&lt;&gt;"",IF(COUNTBLANK($L92)+COUNTBLANK($N92)=1," et ",IF(SUM($Q93:$Q$95)=0,IF(COUNTBLANK($L92)+COUNTBLANK($N92)=2,". ",", "),", ")),"")</f>
        <v>#N/A</v>
      </c>
      <c r="AG92" s="38" t="e">
        <f>IF($D$94=$E92,"la valeur des passifs","")</f>
        <v>#N/A</v>
      </c>
      <c r="AH92" s="38" t="e">
        <f>IF(AG92&lt;&gt;"",IF(COUNTBLANK($N92)=0," et ",IF(SUM($Q93:$Q$95)=0,IF(COUNTBLANK($N92)=1,". ",", "),", ")),"")</f>
        <v>#N/A</v>
      </c>
      <c r="AI92" s="38" t="e">
        <f>IF($D$95=$E92,"la valeur des ventes","")</f>
        <v>#N/A</v>
      </c>
      <c r="AJ92" s="38" t="e">
        <f>IF(AI92&lt;&gt;"",IF(SUM($Q93:$Q$95)=0,". ",", "),"")</f>
        <v>#N/A</v>
      </c>
      <c r="AK92" s="38" t="str">
        <f>IF(AND(ISBLANK(AL94),AL93&gt;0),"et ","")</f>
        <v/>
      </c>
      <c r="AL92" s="38">
        <f>COUNTIF($D$92:$D$95,1)</f>
        <v>0</v>
      </c>
      <c r="AM92" s="38" t="e">
        <f>prefixFr&amp;countryFr&amp;IF(prefixFr3="aux "," se sont classés "," s'est classée ")&amp;AA92&amp;AB92&amp;AC92&amp;AD92&amp;AE92&amp;AF92&amp;AG92&amp;AH92&amp;AI92&amp;AJ92&amp;AK92</f>
        <v>#N/A</v>
      </c>
    </row>
    <row r="93" spans="1:39" x14ac:dyDescent="0.25">
      <c r="A93" s="68" t="s">
        <v>141</v>
      </c>
      <c r="B93" s="39" t="e">
        <f>INDEX(CMNEassets,MATCH(country,CMNEassets_row,0),MATCH("Regional Rank", CMNEassets_col,0))</f>
        <v>#N/A</v>
      </c>
      <c r="C93" s="39" t="e">
        <f t="shared" ref="C93:C95" si="46">$B93&amp;IF(AND(MOD($B93,100)&gt;=10,MOD($B93,100)&lt;=14),"th",CHOOSE(MOD($B93,10)+1,"th","st","nd","rd","th","th","th","th","th","th"))</f>
        <v>#N/A</v>
      </c>
      <c r="D93" s="39" t="e">
        <f t="shared" ref="D93:D95" si="47">_xlfn.RANK.EQ(B93,$B$92:$B$95,1)</f>
        <v>#N/A</v>
      </c>
      <c r="E93" t="str">
        <f>IFERROR(INDEX($A$91:$D$95,MATCH(2,$D$91:$D$95,0),MATCH("Order EQ",$A$91:$D$91,0)),"")</f>
        <v/>
      </c>
      <c r="F93" s="38" t="str">
        <f>IFERROR(INDEX($A$91:$D$95,MATCH(E93,$D$91:$D$95,0),MATCH("Formatted",$A$91:$D$91,0)),"")</f>
        <v/>
      </c>
      <c r="G93" s="38" t="str">
        <f>IF(F93="",""," for ")</f>
        <v/>
      </c>
      <c r="H93" s="38" t="e">
        <f>IF($D$92=$E93,"the number of employees","")</f>
        <v>#N/A</v>
      </c>
      <c r="I93" s="38" t="e">
        <f>IF(H93&lt;&gt;"",IF(COUNTBLANK($J93)+COUNTBLANK($L93)+COUNTBLANK($N93)=2," and ",IF(SUM($Q94:$Q$95)=0,IF(COUNTBLANK($J93)+COUNTBLANK($L93)+COUNTBLANK($N93)=3,". ",", "),", ")),"")</f>
        <v>#N/A</v>
      </c>
      <c r="J93" s="38" t="e">
        <f>IF($D$93=$E93,"the value of assets","")</f>
        <v>#N/A</v>
      </c>
      <c r="K93" s="38" t="e">
        <f>IF(J93&lt;&gt;"",IF(COUNTBLANK($L93)+COUNTBLANK($N93)=1," and ",IF(SUM($Q94:$Q$95)=0,IF(COUNTBLANK($L93)+COUNTBLANK($N93)=2,". ",", "),", ")),"")</f>
        <v>#N/A</v>
      </c>
      <c r="L93" s="38" t="e">
        <f>IF($D$94=$E93,"the value of liabilities","")</f>
        <v>#N/A</v>
      </c>
      <c r="M93" s="38" t="e">
        <f>IF(L93&lt;&gt;"",IF(COUNTBLANK($N93)=0," and ",IF(SUM($Q94:$Q$95)=0,IF(COUNTBLANK($N93)=1,". ",", "),", ")),"")</f>
        <v>#N/A</v>
      </c>
      <c r="N93" s="38" t="e">
        <f>IF($D$95=$E93,"the value of sales","")</f>
        <v>#N/A</v>
      </c>
      <c r="O93" s="38" t="e">
        <f>IF(N93&lt;&gt;"",IF(SUM($Q94:$Q$95)=0,". ",", "),"")</f>
        <v>#N/A</v>
      </c>
      <c r="P93" s="38" t="str">
        <f t="shared" ref="P93" si="48">IF(AND(ISBLANK(Q95),Q94&gt;0),"and ","")</f>
        <v/>
      </c>
      <c r="Q93" s="38">
        <f>COUNTIF($D$92:$D$95,2)</f>
        <v>0</v>
      </c>
      <c r="U93" s="38" t="e">
        <f>F93&amp;G93&amp;H93&amp;I93&amp;J93&amp;K93&amp;L93&amp;M93&amp;N93&amp;O93&amp;P93</f>
        <v>#N/A</v>
      </c>
      <c r="W93" s="68" t="s">
        <v>141</v>
      </c>
      <c r="X93" s="39" t="e">
        <f t="shared" ref="X93:X95" si="49">$B93&amp;"e"</f>
        <v>#N/A</v>
      </c>
      <c r="Y93" s="39" t="e">
        <f t="shared" ref="Y93:Y95" si="50">_xlfn.RANK.EQ(B93,$B$92:$B$95,1)</f>
        <v>#N/A</v>
      </c>
      <c r="Z93" t="str">
        <f>IFERROR(INDEX($A$91:$D$95,MATCH(2,$D$91:$D$95,0),MATCH("Order EQ",$A$91:$D$91,0)),"")</f>
        <v/>
      </c>
      <c r="AA93" s="38" t="str">
        <f>IFERROR("au "&amp;INDEX($W$91:$Y$95,MATCH($Z93,$Y$91:$Y$95,0),MATCH($X$91,$W$91:$Y$91,0))&amp;" rang","")</f>
        <v/>
      </c>
      <c r="AB93" s="38" t="str">
        <f>IF(AA93="",""," pour ")</f>
        <v/>
      </c>
      <c r="AC93" s="38" t="e">
        <f t="shared" ref="AC93:AC95" si="51">IF($D$92=$E93,"le nombre d’employés","")</f>
        <v>#N/A</v>
      </c>
      <c r="AD93" s="38" t="e">
        <f>IF(AC93&lt;&gt;"",IF(COUNTBLANK($J93)+COUNTBLANK($L93)+COUNTBLANK($N93)=2," et ",IF(SUM($Q94:$Q$95)=0,IF(COUNTBLANK($J93)+COUNTBLANK($L93)+COUNTBLANK($N93)=3,". ",", "),", ")),"")</f>
        <v>#N/A</v>
      </c>
      <c r="AE93" s="38" t="e">
        <f t="shared" ref="AE93:AE95" si="52">IF($D$93=$E93,"la valeur des actifs","")</f>
        <v>#N/A</v>
      </c>
      <c r="AF93" s="38" t="e">
        <f>IF(AE93&lt;&gt;"",IF(COUNTBLANK($L93)+COUNTBLANK($N93)=1," et ",IF(SUM($Q94:$Q$95)=0,IF(COUNTBLANK($L93)+COUNTBLANK($N93)=2,". ",", "),", ")),"")</f>
        <v>#N/A</v>
      </c>
      <c r="AG93" s="38" t="e">
        <f t="shared" ref="AG93:AG95" si="53">IF($D$94=$E93,"la valeur des passifs","")</f>
        <v>#N/A</v>
      </c>
      <c r="AH93" s="38" t="e">
        <f>IF(AG93&lt;&gt;"",IF(COUNTBLANK($N93)=0," et ",IF(SUM($Q94:$Q$95)=0,IF(COUNTBLANK($N93)=1,". ",", "),", ")),"")</f>
        <v>#N/A</v>
      </c>
      <c r="AI93" s="38" t="e">
        <f t="shared" ref="AI93:AI95" si="54">IF($D$95=$E93,"la valeur des ventes","")</f>
        <v>#N/A</v>
      </c>
      <c r="AJ93" s="38" t="e">
        <f>IF(AI93&lt;&gt;"",IF(SUM($Q94:$Q$95)=0,". ",", "),"")</f>
        <v>#N/A</v>
      </c>
      <c r="AK93" s="38" t="str">
        <f>IF(AND(ISBLANK(AL95),AL94&gt;0),"et ","")</f>
        <v/>
      </c>
      <c r="AL93" s="38">
        <f>COUNTIF($D$92:$D$95,2)</f>
        <v>0</v>
      </c>
      <c r="AM93" s="38" t="e">
        <f>AA93&amp;AB93&amp;AC93&amp;AD93&amp;AE93&amp;AF93&amp;AG93&amp;AH93&amp;AI93&amp;AJ93&amp;AK93</f>
        <v>#N/A</v>
      </c>
    </row>
    <row r="94" spans="1:39" x14ac:dyDescent="0.25">
      <c r="A94" s="68" t="s">
        <v>142</v>
      </c>
      <c r="B94" s="39" t="e">
        <f>INDEX(CMNEliabilities,MATCH(country,CMNEliabilities_row,0),MATCH("Regional Rank", CMNEliabilities_col,0))</f>
        <v>#N/A</v>
      </c>
      <c r="C94" s="39" t="e">
        <f t="shared" si="46"/>
        <v>#N/A</v>
      </c>
      <c r="D94" s="39" t="e">
        <f t="shared" si="47"/>
        <v>#N/A</v>
      </c>
      <c r="E94" t="str">
        <f>IFERROR(INDEX($A$91:$D$95,MATCH(3,$D$91:$D$95,0),MATCH("Order EQ",$A$91:$D$91,0)),"")</f>
        <v/>
      </c>
      <c r="F94" s="38" t="str">
        <f t="shared" ref="F94:F95" si="55">IFERROR(INDEX($A$91:$D$95,MATCH(E94,$D$91:$D$95,0),MATCH("Formatted",$A$91:$D$91,0)),"")</f>
        <v/>
      </c>
      <c r="G94" s="38" t="str">
        <f t="shared" ref="G94:G95" si="56">IF(F94="",""," for ")</f>
        <v/>
      </c>
      <c r="H94" s="38" t="e">
        <f>IF($D$92=$E94,"the number of employees","")</f>
        <v>#N/A</v>
      </c>
      <c r="I94" s="38" t="e">
        <f>IF(H94&lt;&gt;"",IF(COUNTBLANK($J94)+COUNTBLANK($L94)+COUNTBLANK($N94)=2," and ",IF(SUM($Q95:$Q$95)=0,IF(COUNTBLANK($J94)+COUNTBLANK($L94)+COUNTBLANK($N94)=3,". ",", "),", ")),"")</f>
        <v>#N/A</v>
      </c>
      <c r="J94" s="38" t="e">
        <f>IF($D$93=$E94,"the value of assets","")</f>
        <v>#N/A</v>
      </c>
      <c r="K94" s="38" t="e">
        <f>IF(J94&lt;&gt;"",IF(COUNTBLANK($L94)+COUNTBLANK($N94)=1," and ",IF(SUM($Q95:$Q$95)=0,IF(COUNTBLANK($L94)+COUNTBLANK($N94)=2,". ",", "),", ")),"")</f>
        <v>#N/A</v>
      </c>
      <c r="L94" s="38" t="e">
        <f>IF($D$94=$E94,"the value of liabilities","")</f>
        <v>#N/A</v>
      </c>
      <c r="M94" s="38" t="e">
        <f>IF(L94&lt;&gt;"",IF(COUNTBLANK($N94)=0," and ",IF(SUM($Q95:$Q$95)=0,IF(COUNTBLANK($N94)=1,". ",", "),", ")),"")</f>
        <v>#N/A</v>
      </c>
      <c r="N94" s="38" t="e">
        <f>IF($D$95=$E94,"the value of sales","")</f>
        <v>#N/A</v>
      </c>
      <c r="O94" s="38" t="e">
        <f>IF(N94&lt;&gt;"",IF(SUM($Q95:$Q$95)=0,". ",", "),"")</f>
        <v>#N/A</v>
      </c>
      <c r="P94" s="38" t="str">
        <f>IF(AND(ISBLANK(Q96),Q95&gt;0),"and ","")</f>
        <v/>
      </c>
      <c r="Q94" s="38">
        <f>COUNTIF($D$92:$D$95,3)</f>
        <v>0</v>
      </c>
      <c r="U94" s="38" t="e">
        <f t="shared" ref="U94:U95" si="57">F94&amp;G94&amp;H94&amp;I94&amp;J94&amp;K94&amp;L94&amp;M94&amp;N94&amp;O94&amp;P94</f>
        <v>#N/A</v>
      </c>
      <c r="W94" s="68" t="s">
        <v>142</v>
      </c>
      <c r="X94" s="39" t="e">
        <f t="shared" si="49"/>
        <v>#N/A</v>
      </c>
      <c r="Y94" s="39" t="e">
        <f t="shared" si="50"/>
        <v>#N/A</v>
      </c>
      <c r="Z94" t="str">
        <f>IFERROR(INDEX($A$91:$D$95,MATCH(3,$D$91:$D$95,0),MATCH("Order EQ",$A$91:$D$91,0)),"")</f>
        <v/>
      </c>
      <c r="AA94" s="38" t="str">
        <f t="shared" ref="AA94" si="58">IFERROR("au "&amp;INDEX($W$91:$Y$95,MATCH($Z94,$Y$91:$Y$95,0),MATCH($X$91,$W$91:$Y$91,0))&amp;" rang","")</f>
        <v/>
      </c>
      <c r="AB94" s="38" t="str">
        <f t="shared" ref="AB94:AB95" si="59">IF(AA94="",""," pour ")</f>
        <v/>
      </c>
      <c r="AC94" s="38" t="e">
        <f t="shared" si="51"/>
        <v>#N/A</v>
      </c>
      <c r="AD94" s="38" t="e">
        <f>IF(AC94&lt;&gt;"",IF(COUNTBLANK($J94)+COUNTBLANK($L94)+COUNTBLANK($N94)=2," et ",IF(SUM($Q95:$Q$95)=0,IF(COUNTBLANK($J94)+COUNTBLANK($L94)+COUNTBLANK($N94)=3,". ",", "),", ")),"")</f>
        <v>#N/A</v>
      </c>
      <c r="AE94" s="38" t="e">
        <f t="shared" si="52"/>
        <v>#N/A</v>
      </c>
      <c r="AF94" s="38" t="e">
        <f>IF(AE94&lt;&gt;"",IF(COUNTBLANK($L94)+COUNTBLANK($N94)=1," et ",IF(SUM($Q95:$Q$95)=0,IF(COUNTBLANK($L94)+COUNTBLANK($N94)=2,". ",", "),", ")),"")</f>
        <v>#N/A</v>
      </c>
      <c r="AG94" s="38" t="e">
        <f t="shared" si="53"/>
        <v>#N/A</v>
      </c>
      <c r="AH94" s="38" t="e">
        <f>IF(AG94&lt;&gt;"",IF(COUNTBLANK($N94)=0," et ",IF(SUM($Q95:$Q$95)=0,IF(COUNTBLANK($N94)=1,". ",", "),", ")),"")</f>
        <v>#N/A</v>
      </c>
      <c r="AI94" s="38" t="e">
        <f t="shared" si="54"/>
        <v>#N/A</v>
      </c>
      <c r="AJ94" s="38" t="e">
        <f>IF(AI94&lt;&gt;"",IF(SUM($Q95:$Q$95)=0,". ",", "),"")</f>
        <v>#N/A</v>
      </c>
      <c r="AK94" s="38" t="str">
        <f>IF(AND(ISBLANK(AL96),AL95&gt;0),"et ","")</f>
        <v/>
      </c>
      <c r="AL94" s="38">
        <f>COUNTIF($D$92:$D$95,3)</f>
        <v>0</v>
      </c>
      <c r="AM94" s="38" t="e">
        <f>AA94&amp;AB94&amp;AC94&amp;AD94&amp;AE94&amp;AF94&amp;AG94&amp;AH94&amp;AI94&amp;AJ94&amp;AK94</f>
        <v>#N/A</v>
      </c>
    </row>
    <row r="95" spans="1:39" ht="12.5" customHeight="1" x14ac:dyDescent="0.25">
      <c r="A95" s="68" t="s">
        <v>139</v>
      </c>
      <c r="B95" s="39" t="e">
        <f>INDEX(CMNEsales,MATCH(country,CMNEsales_row,0),MATCH("Regional Rank", CMNEsales_col,0))</f>
        <v>#N/A</v>
      </c>
      <c r="C95" s="39" t="e">
        <f t="shared" si="46"/>
        <v>#N/A</v>
      </c>
      <c r="D95" s="39" t="e">
        <f t="shared" si="47"/>
        <v>#N/A</v>
      </c>
      <c r="E95" t="str">
        <f>IFERROR(INDEX($A$91:$D$95,MATCH(4,$D$91:$D$95,0),MATCH("Order EQ",$A$91:$D$91,0)),"")</f>
        <v/>
      </c>
      <c r="F95" s="38" t="str">
        <f t="shared" si="55"/>
        <v/>
      </c>
      <c r="G95" s="38" t="str">
        <f t="shared" si="56"/>
        <v/>
      </c>
      <c r="H95" s="38" t="e">
        <f>IF($D$92=$E95,"the number of employees","")</f>
        <v>#N/A</v>
      </c>
      <c r="I95" s="38" t="e">
        <f>IF(H95&lt;&gt;"",IF(COUNTBLANK($J95)+COUNTBLANK($L95)+COUNTBLANK($N95)=3,". ",", "),"")</f>
        <v>#N/A</v>
      </c>
      <c r="J95" s="38" t="e">
        <f>IF($D$93=$E95,"the value of assets","")</f>
        <v>#N/A</v>
      </c>
      <c r="K95" s="38" t="e">
        <f>IF(J95&lt;&gt;"",IF(COUNTBLANK($L95)+COUNTBLANK($N95)=2,". ",", "),"")</f>
        <v>#N/A</v>
      </c>
      <c r="L95" s="38" t="e">
        <f>IF($D$94=$E95,"the value of liabilities","")</f>
        <v>#N/A</v>
      </c>
      <c r="M95" s="38" t="e">
        <f>IF(L95&lt;&gt;"",IF(COUNTBLANK($N95)=1,". ",", "),"")</f>
        <v>#N/A</v>
      </c>
      <c r="N95" s="38" t="e">
        <f>IF($D$95=$E95,"the value of sales","")</f>
        <v>#N/A</v>
      </c>
      <c r="O95" s="38" t="e">
        <f>IF(N95&lt;&gt;"",". ","")</f>
        <v>#N/A</v>
      </c>
      <c r="P95" s="38" t="str">
        <f>IF(AND(ISBLANK(Q97),Q96&gt;0),"and ","")</f>
        <v/>
      </c>
      <c r="Q95" s="38">
        <f>COUNTIF($D$92:$D$95,4)</f>
        <v>0</v>
      </c>
      <c r="U95" s="38" t="e">
        <f t="shared" si="57"/>
        <v>#N/A</v>
      </c>
      <c r="W95" s="68" t="s">
        <v>139</v>
      </c>
      <c r="X95" s="39" t="e">
        <f t="shared" si="49"/>
        <v>#N/A</v>
      </c>
      <c r="Y95" s="39" t="e">
        <f t="shared" si="50"/>
        <v>#N/A</v>
      </c>
      <c r="Z95" t="str">
        <f>IFERROR(INDEX($A$91:$D$95,MATCH(4,$D$91:$D$95,0),MATCH("Order EQ",$A$91:$D$91,0)),"")</f>
        <v/>
      </c>
      <c r="AA95" s="38" t="str">
        <f>IFERROR("au "&amp;INDEX($W$91:$Y$95,MATCH($Z95,$Y$91:$Y$95,0),MATCH($X$91,$W$91:$Y$91,0))&amp;" rang","")</f>
        <v/>
      </c>
      <c r="AB95" s="38" t="str">
        <f t="shared" si="59"/>
        <v/>
      </c>
      <c r="AC95" s="38" t="e">
        <f t="shared" si="51"/>
        <v>#N/A</v>
      </c>
      <c r="AD95" s="38" t="e">
        <f>IF(AC95&lt;&gt;"",IF(COUNTBLANK($J95)+COUNTBLANK($L95)+COUNTBLANK($N95)=3,". ",", "),"")</f>
        <v>#N/A</v>
      </c>
      <c r="AE95" s="38" t="e">
        <f t="shared" si="52"/>
        <v>#N/A</v>
      </c>
      <c r="AF95" s="38" t="e">
        <f>IF(AE95&lt;&gt;"",IF(COUNTBLANK($L95)+COUNTBLANK($N95)=2,". ",", "),"")</f>
        <v>#N/A</v>
      </c>
      <c r="AG95" s="38" t="e">
        <f t="shared" si="53"/>
        <v>#N/A</v>
      </c>
      <c r="AH95" s="38" t="e">
        <f>IF(AG95&lt;&gt;"",IF(COUNTBLANK($N95)=1,". ",", "),"")</f>
        <v>#N/A</v>
      </c>
      <c r="AI95" s="38" t="e">
        <f t="shared" si="54"/>
        <v>#N/A</v>
      </c>
      <c r="AJ95" s="38" t="e">
        <f>IF(AI95&lt;&gt;"",". ","")</f>
        <v>#N/A</v>
      </c>
      <c r="AK95" s="38" t="str">
        <f>IF(AND(ISBLANK(AL97),AL96&gt;0),"et ","")</f>
        <v/>
      </c>
      <c r="AL95" s="38">
        <f>COUNTIF($D$92:$D$95,4)</f>
        <v>0</v>
      </c>
      <c r="AM95" s="38" t="e">
        <f>AA95&amp;AB95&amp;AC95&amp;AD95&amp;AE95&amp;AF95&amp;AG95&amp;AH95&amp;AI95&amp;AJ95&amp;AK95</f>
        <v>#N/A</v>
      </c>
    </row>
    <row r="96" spans="1:39" x14ac:dyDescent="0.25">
      <c r="J96" t="e">
        <f>IF($D$94=E96,L$91,"")</f>
        <v>#N/A</v>
      </c>
      <c r="W96" s="178"/>
    </row>
    <row r="97" spans="13:39" ht="12.5" customHeight="1" x14ac:dyDescent="0.25">
      <c r="N97" s="87"/>
      <c r="Q97" s="87"/>
      <c r="R97" s="87"/>
      <c r="S97" s="87"/>
      <c r="T97" s="87"/>
      <c r="U97" s="87"/>
      <c r="V97" s="87"/>
      <c r="W97" s="177"/>
      <c r="X97" s="87"/>
      <c r="Y97" s="87"/>
      <c r="Z97" s="87"/>
      <c r="AA97" s="87"/>
      <c r="AB97" s="87"/>
      <c r="AC97" s="87"/>
    </row>
    <row r="98" spans="13:39" x14ac:dyDescent="0.25">
      <c r="M98" s="87"/>
      <c r="N98" s="87"/>
      <c r="O98" s="246" t="str">
        <f>IFERROR(O82&amp;O83&amp;O84&amp;O85&amp;O86,"Data on Canadian Multi-National Enterprises in "&amp;country&amp;" are unavailable. ")</f>
        <v xml:space="preserve">Data on Canadian Multi-National Enterprises in Australia are unavailable. </v>
      </c>
      <c r="P98" s="247"/>
      <c r="Q98" s="247"/>
      <c r="R98" s="247"/>
      <c r="S98" s="247"/>
      <c r="T98" s="247"/>
      <c r="U98" s="248"/>
      <c r="V98" s="87"/>
      <c r="W98" s="177"/>
      <c r="X98" s="87"/>
      <c r="Y98" s="87"/>
      <c r="Z98" s="87"/>
      <c r="AA98" s="87"/>
      <c r="AB98" s="87"/>
      <c r="AC98" s="87"/>
      <c r="AM98" s="264" t="e">
        <f>IFERROR(AL82&amp;AL83&amp;AL84&amp;AL85&amp;AL86,"Les données sur les entreprises multinationales canadiennes "&amp;prefixFr3&amp;countryFr&amp;" ne sont pas disponibles.")</f>
        <v>#N/A</v>
      </c>
    </row>
    <row r="99" spans="13:39" x14ac:dyDescent="0.25">
      <c r="M99" s="87"/>
      <c r="N99" s="87"/>
      <c r="O99" s="249"/>
      <c r="P99" s="250"/>
      <c r="Q99" s="250"/>
      <c r="R99" s="250"/>
      <c r="S99" s="250"/>
      <c r="T99" s="250"/>
      <c r="U99" s="251"/>
      <c r="V99" s="87"/>
      <c r="W99" s="177"/>
      <c r="X99" s="87"/>
      <c r="Y99" s="87"/>
      <c r="Z99" s="87"/>
      <c r="AA99" s="87"/>
      <c r="AB99" s="87"/>
      <c r="AC99" s="87"/>
      <c r="AM99" s="265"/>
    </row>
    <row r="100" spans="13:39" x14ac:dyDescent="0.25">
      <c r="O100" s="249"/>
      <c r="P100" s="250"/>
      <c r="Q100" s="250"/>
      <c r="R100" s="250"/>
      <c r="S100" s="250"/>
      <c r="T100" s="250"/>
      <c r="U100" s="251"/>
      <c r="W100" s="178"/>
      <c r="AM100" s="265"/>
    </row>
    <row r="101" spans="13:39" x14ac:dyDescent="0.25">
      <c r="O101" s="249"/>
      <c r="P101" s="250"/>
      <c r="Q101" s="250"/>
      <c r="R101" s="250"/>
      <c r="S101" s="250"/>
      <c r="T101" s="250"/>
      <c r="U101" s="251"/>
      <c r="W101" s="178"/>
      <c r="AM101" s="265"/>
    </row>
    <row r="102" spans="13:39" x14ac:dyDescent="0.25">
      <c r="O102" s="249"/>
      <c r="P102" s="250"/>
      <c r="Q102" s="250"/>
      <c r="R102" s="250"/>
      <c r="S102" s="250"/>
      <c r="T102" s="250"/>
      <c r="U102" s="251"/>
      <c r="W102" s="178"/>
      <c r="AM102" s="265"/>
    </row>
    <row r="103" spans="13:39" x14ac:dyDescent="0.25">
      <c r="O103" s="252"/>
      <c r="P103" s="253"/>
      <c r="Q103" s="253"/>
      <c r="R103" s="253"/>
      <c r="S103" s="253"/>
      <c r="T103" s="253"/>
      <c r="U103" s="254"/>
      <c r="W103" s="178"/>
      <c r="AM103" s="266"/>
    </row>
    <row r="104" spans="13:39" x14ac:dyDescent="0.25">
      <c r="W104" s="178"/>
    </row>
    <row r="105" spans="13:39" x14ac:dyDescent="0.25">
      <c r="W105" s="178"/>
    </row>
    <row r="106" spans="13:39" x14ac:dyDescent="0.25">
      <c r="W106" s="178"/>
    </row>
    <row r="107" spans="13:39" x14ac:dyDescent="0.25">
      <c r="W107" s="178"/>
    </row>
    <row r="108" spans="13:39" x14ac:dyDescent="0.25">
      <c r="W108" s="178"/>
    </row>
    <row r="109" spans="13:39" x14ac:dyDescent="0.25">
      <c r="W109" s="178"/>
    </row>
    <row r="110" spans="13:39" x14ac:dyDescent="0.25">
      <c r="W110" s="178"/>
    </row>
    <row r="111" spans="13:39" x14ac:dyDescent="0.25">
      <c r="W111" s="178"/>
    </row>
    <row r="112" spans="13:39" x14ac:dyDescent="0.25">
      <c r="W112" s="178"/>
    </row>
  </sheetData>
  <mergeCells count="12">
    <mergeCell ref="AM13:AM14"/>
    <mergeCell ref="O98:U103"/>
    <mergeCell ref="J16:U22"/>
    <mergeCell ref="AB16:AM22"/>
    <mergeCell ref="AK39:AM39"/>
    <mergeCell ref="AK40:AM40"/>
    <mergeCell ref="AK41:AM41"/>
    <mergeCell ref="AM98:AM103"/>
    <mergeCell ref="J44:U50"/>
    <mergeCell ref="J51:U53"/>
    <mergeCell ref="AB44:AM50"/>
    <mergeCell ref="AB51:AM53"/>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FF"/>
  </sheetPr>
  <dimension ref="A1"/>
  <sheetViews>
    <sheetView workbookViewId="0">
      <selection activeCell="A5" sqref="A5"/>
    </sheetView>
  </sheetViews>
  <sheetFormatPr defaultRowHeight="12.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FF"/>
  </sheetPr>
  <dimension ref="A2:Q253"/>
  <sheetViews>
    <sheetView showGridLines="0" showRowColHeaders="0" zoomScale="90" zoomScaleNormal="90" workbookViewId="0">
      <pane xSplit="1" ySplit="4" topLeftCell="B159" activePane="bottomRight" state="frozen"/>
      <selection activeCell="A5" sqref="A5"/>
      <selection pane="topRight" activeCell="A5" sqref="A5"/>
      <selection pane="bottomLeft" activeCell="A5" sqref="A5"/>
      <selection pane="bottomRight" activeCell="A4" sqref="A4:P198"/>
    </sheetView>
  </sheetViews>
  <sheetFormatPr defaultColWidth="0" defaultRowHeight="14.5" x14ac:dyDescent="0.35"/>
  <cols>
    <col min="1" max="1" width="30.6328125" style="76" customWidth="1"/>
    <col min="2" max="16" width="10.6328125" style="76" customWidth="1"/>
    <col min="17" max="17" width="2.1796875" style="76" customWidth="1"/>
    <col min="18" max="16384" width="8.90625" style="76" hidden="1"/>
  </cols>
  <sheetData>
    <row r="2" spans="1:16" ht="15.5" x14ac:dyDescent="0.35">
      <c r="A2" s="75" t="s">
        <v>0</v>
      </c>
    </row>
    <row r="4" spans="1:16" s="98" customFormat="1" x14ac:dyDescent="0.35">
      <c r="A4" s="196"/>
      <c r="B4" s="196"/>
      <c r="C4" s="196"/>
      <c r="D4" s="196"/>
      <c r="E4" s="196"/>
      <c r="F4" s="196"/>
      <c r="G4" s="196"/>
      <c r="H4" s="196"/>
      <c r="I4" s="196"/>
      <c r="J4" s="196"/>
      <c r="K4" s="196"/>
      <c r="L4" s="196"/>
      <c r="M4" s="196"/>
      <c r="N4" s="196"/>
      <c r="O4" s="196"/>
      <c r="P4" s="196"/>
    </row>
    <row r="5" spans="1:16" s="98" customFormat="1" x14ac:dyDescent="0.35">
      <c r="A5" s="196"/>
      <c r="B5" s="198"/>
      <c r="C5" s="198"/>
      <c r="D5" s="198"/>
      <c r="E5" s="198"/>
      <c r="F5" s="198"/>
      <c r="G5" s="198"/>
      <c r="H5" s="198"/>
      <c r="I5" s="198"/>
      <c r="J5" s="198"/>
      <c r="K5" s="198"/>
      <c r="L5" s="197"/>
      <c r="M5" s="197"/>
      <c r="N5" s="197"/>
      <c r="O5" s="196"/>
      <c r="P5" s="196"/>
    </row>
    <row r="6" spans="1:16" s="98" customFormat="1" x14ac:dyDescent="0.35">
      <c r="A6" s="199"/>
      <c r="B6" s="200"/>
      <c r="C6" s="200"/>
      <c r="D6" s="200"/>
      <c r="E6" s="200"/>
      <c r="F6" s="200"/>
      <c r="G6" s="200"/>
      <c r="H6" s="200"/>
      <c r="I6" s="200"/>
      <c r="J6" s="200"/>
      <c r="K6" s="200"/>
      <c r="L6" s="201"/>
      <c r="M6" s="201"/>
      <c r="N6" s="201"/>
      <c r="O6" s="199"/>
      <c r="P6" s="199"/>
    </row>
    <row r="7" spans="1:16" s="98" customFormat="1" x14ac:dyDescent="0.35">
      <c r="A7" s="84"/>
      <c r="B7" s="85"/>
      <c r="C7" s="85"/>
      <c r="D7" s="85"/>
      <c r="E7" s="85"/>
      <c r="F7" s="85"/>
      <c r="G7" s="85"/>
      <c r="H7" s="85"/>
      <c r="I7" s="85"/>
      <c r="J7" s="85"/>
      <c r="K7" s="85"/>
      <c r="L7" s="197"/>
      <c r="M7" s="197"/>
      <c r="N7" s="197"/>
      <c r="O7" s="196"/>
      <c r="P7" s="196"/>
    </row>
    <row r="8" spans="1:16" s="98" customFormat="1" x14ac:dyDescent="0.35">
      <c r="A8" s="84"/>
      <c r="B8" s="85"/>
      <c r="C8" s="85"/>
      <c r="D8" s="85"/>
      <c r="E8" s="85"/>
      <c r="F8" s="85"/>
      <c r="G8" s="85"/>
      <c r="H8" s="85"/>
      <c r="I8" s="85"/>
      <c r="J8" s="85"/>
      <c r="K8" s="85"/>
      <c r="L8" s="197"/>
      <c r="M8" s="197"/>
      <c r="N8" s="197"/>
      <c r="O8" s="196"/>
      <c r="P8" s="196"/>
    </row>
    <row r="9" spans="1:16" s="98" customFormat="1" x14ac:dyDescent="0.35">
      <c r="A9" s="84"/>
      <c r="B9" s="85"/>
      <c r="C9" s="85"/>
      <c r="D9" s="85"/>
      <c r="E9" s="85"/>
      <c r="F9" s="85"/>
      <c r="G9" s="85"/>
      <c r="H9" s="85"/>
      <c r="I9" s="85"/>
      <c r="J9" s="85"/>
      <c r="K9" s="85"/>
      <c r="L9" s="197"/>
      <c r="M9" s="197"/>
      <c r="N9" s="197"/>
      <c r="O9" s="196"/>
      <c r="P9" s="196"/>
    </row>
    <row r="10" spans="1:16" s="98" customFormat="1" x14ac:dyDescent="0.35">
      <c r="A10" s="84"/>
      <c r="B10" s="85"/>
      <c r="C10" s="85"/>
      <c r="D10" s="85"/>
      <c r="E10" s="85"/>
      <c r="F10" s="85"/>
      <c r="G10" s="85"/>
      <c r="H10" s="85"/>
      <c r="I10" s="85"/>
      <c r="J10" s="85"/>
      <c r="K10" s="85"/>
      <c r="L10" s="197"/>
      <c r="M10" s="197"/>
      <c r="N10" s="197"/>
      <c r="O10" s="196"/>
      <c r="P10" s="196"/>
    </row>
    <row r="11" spans="1:16" s="98" customFormat="1" x14ac:dyDescent="0.35">
      <c r="A11" s="84"/>
      <c r="B11" s="85"/>
      <c r="C11" s="85"/>
      <c r="D11" s="85"/>
      <c r="E11" s="85"/>
      <c r="F11" s="85"/>
      <c r="G11" s="85"/>
      <c r="H11" s="85"/>
      <c r="I11" s="85"/>
      <c r="J11" s="85"/>
      <c r="K11" s="85"/>
      <c r="L11" s="197"/>
      <c r="M11" s="197"/>
      <c r="N11" s="197"/>
      <c r="O11" s="196"/>
      <c r="P11" s="196"/>
    </row>
    <row r="12" spans="1:16" s="98" customFormat="1" x14ac:dyDescent="0.35">
      <c r="A12" s="84"/>
      <c r="B12" s="85"/>
      <c r="C12" s="85"/>
      <c r="D12" s="85"/>
      <c r="E12" s="85"/>
      <c r="F12" s="85"/>
      <c r="G12" s="85"/>
      <c r="H12" s="85"/>
      <c r="I12" s="85"/>
      <c r="J12" s="85"/>
      <c r="K12" s="85"/>
      <c r="L12" s="197"/>
      <c r="M12" s="197"/>
      <c r="N12" s="197"/>
      <c r="O12" s="196"/>
      <c r="P12" s="196"/>
    </row>
    <row r="13" spans="1:16" s="98" customFormat="1" x14ac:dyDescent="0.35">
      <c r="A13" s="84"/>
      <c r="B13" s="85"/>
      <c r="C13" s="85"/>
      <c r="D13" s="85"/>
      <c r="E13" s="85"/>
      <c r="F13" s="85"/>
      <c r="G13" s="85"/>
      <c r="H13" s="85"/>
      <c r="I13" s="85"/>
      <c r="J13" s="85"/>
      <c r="K13" s="85"/>
      <c r="L13" s="197"/>
      <c r="M13" s="197"/>
      <c r="N13" s="197"/>
      <c r="O13" s="196"/>
      <c r="P13" s="196"/>
    </row>
    <row r="14" spans="1:16" s="98" customFormat="1" x14ac:dyDescent="0.35">
      <c r="A14" s="84"/>
      <c r="B14" s="85"/>
      <c r="C14" s="85"/>
      <c r="D14" s="85"/>
      <c r="E14" s="85"/>
      <c r="F14" s="85"/>
      <c r="G14" s="85"/>
      <c r="H14" s="85"/>
      <c r="I14" s="85"/>
      <c r="J14" s="85"/>
      <c r="K14" s="85"/>
      <c r="L14" s="197"/>
      <c r="M14" s="197"/>
      <c r="N14" s="197"/>
      <c r="O14" s="196"/>
      <c r="P14" s="196"/>
    </row>
    <row r="15" spans="1:16" s="98" customFormat="1" x14ac:dyDescent="0.35">
      <c r="A15" s="84"/>
      <c r="B15" s="85"/>
      <c r="C15" s="85"/>
      <c r="D15" s="85"/>
      <c r="E15" s="85"/>
      <c r="F15" s="85"/>
      <c r="G15" s="85"/>
      <c r="H15" s="85"/>
      <c r="I15" s="85"/>
      <c r="J15" s="85"/>
      <c r="K15" s="85"/>
      <c r="L15" s="197"/>
      <c r="M15" s="197"/>
      <c r="N15" s="197"/>
      <c r="O15" s="196"/>
      <c r="P15" s="196"/>
    </row>
    <row r="16" spans="1:16" s="98" customFormat="1" x14ac:dyDescent="0.35">
      <c r="A16" s="84"/>
      <c r="B16" s="85"/>
      <c r="C16" s="85"/>
      <c r="D16" s="85"/>
      <c r="E16" s="85"/>
      <c r="F16" s="85"/>
      <c r="G16" s="85"/>
      <c r="H16" s="85"/>
      <c r="I16" s="85"/>
      <c r="J16" s="85"/>
      <c r="K16" s="85"/>
      <c r="L16" s="197"/>
      <c r="M16" s="197"/>
      <c r="N16" s="197"/>
      <c r="O16" s="196"/>
      <c r="P16" s="196"/>
    </row>
    <row r="17" spans="1:16" s="98" customFormat="1" x14ac:dyDescent="0.35">
      <c r="A17" s="84"/>
      <c r="B17" s="85"/>
      <c r="C17" s="85"/>
      <c r="D17" s="85"/>
      <c r="E17" s="85"/>
      <c r="F17" s="85"/>
      <c r="G17" s="85"/>
      <c r="H17" s="85"/>
      <c r="I17" s="85"/>
      <c r="J17" s="85"/>
      <c r="K17" s="85"/>
      <c r="L17" s="197"/>
      <c r="M17" s="197"/>
      <c r="N17" s="197"/>
      <c r="O17" s="196"/>
      <c r="P17" s="196"/>
    </row>
    <row r="18" spans="1:16" s="98" customFormat="1" x14ac:dyDescent="0.35">
      <c r="A18" s="84"/>
      <c r="B18" s="85"/>
      <c r="C18" s="85"/>
      <c r="D18" s="85"/>
      <c r="E18" s="85"/>
      <c r="F18" s="85"/>
      <c r="G18" s="85"/>
      <c r="H18" s="85"/>
      <c r="I18" s="85"/>
      <c r="J18" s="85"/>
      <c r="K18" s="85"/>
      <c r="L18" s="197"/>
      <c r="M18" s="197"/>
      <c r="N18" s="197"/>
      <c r="O18" s="196"/>
      <c r="P18" s="196"/>
    </row>
    <row r="19" spans="1:16" s="98" customFormat="1" x14ac:dyDescent="0.35">
      <c r="A19" s="84"/>
      <c r="B19" s="85"/>
      <c r="C19" s="85"/>
      <c r="D19" s="85"/>
      <c r="E19" s="85"/>
      <c r="F19" s="85"/>
      <c r="G19" s="85"/>
      <c r="H19" s="85"/>
      <c r="I19" s="85"/>
      <c r="J19" s="85"/>
      <c r="K19" s="85"/>
      <c r="L19" s="197"/>
      <c r="M19" s="197"/>
      <c r="N19" s="197"/>
      <c r="O19" s="196"/>
      <c r="P19" s="196"/>
    </row>
    <row r="20" spans="1:16" s="98" customFormat="1" x14ac:dyDescent="0.35">
      <c r="A20" s="84"/>
      <c r="B20" s="85"/>
      <c r="C20" s="85"/>
      <c r="D20" s="85"/>
      <c r="E20" s="85"/>
      <c r="F20" s="85"/>
      <c r="G20" s="85"/>
      <c r="H20" s="85"/>
      <c r="I20" s="85"/>
      <c r="J20" s="85"/>
      <c r="K20" s="85"/>
      <c r="L20" s="197"/>
      <c r="M20" s="197"/>
      <c r="N20" s="197"/>
      <c r="O20" s="196"/>
      <c r="P20" s="196"/>
    </row>
    <row r="21" spans="1:16" s="98" customFormat="1" x14ac:dyDescent="0.35">
      <c r="A21" s="84"/>
      <c r="B21" s="85"/>
      <c r="C21" s="85"/>
      <c r="D21" s="85"/>
      <c r="E21" s="85"/>
      <c r="F21" s="85"/>
      <c r="G21" s="85"/>
      <c r="H21" s="85"/>
      <c r="I21" s="85"/>
      <c r="J21" s="85"/>
      <c r="K21" s="85"/>
      <c r="L21" s="197"/>
      <c r="M21" s="197"/>
      <c r="N21" s="197"/>
      <c r="O21" s="196"/>
      <c r="P21" s="196"/>
    </row>
    <row r="22" spans="1:16" s="98" customFormat="1" x14ac:dyDescent="0.35">
      <c r="A22" s="84"/>
      <c r="B22" s="85"/>
      <c r="C22" s="85"/>
      <c r="D22" s="85"/>
      <c r="E22" s="85"/>
      <c r="F22" s="85"/>
      <c r="G22" s="85"/>
      <c r="H22" s="85"/>
      <c r="I22" s="85"/>
      <c r="J22" s="85"/>
      <c r="K22" s="85"/>
      <c r="L22" s="197"/>
      <c r="M22" s="197"/>
      <c r="N22" s="197"/>
      <c r="O22" s="196"/>
      <c r="P22" s="196"/>
    </row>
    <row r="23" spans="1:16" s="98" customFormat="1" x14ac:dyDescent="0.35">
      <c r="A23" s="84"/>
      <c r="B23" s="85"/>
      <c r="C23" s="85"/>
      <c r="D23" s="85"/>
      <c r="E23" s="85"/>
      <c r="F23" s="85"/>
      <c r="G23" s="85"/>
      <c r="H23" s="85"/>
      <c r="I23" s="85"/>
      <c r="J23" s="85"/>
      <c r="K23" s="85"/>
      <c r="L23" s="197"/>
      <c r="M23" s="197"/>
      <c r="N23" s="197"/>
      <c r="O23" s="196"/>
      <c r="P23" s="196"/>
    </row>
    <row r="24" spans="1:16" s="98" customFormat="1" x14ac:dyDescent="0.35">
      <c r="A24" s="84"/>
      <c r="B24" s="85"/>
      <c r="C24" s="85"/>
      <c r="D24" s="85"/>
      <c r="E24" s="85"/>
      <c r="F24" s="85"/>
      <c r="G24" s="85"/>
      <c r="H24" s="85"/>
      <c r="I24" s="85"/>
      <c r="J24" s="85"/>
      <c r="K24" s="85"/>
      <c r="L24" s="197"/>
      <c r="M24" s="197"/>
      <c r="N24" s="197"/>
      <c r="O24" s="196"/>
      <c r="P24" s="196"/>
    </row>
    <row r="25" spans="1:16" s="98" customFormat="1" x14ac:dyDescent="0.35">
      <c r="A25" s="84"/>
      <c r="B25" s="85"/>
      <c r="C25" s="85"/>
      <c r="D25" s="85"/>
      <c r="E25" s="85"/>
      <c r="F25" s="85"/>
      <c r="G25" s="85"/>
      <c r="H25" s="85"/>
      <c r="I25" s="85"/>
      <c r="J25" s="85"/>
      <c r="K25" s="85"/>
      <c r="L25" s="197"/>
      <c r="M25" s="197"/>
      <c r="N25" s="197"/>
      <c r="O25" s="196"/>
      <c r="P25" s="196"/>
    </row>
    <row r="26" spans="1:16" s="98" customFormat="1" x14ac:dyDescent="0.35">
      <c r="A26" s="84"/>
      <c r="B26" s="85"/>
      <c r="C26" s="85"/>
      <c r="D26" s="85"/>
      <c r="E26" s="85"/>
      <c r="F26" s="85"/>
      <c r="G26" s="85"/>
      <c r="H26" s="85"/>
      <c r="I26" s="85"/>
      <c r="J26" s="85"/>
      <c r="K26" s="85"/>
      <c r="L26" s="197"/>
      <c r="M26" s="197"/>
      <c r="N26" s="197"/>
      <c r="O26" s="196"/>
      <c r="P26" s="196"/>
    </row>
    <row r="27" spans="1:16" s="98" customFormat="1" x14ac:dyDescent="0.35">
      <c r="A27" s="84"/>
      <c r="B27" s="85"/>
      <c r="C27" s="85"/>
      <c r="D27" s="85"/>
      <c r="E27" s="85"/>
      <c r="F27" s="85"/>
      <c r="G27" s="85"/>
      <c r="H27" s="85"/>
      <c r="I27" s="85"/>
      <c r="J27" s="85"/>
      <c r="K27" s="85"/>
      <c r="L27" s="197"/>
      <c r="M27" s="197"/>
      <c r="N27" s="197"/>
      <c r="O27" s="196"/>
      <c r="P27" s="196"/>
    </row>
    <row r="28" spans="1:16" s="98" customFormat="1" x14ac:dyDescent="0.35">
      <c r="A28" s="84"/>
      <c r="B28" s="85"/>
      <c r="C28" s="85"/>
      <c r="D28" s="85"/>
      <c r="E28" s="85"/>
      <c r="F28" s="85"/>
      <c r="G28" s="85"/>
      <c r="H28" s="85"/>
      <c r="I28" s="85"/>
      <c r="J28" s="85"/>
      <c r="K28" s="85"/>
      <c r="L28" s="197"/>
      <c r="M28" s="197"/>
      <c r="N28" s="197"/>
      <c r="O28" s="196"/>
      <c r="P28" s="196"/>
    </row>
    <row r="29" spans="1:16" s="98" customFormat="1" x14ac:dyDescent="0.35">
      <c r="A29" s="84"/>
      <c r="B29" s="85"/>
      <c r="C29" s="85"/>
      <c r="D29" s="85"/>
      <c r="E29" s="85"/>
      <c r="F29" s="85"/>
      <c r="G29" s="85"/>
      <c r="H29" s="85"/>
      <c r="I29" s="85"/>
      <c r="J29" s="85"/>
      <c r="K29" s="85"/>
      <c r="L29" s="197"/>
      <c r="M29" s="197"/>
      <c r="N29" s="197"/>
      <c r="O29" s="196"/>
      <c r="P29" s="196"/>
    </row>
    <row r="30" spans="1:16" s="98" customFormat="1" x14ac:dyDescent="0.35">
      <c r="A30" s="84"/>
      <c r="B30" s="85"/>
      <c r="C30" s="85"/>
      <c r="D30" s="85"/>
      <c r="E30" s="85"/>
      <c r="F30" s="85"/>
      <c r="G30" s="85"/>
      <c r="H30" s="85"/>
      <c r="I30" s="85"/>
      <c r="J30" s="85"/>
      <c r="K30" s="85"/>
      <c r="L30" s="197"/>
      <c r="M30" s="197"/>
      <c r="N30" s="197"/>
      <c r="O30" s="196"/>
      <c r="P30" s="196"/>
    </row>
    <row r="31" spans="1:16" s="98" customFormat="1" x14ac:dyDescent="0.35">
      <c r="A31" s="84"/>
      <c r="B31" s="85"/>
      <c r="C31" s="85"/>
      <c r="D31" s="85"/>
      <c r="E31" s="85"/>
      <c r="F31" s="85"/>
      <c r="G31" s="85"/>
      <c r="H31" s="85"/>
      <c r="I31" s="85"/>
      <c r="J31" s="85"/>
      <c r="K31" s="85"/>
      <c r="L31" s="197"/>
      <c r="M31" s="197"/>
      <c r="N31" s="197"/>
      <c r="O31" s="196"/>
      <c r="P31" s="196"/>
    </row>
    <row r="32" spans="1:16" s="98" customFormat="1" x14ac:dyDescent="0.35">
      <c r="A32" s="84"/>
      <c r="B32" s="85"/>
      <c r="C32" s="85"/>
      <c r="D32" s="85"/>
      <c r="E32" s="85"/>
      <c r="F32" s="85"/>
      <c r="G32" s="85"/>
      <c r="H32" s="85"/>
      <c r="I32" s="85"/>
      <c r="J32" s="85"/>
      <c r="K32" s="85"/>
      <c r="L32" s="197"/>
      <c r="M32" s="197"/>
      <c r="N32" s="197"/>
      <c r="O32" s="196"/>
      <c r="P32" s="196"/>
    </row>
    <row r="33" spans="1:16" s="98" customFormat="1" x14ac:dyDescent="0.35">
      <c r="A33" s="84"/>
      <c r="B33" s="85"/>
      <c r="C33" s="85"/>
      <c r="D33" s="85"/>
      <c r="E33" s="85"/>
      <c r="F33" s="85"/>
      <c r="G33" s="85"/>
      <c r="H33" s="85"/>
      <c r="I33" s="85"/>
      <c r="J33" s="85"/>
      <c r="K33" s="85"/>
      <c r="L33" s="197"/>
      <c r="M33" s="197"/>
      <c r="N33" s="197"/>
      <c r="O33" s="196"/>
      <c r="P33" s="196"/>
    </row>
    <row r="34" spans="1:16" s="98" customFormat="1" x14ac:dyDescent="0.35">
      <c r="A34" s="84"/>
      <c r="B34" s="85"/>
      <c r="C34" s="85"/>
      <c r="D34" s="85"/>
      <c r="E34" s="85"/>
      <c r="F34" s="85"/>
      <c r="G34" s="85"/>
      <c r="H34" s="85"/>
      <c r="I34" s="85"/>
      <c r="J34" s="85"/>
      <c r="K34" s="85"/>
      <c r="L34" s="197"/>
      <c r="M34" s="197"/>
      <c r="N34" s="197"/>
      <c r="O34" s="196"/>
      <c r="P34" s="196"/>
    </row>
    <row r="35" spans="1:16" s="98" customFormat="1" x14ac:dyDescent="0.35">
      <c r="A35" s="84"/>
      <c r="B35" s="85"/>
      <c r="C35" s="85"/>
      <c r="D35" s="85"/>
      <c r="E35" s="85"/>
      <c r="F35" s="85"/>
      <c r="G35" s="85"/>
      <c r="H35" s="85"/>
      <c r="I35" s="85"/>
      <c r="J35" s="85"/>
      <c r="K35" s="85"/>
      <c r="L35" s="197"/>
      <c r="M35" s="197"/>
      <c r="N35" s="197"/>
      <c r="O35" s="196"/>
      <c r="P35" s="196"/>
    </row>
    <row r="36" spans="1:16" s="98" customFormat="1" x14ac:dyDescent="0.35">
      <c r="A36" s="84"/>
      <c r="B36" s="85"/>
      <c r="C36" s="85"/>
      <c r="D36" s="85"/>
      <c r="E36" s="85"/>
      <c r="F36" s="85"/>
      <c r="G36" s="85"/>
      <c r="H36" s="85"/>
      <c r="I36" s="85"/>
      <c r="J36" s="85"/>
      <c r="K36" s="85"/>
      <c r="L36" s="197"/>
      <c r="M36" s="197"/>
      <c r="N36" s="197"/>
      <c r="O36" s="196"/>
      <c r="P36" s="196"/>
    </row>
    <row r="37" spans="1:16" s="98" customFormat="1" x14ac:dyDescent="0.35">
      <c r="A37" s="84"/>
      <c r="B37" s="85"/>
      <c r="C37" s="85"/>
      <c r="D37" s="85"/>
      <c r="E37" s="85"/>
      <c r="F37" s="85"/>
      <c r="G37" s="85"/>
      <c r="H37" s="85"/>
      <c r="I37" s="85"/>
      <c r="J37" s="85"/>
      <c r="K37" s="85"/>
      <c r="L37" s="197"/>
      <c r="M37" s="197"/>
      <c r="N37" s="197"/>
      <c r="O37" s="196"/>
      <c r="P37" s="196"/>
    </row>
    <row r="38" spans="1:16" s="98" customFormat="1" x14ac:dyDescent="0.35">
      <c r="A38" s="84"/>
      <c r="B38" s="85"/>
      <c r="C38" s="85"/>
      <c r="D38" s="85"/>
      <c r="E38" s="85"/>
      <c r="F38" s="85"/>
      <c r="G38" s="85"/>
      <c r="H38" s="85"/>
      <c r="I38" s="85"/>
      <c r="J38" s="85"/>
      <c r="K38" s="85"/>
      <c r="L38" s="197"/>
      <c r="M38" s="197"/>
      <c r="N38" s="197"/>
      <c r="O38" s="196"/>
      <c r="P38" s="196"/>
    </row>
    <row r="39" spans="1:16" s="98" customFormat="1" x14ac:dyDescent="0.35">
      <c r="A39" s="84"/>
      <c r="B39" s="85"/>
      <c r="C39" s="85"/>
      <c r="D39" s="85"/>
      <c r="E39" s="85"/>
      <c r="F39" s="85"/>
      <c r="G39" s="85"/>
      <c r="H39" s="85"/>
      <c r="I39" s="85"/>
      <c r="J39" s="85"/>
      <c r="K39" s="85"/>
      <c r="L39" s="197"/>
      <c r="M39" s="197"/>
      <c r="N39" s="197"/>
      <c r="O39" s="196"/>
      <c r="P39" s="196"/>
    </row>
    <row r="40" spans="1:16" s="98" customFormat="1" x14ac:dyDescent="0.35">
      <c r="A40" s="84"/>
      <c r="B40" s="85"/>
      <c r="C40" s="85"/>
      <c r="D40" s="85"/>
      <c r="E40" s="85"/>
      <c r="F40" s="85"/>
      <c r="G40" s="85"/>
      <c r="H40" s="85"/>
      <c r="I40" s="85"/>
      <c r="J40" s="85"/>
      <c r="K40" s="85"/>
      <c r="L40" s="197"/>
      <c r="M40" s="197"/>
      <c r="N40" s="197"/>
      <c r="O40" s="196"/>
      <c r="P40" s="196"/>
    </row>
    <row r="41" spans="1:16" s="98" customFormat="1" x14ac:dyDescent="0.35">
      <c r="A41" s="84"/>
      <c r="B41" s="85"/>
      <c r="C41" s="85"/>
      <c r="D41" s="85"/>
      <c r="E41" s="85"/>
      <c r="F41" s="85"/>
      <c r="G41" s="85"/>
      <c r="H41" s="85"/>
      <c r="I41" s="85"/>
      <c r="J41" s="85"/>
      <c r="K41" s="85"/>
      <c r="L41" s="197"/>
      <c r="M41" s="197"/>
      <c r="N41" s="197"/>
      <c r="O41" s="196"/>
      <c r="P41" s="196"/>
    </row>
    <row r="42" spans="1:16" s="98" customFormat="1" x14ac:dyDescent="0.35">
      <c r="A42" s="84"/>
      <c r="B42" s="85"/>
      <c r="C42" s="85"/>
      <c r="D42" s="85"/>
      <c r="E42" s="85"/>
      <c r="F42" s="85"/>
      <c r="G42" s="85"/>
      <c r="H42" s="85"/>
      <c r="I42" s="85"/>
      <c r="J42" s="85"/>
      <c r="K42" s="85"/>
      <c r="L42" s="197"/>
      <c r="M42" s="197"/>
      <c r="N42" s="197"/>
      <c r="O42" s="196"/>
      <c r="P42" s="196"/>
    </row>
    <row r="43" spans="1:16" s="98" customFormat="1" x14ac:dyDescent="0.35">
      <c r="A43" s="84"/>
      <c r="B43" s="85"/>
      <c r="C43" s="85"/>
      <c r="D43" s="85"/>
      <c r="E43" s="85"/>
      <c r="F43" s="85"/>
      <c r="G43" s="85"/>
      <c r="H43" s="85"/>
      <c r="I43" s="85"/>
      <c r="J43" s="85"/>
      <c r="K43" s="85"/>
      <c r="L43" s="197"/>
      <c r="M43" s="197"/>
      <c r="N43" s="197"/>
      <c r="O43" s="196"/>
      <c r="P43" s="196"/>
    </row>
    <row r="44" spans="1:16" s="98" customFormat="1" x14ac:dyDescent="0.35">
      <c r="A44" s="84"/>
      <c r="B44" s="85"/>
      <c r="C44" s="85"/>
      <c r="D44" s="85"/>
      <c r="E44" s="85"/>
      <c r="F44" s="85"/>
      <c r="G44" s="85"/>
      <c r="H44" s="85"/>
      <c r="I44" s="85"/>
      <c r="J44" s="85"/>
      <c r="K44" s="85"/>
      <c r="L44" s="197"/>
      <c r="M44" s="197"/>
      <c r="N44" s="197"/>
      <c r="O44" s="196"/>
      <c r="P44" s="196"/>
    </row>
    <row r="45" spans="1:16" s="98" customFormat="1" x14ac:dyDescent="0.35">
      <c r="A45" s="84"/>
      <c r="B45" s="85"/>
      <c r="C45" s="85"/>
      <c r="D45" s="85"/>
      <c r="E45" s="85"/>
      <c r="F45" s="85"/>
      <c r="G45" s="85"/>
      <c r="H45" s="85"/>
      <c r="I45" s="85"/>
      <c r="J45" s="85"/>
      <c r="K45" s="85"/>
      <c r="L45" s="197"/>
      <c r="M45" s="197"/>
      <c r="N45" s="197"/>
      <c r="O45" s="196"/>
      <c r="P45" s="196"/>
    </row>
    <row r="46" spans="1:16" s="98" customFormat="1" x14ac:dyDescent="0.35">
      <c r="A46" s="84"/>
      <c r="B46" s="85"/>
      <c r="C46" s="85"/>
      <c r="D46" s="85"/>
      <c r="E46" s="85"/>
      <c r="F46" s="85"/>
      <c r="G46" s="85"/>
      <c r="H46" s="85"/>
      <c r="I46" s="85"/>
      <c r="J46" s="85"/>
      <c r="K46" s="85"/>
      <c r="L46" s="197"/>
      <c r="M46" s="197"/>
      <c r="N46" s="197"/>
      <c r="O46" s="196"/>
      <c r="P46" s="196"/>
    </row>
    <row r="47" spans="1:16" s="98" customFormat="1" x14ac:dyDescent="0.35">
      <c r="A47" s="84"/>
      <c r="B47" s="85"/>
      <c r="C47" s="85"/>
      <c r="D47" s="85"/>
      <c r="E47" s="85"/>
      <c r="F47" s="85"/>
      <c r="G47" s="85"/>
      <c r="H47" s="85"/>
      <c r="I47" s="85"/>
      <c r="J47" s="85"/>
      <c r="K47" s="85"/>
      <c r="L47" s="197"/>
      <c r="M47" s="197"/>
      <c r="N47" s="197"/>
      <c r="O47" s="196"/>
      <c r="P47" s="196"/>
    </row>
    <row r="48" spans="1:16" s="98" customFormat="1" x14ac:dyDescent="0.35">
      <c r="A48" s="84"/>
      <c r="B48" s="85"/>
      <c r="C48" s="85"/>
      <c r="D48" s="85"/>
      <c r="E48" s="85"/>
      <c r="F48" s="85"/>
      <c r="G48" s="85"/>
      <c r="H48" s="85"/>
      <c r="I48" s="85"/>
      <c r="J48" s="85"/>
      <c r="K48" s="85"/>
      <c r="L48" s="197"/>
      <c r="M48" s="197"/>
      <c r="N48" s="197"/>
      <c r="O48" s="196"/>
      <c r="P48" s="196"/>
    </row>
    <row r="49" spans="1:16" s="98" customFormat="1" x14ac:dyDescent="0.35">
      <c r="A49" s="84"/>
      <c r="B49" s="85"/>
      <c r="C49" s="85"/>
      <c r="D49" s="85"/>
      <c r="E49" s="85"/>
      <c r="F49" s="85"/>
      <c r="G49" s="85"/>
      <c r="H49" s="85"/>
      <c r="I49" s="85"/>
      <c r="J49" s="85"/>
      <c r="K49" s="85"/>
      <c r="L49" s="197"/>
      <c r="M49" s="197"/>
      <c r="N49" s="197"/>
      <c r="O49" s="196"/>
      <c r="P49" s="196"/>
    </row>
    <row r="50" spans="1:16" s="98" customFormat="1" x14ac:dyDescent="0.35">
      <c r="A50" s="199"/>
      <c r="B50" s="200"/>
      <c r="C50" s="200"/>
      <c r="D50" s="200"/>
      <c r="E50" s="200"/>
      <c r="F50" s="200"/>
      <c r="G50" s="200"/>
      <c r="H50" s="200"/>
      <c r="I50" s="200"/>
      <c r="J50" s="200"/>
      <c r="K50" s="200"/>
      <c r="L50" s="201"/>
      <c r="M50" s="201"/>
      <c r="N50" s="201"/>
      <c r="O50" s="199"/>
      <c r="P50" s="199"/>
    </row>
    <row r="51" spans="1:16" s="98" customFormat="1" x14ac:dyDescent="0.35">
      <c r="A51" s="84"/>
      <c r="B51" s="85"/>
      <c r="C51" s="85"/>
      <c r="D51" s="85"/>
      <c r="E51" s="85"/>
      <c r="F51" s="85"/>
      <c r="G51" s="85"/>
      <c r="H51" s="85"/>
      <c r="I51" s="85"/>
      <c r="J51" s="85"/>
      <c r="K51" s="85"/>
      <c r="L51" s="197"/>
      <c r="M51" s="197"/>
      <c r="N51" s="197"/>
      <c r="O51" s="196"/>
      <c r="P51" s="196"/>
    </row>
    <row r="52" spans="1:16" s="98" customFormat="1" x14ac:dyDescent="0.35">
      <c r="A52" s="84"/>
      <c r="B52" s="85"/>
      <c r="C52" s="85"/>
      <c r="D52" s="85"/>
      <c r="E52" s="85"/>
      <c r="F52" s="85"/>
      <c r="G52" s="85"/>
      <c r="H52" s="85"/>
      <c r="I52" s="85"/>
      <c r="J52" s="85"/>
      <c r="K52" s="85"/>
      <c r="L52" s="197"/>
      <c r="M52" s="197"/>
      <c r="N52" s="197"/>
      <c r="O52" s="196"/>
      <c r="P52" s="196"/>
    </row>
    <row r="53" spans="1:16" s="98" customFormat="1" x14ac:dyDescent="0.35">
      <c r="A53" s="84"/>
      <c r="B53" s="85"/>
      <c r="C53" s="85"/>
      <c r="D53" s="85"/>
      <c r="E53" s="85"/>
      <c r="F53" s="85"/>
      <c r="G53" s="85"/>
      <c r="H53" s="85"/>
      <c r="I53" s="85"/>
      <c r="J53" s="85"/>
      <c r="K53" s="85"/>
      <c r="L53" s="197"/>
      <c r="M53" s="197"/>
      <c r="N53" s="197"/>
      <c r="O53" s="196"/>
      <c r="P53" s="196"/>
    </row>
    <row r="54" spans="1:16" s="98" customFormat="1" x14ac:dyDescent="0.35">
      <c r="A54" s="84"/>
      <c r="B54" s="85"/>
      <c r="C54" s="85"/>
      <c r="D54" s="85"/>
      <c r="E54" s="85"/>
      <c r="F54" s="85"/>
      <c r="G54" s="85"/>
      <c r="H54" s="85"/>
      <c r="I54" s="85"/>
      <c r="J54" s="85"/>
      <c r="K54" s="85"/>
      <c r="L54" s="197"/>
      <c r="M54" s="197"/>
      <c r="N54" s="197"/>
      <c r="O54" s="196"/>
      <c r="P54" s="196"/>
    </row>
    <row r="55" spans="1:16" s="98" customFormat="1" x14ac:dyDescent="0.35">
      <c r="A55" s="84"/>
      <c r="B55" s="85"/>
      <c r="C55" s="85"/>
      <c r="D55" s="85"/>
      <c r="E55" s="85"/>
      <c r="F55" s="85"/>
      <c r="G55" s="85"/>
      <c r="H55" s="85"/>
      <c r="I55" s="85"/>
      <c r="J55" s="85"/>
      <c r="K55" s="85"/>
      <c r="L55" s="197"/>
      <c r="M55" s="197"/>
      <c r="N55" s="197"/>
      <c r="O55" s="196"/>
      <c r="P55" s="196"/>
    </row>
    <row r="56" spans="1:16" s="98" customFormat="1" x14ac:dyDescent="0.35">
      <c r="A56" s="84"/>
      <c r="B56" s="85"/>
      <c r="C56" s="85"/>
      <c r="D56" s="85"/>
      <c r="E56" s="85"/>
      <c r="F56" s="85"/>
      <c r="G56" s="85"/>
      <c r="H56" s="85"/>
      <c r="I56" s="85"/>
      <c r="J56" s="85"/>
      <c r="K56" s="85"/>
      <c r="L56" s="197"/>
      <c r="M56" s="197"/>
      <c r="N56" s="197"/>
      <c r="O56" s="196"/>
      <c r="P56" s="196"/>
    </row>
    <row r="57" spans="1:16" s="98" customFormat="1" x14ac:dyDescent="0.35">
      <c r="A57" s="84"/>
      <c r="B57" s="85"/>
      <c r="C57" s="85"/>
      <c r="D57" s="85"/>
      <c r="E57" s="85"/>
      <c r="F57" s="85"/>
      <c r="G57" s="85"/>
      <c r="H57" s="85"/>
      <c r="I57" s="85"/>
      <c r="J57" s="85"/>
      <c r="K57" s="85"/>
      <c r="L57" s="197"/>
      <c r="M57" s="197"/>
      <c r="N57" s="197"/>
      <c r="O57" s="196"/>
      <c r="P57" s="196"/>
    </row>
    <row r="58" spans="1:16" s="98" customFormat="1" x14ac:dyDescent="0.35">
      <c r="A58" s="84"/>
      <c r="B58" s="85"/>
      <c r="C58" s="85"/>
      <c r="D58" s="85"/>
      <c r="E58" s="85"/>
      <c r="F58" s="85"/>
      <c r="G58" s="85"/>
      <c r="H58" s="85"/>
      <c r="I58" s="85"/>
      <c r="J58" s="85"/>
      <c r="K58" s="85"/>
      <c r="L58" s="197"/>
      <c r="M58" s="197"/>
      <c r="N58" s="197"/>
      <c r="O58" s="196"/>
      <c r="P58" s="196"/>
    </row>
    <row r="59" spans="1:16" s="98" customFormat="1" x14ac:dyDescent="0.35">
      <c r="A59" s="84"/>
      <c r="B59" s="85"/>
      <c r="C59" s="85"/>
      <c r="D59" s="85"/>
      <c r="E59" s="85"/>
      <c r="F59" s="85"/>
      <c r="G59" s="85"/>
      <c r="H59" s="85"/>
      <c r="I59" s="85"/>
      <c r="J59" s="85"/>
      <c r="K59" s="85"/>
      <c r="L59" s="197"/>
      <c r="M59" s="197"/>
      <c r="N59" s="197"/>
      <c r="O59" s="196"/>
      <c r="P59" s="196"/>
    </row>
    <row r="60" spans="1:16" s="98" customFormat="1" x14ac:dyDescent="0.35">
      <c r="A60" s="84"/>
      <c r="B60" s="85"/>
      <c r="C60" s="85"/>
      <c r="D60" s="85"/>
      <c r="E60" s="85"/>
      <c r="F60" s="85"/>
      <c r="G60" s="85"/>
      <c r="H60" s="85"/>
      <c r="I60" s="85"/>
      <c r="J60" s="85"/>
      <c r="K60" s="85"/>
      <c r="L60" s="197"/>
      <c r="M60" s="197"/>
      <c r="N60" s="197"/>
      <c r="O60" s="196"/>
      <c r="P60" s="196"/>
    </row>
    <row r="61" spans="1:16" s="98" customFormat="1" x14ac:dyDescent="0.35">
      <c r="A61" s="84"/>
      <c r="B61" s="85"/>
      <c r="C61" s="85"/>
      <c r="D61" s="85"/>
      <c r="E61" s="85"/>
      <c r="F61" s="85"/>
      <c r="G61" s="85"/>
      <c r="H61" s="85"/>
      <c r="I61" s="85"/>
      <c r="J61" s="85"/>
      <c r="K61" s="85"/>
      <c r="L61" s="197"/>
      <c r="M61" s="197"/>
      <c r="N61" s="197"/>
      <c r="O61" s="196"/>
      <c r="P61" s="196"/>
    </row>
    <row r="62" spans="1:16" s="98" customFormat="1" x14ac:dyDescent="0.35">
      <c r="A62" s="84"/>
      <c r="B62" s="85"/>
      <c r="C62" s="85"/>
      <c r="D62" s="85"/>
      <c r="E62" s="85"/>
      <c r="F62" s="85"/>
      <c r="G62" s="85"/>
      <c r="H62" s="85"/>
      <c r="I62" s="85"/>
      <c r="J62" s="85"/>
      <c r="K62" s="85"/>
      <c r="L62" s="197"/>
      <c r="M62" s="197"/>
      <c r="N62" s="197"/>
      <c r="O62" s="196"/>
      <c r="P62" s="196"/>
    </row>
    <row r="63" spans="1:16" s="98" customFormat="1" x14ac:dyDescent="0.35">
      <c r="A63" s="84"/>
      <c r="B63" s="85"/>
      <c r="C63" s="85"/>
      <c r="D63" s="85"/>
      <c r="E63" s="85"/>
      <c r="F63" s="85"/>
      <c r="G63" s="85"/>
      <c r="H63" s="85"/>
      <c r="I63" s="85"/>
      <c r="J63" s="85"/>
      <c r="K63" s="85"/>
      <c r="L63" s="197"/>
      <c r="M63" s="197"/>
      <c r="N63" s="197"/>
      <c r="O63" s="196"/>
      <c r="P63" s="196"/>
    </row>
    <row r="64" spans="1:16" s="98" customFormat="1" x14ac:dyDescent="0.35">
      <c r="A64" s="84"/>
      <c r="B64" s="85"/>
      <c r="C64" s="85"/>
      <c r="D64" s="85"/>
      <c r="E64" s="85"/>
      <c r="F64" s="85"/>
      <c r="G64" s="85"/>
      <c r="H64" s="85"/>
      <c r="I64" s="85"/>
      <c r="J64" s="85"/>
      <c r="K64" s="85"/>
      <c r="L64" s="197"/>
      <c r="M64" s="197"/>
      <c r="N64" s="197"/>
      <c r="O64" s="196"/>
      <c r="P64" s="196"/>
    </row>
    <row r="65" spans="1:16" s="98" customFormat="1" x14ac:dyDescent="0.35">
      <c r="A65" s="84"/>
      <c r="B65" s="85"/>
      <c r="C65" s="85"/>
      <c r="D65" s="85"/>
      <c r="E65" s="85"/>
      <c r="F65" s="85"/>
      <c r="G65" s="85"/>
      <c r="H65" s="85"/>
      <c r="I65" s="85"/>
      <c r="J65" s="85"/>
      <c r="K65" s="85"/>
      <c r="L65" s="197"/>
      <c r="M65" s="197"/>
      <c r="N65" s="197"/>
      <c r="O65" s="196"/>
      <c r="P65" s="196"/>
    </row>
    <row r="66" spans="1:16" s="98" customFormat="1" x14ac:dyDescent="0.35">
      <c r="A66" s="84"/>
      <c r="B66" s="85"/>
      <c r="C66" s="85"/>
      <c r="D66" s="85"/>
      <c r="E66" s="85"/>
      <c r="F66" s="85"/>
      <c r="G66" s="85"/>
      <c r="H66" s="85"/>
      <c r="I66" s="85"/>
      <c r="J66" s="85"/>
      <c r="K66" s="85"/>
      <c r="L66" s="197"/>
      <c r="M66" s="197"/>
      <c r="N66" s="197"/>
      <c r="O66" s="196"/>
      <c r="P66" s="196"/>
    </row>
    <row r="67" spans="1:16" s="98" customFormat="1" x14ac:dyDescent="0.35">
      <c r="A67" s="84"/>
      <c r="B67" s="85"/>
      <c r="C67" s="85"/>
      <c r="D67" s="85"/>
      <c r="E67" s="85"/>
      <c r="F67" s="85"/>
      <c r="G67" s="85"/>
      <c r="H67" s="85"/>
      <c r="I67" s="85"/>
      <c r="J67" s="85"/>
      <c r="K67" s="85"/>
      <c r="L67" s="197"/>
      <c r="M67" s="197"/>
      <c r="N67" s="197"/>
      <c r="O67" s="196"/>
      <c r="P67" s="196"/>
    </row>
    <row r="68" spans="1:16" s="98" customFormat="1" x14ac:dyDescent="0.35">
      <c r="A68" s="84"/>
      <c r="B68" s="85"/>
      <c r="C68" s="85"/>
      <c r="D68" s="85"/>
      <c r="E68" s="85"/>
      <c r="F68" s="85"/>
      <c r="G68" s="85"/>
      <c r="H68" s="85"/>
      <c r="I68" s="85"/>
      <c r="J68" s="85"/>
      <c r="K68" s="85"/>
      <c r="L68" s="197"/>
      <c r="M68" s="197"/>
      <c r="N68" s="197"/>
      <c r="O68" s="196"/>
      <c r="P68" s="196"/>
    </row>
    <row r="69" spans="1:16" s="98" customFormat="1" x14ac:dyDescent="0.35">
      <c r="A69" s="84"/>
      <c r="B69" s="85"/>
      <c r="C69" s="85"/>
      <c r="D69" s="85"/>
      <c r="E69" s="85"/>
      <c r="F69" s="85"/>
      <c r="G69" s="85"/>
      <c r="H69" s="85"/>
      <c r="I69" s="85"/>
      <c r="J69" s="85"/>
      <c r="K69" s="85"/>
      <c r="L69" s="197"/>
      <c r="M69" s="197"/>
      <c r="N69" s="197"/>
      <c r="O69" s="196"/>
      <c r="P69" s="196"/>
    </row>
    <row r="70" spans="1:16" s="98" customFormat="1" x14ac:dyDescent="0.35">
      <c r="A70" s="84"/>
      <c r="B70" s="85"/>
      <c r="C70" s="85"/>
      <c r="D70" s="85"/>
      <c r="E70" s="85"/>
      <c r="F70" s="85"/>
      <c r="G70" s="85"/>
      <c r="H70" s="85"/>
      <c r="I70" s="85"/>
      <c r="J70" s="85"/>
      <c r="K70" s="85"/>
      <c r="L70" s="197"/>
      <c r="M70" s="197"/>
      <c r="N70" s="197"/>
      <c r="O70" s="196"/>
      <c r="P70" s="196"/>
    </row>
    <row r="71" spans="1:16" s="98" customFormat="1" x14ac:dyDescent="0.35">
      <c r="A71" s="84"/>
      <c r="B71" s="85"/>
      <c r="C71" s="85"/>
      <c r="D71" s="85"/>
      <c r="E71" s="85"/>
      <c r="F71" s="85"/>
      <c r="G71" s="85"/>
      <c r="H71" s="85"/>
      <c r="I71" s="85"/>
      <c r="J71" s="85"/>
      <c r="K71" s="85"/>
      <c r="L71" s="197"/>
      <c r="M71" s="197"/>
      <c r="N71" s="197"/>
      <c r="O71" s="196"/>
      <c r="P71" s="196"/>
    </row>
    <row r="72" spans="1:16" s="98" customFormat="1" x14ac:dyDescent="0.35">
      <c r="A72" s="84"/>
      <c r="B72" s="85"/>
      <c r="C72" s="85"/>
      <c r="D72" s="85"/>
      <c r="E72" s="85"/>
      <c r="F72" s="85"/>
      <c r="G72" s="85"/>
      <c r="H72" s="85"/>
      <c r="I72" s="85"/>
      <c r="J72" s="85"/>
      <c r="K72" s="85"/>
      <c r="L72" s="197"/>
      <c r="M72" s="197"/>
      <c r="N72" s="197"/>
      <c r="O72" s="196"/>
      <c r="P72" s="196"/>
    </row>
    <row r="73" spans="1:16" s="98" customFormat="1" x14ac:dyDescent="0.35">
      <c r="A73" s="84"/>
      <c r="B73" s="85"/>
      <c r="C73" s="85"/>
      <c r="D73" s="85"/>
      <c r="E73" s="85"/>
      <c r="F73" s="85"/>
      <c r="G73" s="85"/>
      <c r="H73" s="85"/>
      <c r="I73" s="85"/>
      <c r="J73" s="85"/>
      <c r="K73" s="85"/>
      <c r="L73" s="197"/>
      <c r="M73" s="197"/>
      <c r="N73" s="197"/>
      <c r="O73" s="196"/>
      <c r="P73" s="196"/>
    </row>
    <row r="74" spans="1:16" s="98" customFormat="1" x14ac:dyDescent="0.35">
      <c r="A74" s="84"/>
      <c r="B74" s="85"/>
      <c r="C74" s="85"/>
      <c r="D74" s="85"/>
      <c r="E74" s="85"/>
      <c r="F74" s="85"/>
      <c r="G74" s="85"/>
      <c r="H74" s="85"/>
      <c r="I74" s="85"/>
      <c r="J74" s="85"/>
      <c r="K74" s="85"/>
      <c r="L74" s="197"/>
      <c r="M74" s="197"/>
      <c r="N74" s="197"/>
      <c r="O74" s="196"/>
      <c r="P74" s="196"/>
    </row>
    <row r="75" spans="1:16" s="98" customFormat="1" x14ac:dyDescent="0.35">
      <c r="A75" s="84"/>
      <c r="B75" s="85"/>
      <c r="C75" s="85"/>
      <c r="D75" s="85"/>
      <c r="E75" s="85"/>
      <c r="F75" s="85"/>
      <c r="G75" s="85"/>
      <c r="H75" s="85"/>
      <c r="I75" s="85"/>
      <c r="J75" s="85"/>
      <c r="K75" s="85"/>
      <c r="L75" s="197"/>
      <c r="M75" s="197"/>
      <c r="N75" s="197"/>
      <c r="O75" s="196"/>
      <c r="P75" s="196"/>
    </row>
    <row r="76" spans="1:16" s="98" customFormat="1" x14ac:dyDescent="0.35">
      <c r="A76" s="84"/>
      <c r="B76" s="85"/>
      <c r="C76" s="85"/>
      <c r="D76" s="85"/>
      <c r="E76" s="85"/>
      <c r="F76" s="85"/>
      <c r="G76" s="85"/>
      <c r="H76" s="85"/>
      <c r="I76" s="85"/>
      <c r="J76" s="85"/>
      <c r="K76" s="85"/>
      <c r="L76" s="197"/>
      <c r="M76" s="197"/>
      <c r="N76" s="197"/>
      <c r="O76" s="196"/>
      <c r="P76" s="196"/>
    </row>
    <row r="77" spans="1:16" s="98" customFormat="1" x14ac:dyDescent="0.35">
      <c r="A77" s="84"/>
      <c r="B77" s="85"/>
      <c r="C77" s="85"/>
      <c r="D77" s="85"/>
      <c r="E77" s="85"/>
      <c r="F77" s="85"/>
      <c r="G77" s="85"/>
      <c r="H77" s="85"/>
      <c r="I77" s="85"/>
      <c r="J77" s="85"/>
      <c r="K77" s="85"/>
      <c r="L77" s="197"/>
      <c r="M77" s="197"/>
      <c r="N77" s="197"/>
      <c r="O77" s="196"/>
      <c r="P77" s="196"/>
    </row>
    <row r="78" spans="1:16" s="98" customFormat="1" x14ac:dyDescent="0.35">
      <c r="A78" s="84"/>
      <c r="B78" s="85"/>
      <c r="C78" s="85"/>
      <c r="D78" s="85"/>
      <c r="E78" s="85"/>
      <c r="F78" s="85"/>
      <c r="G78" s="85"/>
      <c r="H78" s="85"/>
      <c r="I78" s="85"/>
      <c r="J78" s="85"/>
      <c r="K78" s="85"/>
      <c r="L78" s="197"/>
      <c r="M78" s="197"/>
      <c r="N78" s="197"/>
      <c r="O78" s="196"/>
      <c r="P78" s="196"/>
    </row>
    <row r="79" spans="1:16" s="98" customFormat="1" x14ac:dyDescent="0.35">
      <c r="A79" s="84"/>
      <c r="B79" s="85"/>
      <c r="C79" s="85"/>
      <c r="D79" s="85"/>
      <c r="E79" s="85"/>
      <c r="F79" s="85"/>
      <c r="G79" s="85"/>
      <c r="H79" s="85"/>
      <c r="I79" s="85"/>
      <c r="J79" s="85"/>
      <c r="K79" s="85"/>
      <c r="L79" s="197"/>
      <c r="M79" s="197"/>
      <c r="N79" s="197"/>
      <c r="O79" s="196"/>
      <c r="P79" s="196"/>
    </row>
    <row r="80" spans="1:16" s="98" customFormat="1" x14ac:dyDescent="0.35">
      <c r="A80" s="84"/>
      <c r="B80" s="85"/>
      <c r="C80" s="85"/>
      <c r="D80" s="85"/>
      <c r="E80" s="85"/>
      <c r="F80" s="85"/>
      <c r="G80" s="85"/>
      <c r="H80" s="85"/>
      <c r="I80" s="85"/>
      <c r="J80" s="85"/>
      <c r="K80" s="85"/>
      <c r="L80" s="197"/>
      <c r="M80" s="197"/>
      <c r="N80" s="197"/>
      <c r="O80" s="196"/>
      <c r="P80" s="196"/>
    </row>
    <row r="81" spans="1:16" s="98" customFormat="1" x14ac:dyDescent="0.35">
      <c r="A81" s="84"/>
      <c r="B81" s="85"/>
      <c r="C81" s="85"/>
      <c r="D81" s="85"/>
      <c r="E81" s="85"/>
      <c r="F81" s="85"/>
      <c r="G81" s="85"/>
      <c r="H81" s="85"/>
      <c r="I81" s="85"/>
      <c r="J81" s="85"/>
      <c r="K81" s="85"/>
      <c r="L81" s="197"/>
      <c r="M81" s="197"/>
      <c r="N81" s="197"/>
      <c r="O81" s="196"/>
      <c r="P81" s="196"/>
    </row>
    <row r="82" spans="1:16" s="98" customFormat="1" x14ac:dyDescent="0.35">
      <c r="A82" s="84"/>
      <c r="B82" s="85"/>
      <c r="C82" s="85"/>
      <c r="D82" s="85"/>
      <c r="E82" s="85"/>
      <c r="F82" s="85"/>
      <c r="G82" s="85"/>
      <c r="H82" s="85"/>
      <c r="I82" s="85"/>
      <c r="J82" s="85"/>
      <c r="K82" s="85"/>
      <c r="L82" s="197"/>
      <c r="M82" s="197"/>
      <c r="N82" s="197"/>
      <c r="O82" s="196"/>
      <c r="P82" s="196"/>
    </row>
    <row r="83" spans="1:16" s="98" customFormat="1" x14ac:dyDescent="0.35">
      <c r="A83" s="84"/>
      <c r="B83" s="85"/>
      <c r="C83" s="85"/>
      <c r="D83" s="85"/>
      <c r="E83" s="85"/>
      <c r="F83" s="85"/>
      <c r="G83" s="85"/>
      <c r="H83" s="85"/>
      <c r="I83" s="85"/>
      <c r="J83" s="85"/>
      <c r="K83" s="85"/>
      <c r="L83" s="197"/>
      <c r="M83" s="197"/>
      <c r="N83" s="197"/>
      <c r="O83" s="196"/>
      <c r="P83" s="196"/>
    </row>
    <row r="84" spans="1:16" s="98" customFormat="1" x14ac:dyDescent="0.35">
      <c r="A84" s="84"/>
      <c r="B84" s="85"/>
      <c r="C84" s="85"/>
      <c r="D84" s="85"/>
      <c r="E84" s="85"/>
      <c r="F84" s="85"/>
      <c r="G84" s="85"/>
      <c r="H84" s="85"/>
      <c r="I84" s="85"/>
      <c r="J84" s="85"/>
      <c r="K84" s="85"/>
      <c r="L84" s="197"/>
      <c r="M84" s="197"/>
      <c r="N84" s="197"/>
      <c r="O84" s="196"/>
      <c r="P84" s="196"/>
    </row>
    <row r="85" spans="1:16" s="98" customFormat="1" x14ac:dyDescent="0.35">
      <c r="A85" s="84"/>
      <c r="B85" s="85"/>
      <c r="C85" s="85"/>
      <c r="D85" s="85"/>
      <c r="E85" s="85"/>
      <c r="F85" s="85"/>
      <c r="G85" s="85"/>
      <c r="H85" s="85"/>
      <c r="I85" s="85"/>
      <c r="J85" s="85"/>
      <c r="K85" s="85"/>
      <c r="L85" s="197"/>
      <c r="M85" s="197"/>
      <c r="N85" s="197"/>
      <c r="O85" s="196"/>
      <c r="P85" s="196"/>
    </row>
    <row r="86" spans="1:16" s="98" customFormat="1" x14ac:dyDescent="0.35">
      <c r="A86" s="84"/>
      <c r="B86" s="85"/>
      <c r="C86" s="85"/>
      <c r="D86" s="85"/>
      <c r="E86" s="85"/>
      <c r="F86" s="85"/>
      <c r="G86" s="85"/>
      <c r="H86" s="85"/>
      <c r="I86" s="85"/>
      <c r="J86" s="85"/>
      <c r="K86" s="85"/>
      <c r="L86" s="197"/>
      <c r="M86" s="197"/>
      <c r="N86" s="197"/>
      <c r="O86" s="196"/>
      <c r="P86" s="196"/>
    </row>
    <row r="87" spans="1:16" s="98" customFormat="1" x14ac:dyDescent="0.35">
      <c r="A87" s="84"/>
      <c r="B87" s="85"/>
      <c r="C87" s="85"/>
      <c r="D87" s="85"/>
      <c r="E87" s="85"/>
      <c r="F87" s="85"/>
      <c r="G87" s="85"/>
      <c r="H87" s="85"/>
      <c r="I87" s="85"/>
      <c r="J87" s="85"/>
      <c r="K87" s="85"/>
      <c r="L87" s="197"/>
      <c r="M87" s="197"/>
      <c r="N87" s="197"/>
      <c r="O87" s="196"/>
      <c r="P87" s="196"/>
    </row>
    <row r="88" spans="1:16" s="98" customFormat="1" x14ac:dyDescent="0.35">
      <c r="A88" s="84"/>
      <c r="B88" s="85"/>
      <c r="C88" s="85"/>
      <c r="D88" s="85"/>
      <c r="E88" s="85"/>
      <c r="F88" s="85"/>
      <c r="G88" s="85"/>
      <c r="H88" s="85"/>
      <c r="I88" s="85"/>
      <c r="J88" s="85"/>
      <c r="K88" s="85"/>
      <c r="L88" s="197"/>
      <c r="M88" s="197"/>
      <c r="N88" s="197"/>
      <c r="O88" s="196"/>
      <c r="P88" s="196"/>
    </row>
    <row r="89" spans="1:16" s="98" customFormat="1" x14ac:dyDescent="0.35">
      <c r="A89" s="84"/>
      <c r="B89" s="85"/>
      <c r="C89" s="85"/>
      <c r="D89" s="85"/>
      <c r="E89" s="85"/>
      <c r="F89" s="85"/>
      <c r="G89" s="85"/>
      <c r="H89" s="85"/>
      <c r="I89" s="85"/>
      <c r="J89" s="85"/>
      <c r="K89" s="85"/>
      <c r="L89" s="197"/>
      <c r="M89" s="197"/>
      <c r="N89" s="197"/>
      <c r="O89" s="196"/>
      <c r="P89" s="196"/>
    </row>
    <row r="90" spans="1:16" s="98" customFormat="1" x14ac:dyDescent="0.35">
      <c r="A90" s="84"/>
      <c r="B90" s="85"/>
      <c r="C90" s="85"/>
      <c r="D90" s="85"/>
      <c r="E90" s="85"/>
      <c r="F90" s="85"/>
      <c r="G90" s="85"/>
      <c r="H90" s="85"/>
      <c r="I90" s="85"/>
      <c r="J90" s="85"/>
      <c r="K90" s="85"/>
      <c r="L90" s="197"/>
      <c r="M90" s="197"/>
      <c r="N90" s="197"/>
      <c r="O90" s="196"/>
      <c r="P90" s="196"/>
    </row>
    <row r="91" spans="1:16" s="98" customFormat="1" x14ac:dyDescent="0.35">
      <c r="A91" s="84"/>
      <c r="B91" s="85"/>
      <c r="C91" s="85"/>
      <c r="D91" s="85"/>
      <c r="E91" s="85"/>
      <c r="F91" s="85"/>
      <c r="G91" s="85"/>
      <c r="H91" s="85"/>
      <c r="I91" s="85"/>
      <c r="J91" s="85"/>
      <c r="K91" s="85"/>
      <c r="L91" s="197"/>
      <c r="M91" s="197"/>
      <c r="N91" s="197"/>
      <c r="O91" s="196"/>
      <c r="P91" s="196"/>
    </row>
    <row r="92" spans="1:16" s="98" customFormat="1" x14ac:dyDescent="0.35">
      <c r="A92" s="84"/>
      <c r="B92" s="85"/>
      <c r="C92" s="85"/>
      <c r="D92" s="85"/>
      <c r="E92" s="85"/>
      <c r="F92" s="85"/>
      <c r="G92" s="85"/>
      <c r="H92" s="85"/>
      <c r="I92" s="85"/>
      <c r="J92" s="85"/>
      <c r="K92" s="85"/>
      <c r="L92" s="197"/>
      <c r="M92" s="197"/>
      <c r="N92" s="197"/>
      <c r="O92" s="196"/>
      <c r="P92" s="196"/>
    </row>
    <row r="93" spans="1:16" s="98" customFormat="1" x14ac:dyDescent="0.35">
      <c r="A93" s="84"/>
      <c r="B93" s="85"/>
      <c r="C93" s="85"/>
      <c r="D93" s="85"/>
      <c r="E93" s="85"/>
      <c r="F93" s="85"/>
      <c r="G93" s="85"/>
      <c r="H93" s="85"/>
      <c r="I93" s="85"/>
      <c r="J93" s="85"/>
      <c r="K93" s="85"/>
      <c r="L93" s="197"/>
      <c r="M93" s="197"/>
      <c r="N93" s="197"/>
      <c r="O93" s="196"/>
      <c r="P93" s="196"/>
    </row>
    <row r="94" spans="1:16" s="98" customFormat="1" x14ac:dyDescent="0.35">
      <c r="A94" s="84"/>
      <c r="B94" s="85"/>
      <c r="C94" s="85"/>
      <c r="D94" s="85"/>
      <c r="E94" s="85"/>
      <c r="F94" s="85"/>
      <c r="G94" s="85"/>
      <c r="H94" s="85"/>
      <c r="I94" s="85"/>
      <c r="J94" s="85"/>
      <c r="K94" s="85"/>
      <c r="L94" s="197"/>
      <c r="M94" s="197"/>
      <c r="N94" s="197"/>
      <c r="O94" s="196"/>
      <c r="P94" s="196"/>
    </row>
    <row r="95" spans="1:16" s="98" customFormat="1" x14ac:dyDescent="0.35">
      <c r="A95" s="199"/>
      <c r="B95" s="200"/>
      <c r="C95" s="200"/>
      <c r="D95" s="200"/>
      <c r="E95" s="200"/>
      <c r="F95" s="200"/>
      <c r="G95" s="200"/>
      <c r="H95" s="200"/>
      <c r="I95" s="200"/>
      <c r="J95" s="200"/>
      <c r="K95" s="200"/>
      <c r="L95" s="201"/>
      <c r="M95" s="201"/>
      <c r="N95" s="201"/>
      <c r="O95" s="199"/>
      <c r="P95" s="199"/>
    </row>
    <row r="96" spans="1:16" s="98" customFormat="1" x14ac:dyDescent="0.35">
      <c r="A96" s="84"/>
      <c r="B96" s="85"/>
      <c r="C96" s="85"/>
      <c r="D96" s="85"/>
      <c r="E96" s="85"/>
      <c r="F96" s="85"/>
      <c r="G96" s="85"/>
      <c r="H96" s="85"/>
      <c r="I96" s="85"/>
      <c r="J96" s="85"/>
      <c r="K96" s="85"/>
      <c r="L96" s="197"/>
      <c r="M96" s="197"/>
      <c r="N96" s="197"/>
      <c r="O96" s="196"/>
      <c r="P96" s="196"/>
    </row>
    <row r="97" spans="1:16" s="98" customFormat="1" x14ac:dyDescent="0.35">
      <c r="A97" s="84"/>
      <c r="B97" s="85"/>
      <c r="C97" s="85"/>
      <c r="D97" s="85"/>
      <c r="E97" s="85"/>
      <c r="F97" s="85"/>
      <c r="G97" s="85"/>
      <c r="H97" s="85"/>
      <c r="I97" s="85"/>
      <c r="J97" s="85"/>
      <c r="K97" s="85"/>
      <c r="L97" s="197"/>
      <c r="M97" s="197"/>
      <c r="N97" s="197"/>
      <c r="O97" s="196"/>
      <c r="P97" s="196"/>
    </row>
    <row r="98" spans="1:16" s="98" customFormat="1" x14ac:dyDescent="0.35">
      <c r="A98" s="84"/>
      <c r="B98" s="85"/>
      <c r="C98" s="85"/>
      <c r="D98" s="85"/>
      <c r="E98" s="85"/>
      <c r="F98" s="85"/>
      <c r="G98" s="85"/>
      <c r="H98" s="85"/>
      <c r="I98" s="85"/>
      <c r="J98" s="85"/>
      <c r="K98" s="85"/>
      <c r="L98" s="197"/>
      <c r="M98" s="197"/>
      <c r="N98" s="197"/>
      <c r="O98" s="196"/>
      <c r="P98" s="196"/>
    </row>
    <row r="99" spans="1:16" s="98" customFormat="1" x14ac:dyDescent="0.35">
      <c r="A99" s="84"/>
      <c r="B99" s="85"/>
      <c r="C99" s="85"/>
      <c r="D99" s="85"/>
      <c r="E99" s="85"/>
      <c r="F99" s="85"/>
      <c r="G99" s="85"/>
      <c r="H99" s="85"/>
      <c r="I99" s="85"/>
      <c r="J99" s="85"/>
      <c r="K99" s="85"/>
      <c r="L99" s="197"/>
      <c r="M99" s="197"/>
      <c r="N99" s="197"/>
      <c r="O99" s="196"/>
      <c r="P99" s="196"/>
    </row>
    <row r="100" spans="1:16" s="98" customFormat="1" x14ac:dyDescent="0.35">
      <c r="A100" s="84"/>
      <c r="B100" s="85"/>
      <c r="C100" s="85"/>
      <c r="D100" s="85"/>
      <c r="E100" s="85"/>
      <c r="F100" s="85"/>
      <c r="G100" s="85"/>
      <c r="H100" s="85"/>
      <c r="I100" s="85"/>
      <c r="J100" s="85"/>
      <c r="K100" s="85"/>
      <c r="L100" s="197"/>
      <c r="M100" s="197"/>
      <c r="N100" s="197"/>
      <c r="O100" s="196"/>
      <c r="P100" s="196"/>
    </row>
    <row r="101" spans="1:16" s="98" customFormat="1" x14ac:dyDescent="0.35">
      <c r="A101" s="84"/>
      <c r="B101" s="85"/>
      <c r="C101" s="85"/>
      <c r="D101" s="85"/>
      <c r="E101" s="85"/>
      <c r="F101" s="85"/>
      <c r="G101" s="85"/>
      <c r="H101" s="85"/>
      <c r="I101" s="85"/>
      <c r="J101" s="85"/>
      <c r="K101" s="85"/>
      <c r="L101" s="197"/>
      <c r="M101" s="197"/>
      <c r="N101" s="197"/>
      <c r="O101" s="196"/>
      <c r="P101" s="196"/>
    </row>
    <row r="102" spans="1:16" s="98" customFormat="1" x14ac:dyDescent="0.35">
      <c r="A102" s="84"/>
      <c r="B102" s="85"/>
      <c r="C102" s="85"/>
      <c r="D102" s="85"/>
      <c r="E102" s="85"/>
      <c r="F102" s="85"/>
      <c r="G102" s="85"/>
      <c r="H102" s="85"/>
      <c r="I102" s="85"/>
      <c r="J102" s="85"/>
      <c r="K102" s="85"/>
      <c r="L102" s="197"/>
      <c r="M102" s="197"/>
      <c r="N102" s="197"/>
      <c r="O102" s="196"/>
      <c r="P102" s="196"/>
    </row>
    <row r="103" spans="1:16" s="98" customFormat="1" x14ac:dyDescent="0.35">
      <c r="A103" s="84"/>
      <c r="B103" s="85"/>
      <c r="C103" s="85"/>
      <c r="D103" s="85"/>
      <c r="E103" s="85"/>
      <c r="F103" s="85"/>
      <c r="G103" s="85"/>
      <c r="H103" s="85"/>
      <c r="I103" s="85"/>
      <c r="J103" s="85"/>
      <c r="K103" s="85"/>
      <c r="L103" s="197"/>
      <c r="M103" s="197"/>
      <c r="N103" s="197"/>
      <c r="O103" s="196"/>
      <c r="P103" s="196"/>
    </row>
    <row r="104" spans="1:16" s="98" customFormat="1" x14ac:dyDescent="0.35">
      <c r="A104" s="84"/>
      <c r="B104" s="85"/>
      <c r="C104" s="85"/>
      <c r="D104" s="85"/>
      <c r="E104" s="85"/>
      <c r="F104" s="85"/>
      <c r="G104" s="85"/>
      <c r="H104" s="85"/>
      <c r="I104" s="85"/>
      <c r="J104" s="85"/>
      <c r="K104" s="85"/>
      <c r="L104" s="197"/>
      <c r="M104" s="197"/>
      <c r="N104" s="197"/>
      <c r="O104" s="196"/>
      <c r="P104" s="196"/>
    </row>
    <row r="105" spans="1:16" s="98" customFormat="1" x14ac:dyDescent="0.35">
      <c r="A105" s="84"/>
      <c r="B105" s="85"/>
      <c r="C105" s="85"/>
      <c r="D105" s="85"/>
      <c r="E105" s="85"/>
      <c r="F105" s="85"/>
      <c r="G105" s="85"/>
      <c r="H105" s="85"/>
      <c r="I105" s="85"/>
      <c r="J105" s="85"/>
      <c r="K105" s="85"/>
      <c r="L105" s="197"/>
      <c r="M105" s="197"/>
      <c r="N105" s="197"/>
      <c r="O105" s="196"/>
      <c r="P105" s="196"/>
    </row>
    <row r="106" spans="1:16" s="98" customFormat="1" x14ac:dyDescent="0.35">
      <c r="A106" s="84"/>
      <c r="B106" s="85"/>
      <c r="C106" s="85"/>
      <c r="D106" s="85"/>
      <c r="E106" s="85"/>
      <c r="F106" s="85"/>
      <c r="G106" s="85"/>
      <c r="H106" s="85"/>
      <c r="I106" s="85"/>
      <c r="J106" s="85"/>
      <c r="K106" s="85"/>
      <c r="L106" s="197"/>
      <c r="M106" s="197"/>
      <c r="N106" s="197"/>
      <c r="O106" s="196"/>
      <c r="P106" s="196"/>
    </row>
    <row r="107" spans="1:16" s="98" customFormat="1" x14ac:dyDescent="0.35">
      <c r="A107" s="84"/>
      <c r="B107" s="85"/>
      <c r="C107" s="85"/>
      <c r="D107" s="85"/>
      <c r="E107" s="85"/>
      <c r="F107" s="85"/>
      <c r="G107" s="85"/>
      <c r="H107" s="85"/>
      <c r="I107" s="85"/>
      <c r="J107" s="85"/>
      <c r="K107" s="85"/>
      <c r="L107" s="197"/>
      <c r="M107" s="197"/>
      <c r="N107" s="197"/>
      <c r="O107" s="196"/>
      <c r="P107" s="196"/>
    </row>
    <row r="108" spans="1:16" s="98" customFormat="1" x14ac:dyDescent="0.35">
      <c r="A108" s="84"/>
      <c r="B108" s="85"/>
      <c r="C108" s="85"/>
      <c r="D108" s="85"/>
      <c r="E108" s="85"/>
      <c r="F108" s="85"/>
      <c r="G108" s="85"/>
      <c r="H108" s="85"/>
      <c r="I108" s="85"/>
      <c r="J108" s="85"/>
      <c r="K108" s="85"/>
      <c r="L108" s="197"/>
      <c r="M108" s="197"/>
      <c r="N108" s="197"/>
      <c r="O108" s="196"/>
      <c r="P108" s="196"/>
    </row>
    <row r="109" spans="1:16" s="98" customFormat="1" x14ac:dyDescent="0.35">
      <c r="A109" s="84"/>
      <c r="B109" s="85"/>
      <c r="C109" s="85"/>
      <c r="D109" s="85"/>
      <c r="E109" s="85"/>
      <c r="F109" s="85"/>
      <c r="G109" s="85"/>
      <c r="H109" s="85"/>
      <c r="I109" s="85"/>
      <c r="J109" s="85"/>
      <c r="K109" s="85"/>
      <c r="L109" s="197"/>
      <c r="M109" s="197"/>
      <c r="N109" s="197"/>
      <c r="O109" s="196"/>
      <c r="P109" s="196"/>
    </row>
    <row r="110" spans="1:16" s="98" customFormat="1" x14ac:dyDescent="0.35">
      <c r="A110" s="84"/>
      <c r="B110" s="85"/>
      <c r="C110" s="85"/>
      <c r="D110" s="85"/>
      <c r="E110" s="85"/>
      <c r="F110" s="85"/>
      <c r="G110" s="85"/>
      <c r="H110" s="85"/>
      <c r="I110" s="85"/>
      <c r="J110" s="85"/>
      <c r="K110" s="85"/>
      <c r="L110" s="197"/>
      <c r="M110" s="197"/>
      <c r="N110" s="197"/>
      <c r="O110" s="196"/>
      <c r="P110" s="196"/>
    </row>
    <row r="111" spans="1:16" s="98" customFormat="1" x14ac:dyDescent="0.35">
      <c r="A111" s="84"/>
      <c r="B111" s="85"/>
      <c r="C111" s="85"/>
      <c r="D111" s="85"/>
      <c r="E111" s="85"/>
      <c r="F111" s="85"/>
      <c r="G111" s="85"/>
      <c r="H111" s="85"/>
      <c r="I111" s="85"/>
      <c r="J111" s="85"/>
      <c r="K111" s="85"/>
      <c r="L111" s="197"/>
      <c r="M111" s="197"/>
      <c r="N111" s="197"/>
      <c r="O111" s="196"/>
      <c r="P111" s="196"/>
    </row>
    <row r="112" spans="1:16" s="98" customFormat="1" x14ac:dyDescent="0.35">
      <c r="A112" s="84"/>
      <c r="B112" s="85"/>
      <c r="C112" s="85"/>
      <c r="D112" s="85"/>
      <c r="E112" s="85"/>
      <c r="F112" s="85"/>
      <c r="G112" s="85"/>
      <c r="H112" s="85"/>
      <c r="I112" s="85"/>
      <c r="J112" s="85"/>
      <c r="K112" s="85"/>
      <c r="L112" s="197"/>
      <c r="M112" s="197"/>
      <c r="N112" s="197"/>
      <c r="O112" s="196"/>
      <c r="P112" s="196"/>
    </row>
    <row r="113" spans="1:16" s="98" customFormat="1" x14ac:dyDescent="0.35">
      <c r="A113" s="84"/>
      <c r="B113" s="85"/>
      <c r="C113" s="85"/>
      <c r="D113" s="85"/>
      <c r="E113" s="85"/>
      <c r="F113" s="85"/>
      <c r="G113" s="85"/>
      <c r="H113" s="85"/>
      <c r="I113" s="85"/>
      <c r="J113" s="85"/>
      <c r="K113" s="85"/>
      <c r="L113" s="197"/>
      <c r="M113" s="197"/>
      <c r="N113" s="197"/>
      <c r="O113" s="196"/>
      <c r="P113" s="196"/>
    </row>
    <row r="114" spans="1:16" s="98" customFormat="1" x14ac:dyDescent="0.35">
      <c r="A114" s="84"/>
      <c r="B114" s="85"/>
      <c r="C114" s="85"/>
      <c r="D114" s="85"/>
      <c r="E114" s="85"/>
      <c r="F114" s="85"/>
      <c r="G114" s="85"/>
      <c r="H114" s="85"/>
      <c r="I114" s="85"/>
      <c r="J114" s="85"/>
      <c r="K114" s="85"/>
      <c r="L114" s="197"/>
      <c r="M114" s="197"/>
      <c r="N114" s="197"/>
      <c r="O114" s="196"/>
      <c r="P114" s="196"/>
    </row>
    <row r="115" spans="1:16" s="98" customFormat="1" x14ac:dyDescent="0.35">
      <c r="A115" s="199"/>
      <c r="B115" s="200"/>
      <c r="C115" s="200"/>
      <c r="D115" s="200"/>
      <c r="E115" s="200"/>
      <c r="F115" s="200"/>
      <c r="G115" s="200"/>
      <c r="H115" s="200"/>
      <c r="I115" s="200"/>
      <c r="J115" s="200"/>
      <c r="K115" s="200"/>
      <c r="L115" s="201"/>
      <c r="M115" s="201"/>
      <c r="N115" s="201"/>
      <c r="O115" s="199"/>
      <c r="P115" s="199"/>
    </row>
    <row r="116" spans="1:16" s="98" customFormat="1" x14ac:dyDescent="0.35">
      <c r="A116" s="84"/>
      <c r="B116" s="85"/>
      <c r="C116" s="85"/>
      <c r="D116" s="85"/>
      <c r="E116" s="85"/>
      <c r="F116" s="85"/>
      <c r="G116" s="85"/>
      <c r="H116" s="85"/>
      <c r="I116" s="85"/>
      <c r="J116" s="85"/>
      <c r="K116" s="85"/>
      <c r="L116" s="197"/>
      <c r="M116" s="197"/>
      <c r="N116" s="197"/>
      <c r="O116" s="196"/>
      <c r="P116" s="196"/>
    </row>
    <row r="117" spans="1:16" s="98" customFormat="1" x14ac:dyDescent="0.35">
      <c r="A117" s="84"/>
      <c r="B117" s="85"/>
      <c r="C117" s="85"/>
      <c r="D117" s="85"/>
      <c r="E117" s="85"/>
      <c r="F117" s="85"/>
      <c r="G117" s="85"/>
      <c r="H117" s="85"/>
      <c r="I117" s="85"/>
      <c r="J117" s="85"/>
      <c r="K117" s="85"/>
      <c r="L117" s="197"/>
      <c r="M117" s="197"/>
      <c r="N117" s="197"/>
      <c r="O117" s="196"/>
      <c r="P117" s="196"/>
    </row>
    <row r="118" spans="1:16" s="98" customFormat="1" x14ac:dyDescent="0.35">
      <c r="A118" s="84"/>
      <c r="B118" s="85"/>
      <c r="C118" s="85"/>
      <c r="D118" s="85"/>
      <c r="E118" s="85"/>
      <c r="F118" s="85"/>
      <c r="G118" s="85"/>
      <c r="H118" s="85"/>
      <c r="I118" s="85"/>
      <c r="J118" s="85"/>
      <c r="K118" s="85"/>
      <c r="L118" s="197"/>
      <c r="M118" s="197"/>
      <c r="N118" s="197"/>
      <c r="O118" s="196"/>
      <c r="P118" s="196"/>
    </row>
    <row r="119" spans="1:16" s="98" customFormat="1" x14ac:dyDescent="0.35">
      <c r="A119" s="84"/>
      <c r="B119" s="85"/>
      <c r="C119" s="85"/>
      <c r="D119" s="85"/>
      <c r="E119" s="85"/>
      <c r="F119" s="85"/>
      <c r="G119" s="85"/>
      <c r="H119" s="85"/>
      <c r="I119" s="85"/>
      <c r="J119" s="85"/>
      <c r="K119" s="85"/>
      <c r="L119" s="197"/>
      <c r="M119" s="197"/>
      <c r="N119" s="197"/>
      <c r="O119" s="196"/>
      <c r="P119" s="196"/>
    </row>
    <row r="120" spans="1:16" s="98" customFormat="1" x14ac:dyDescent="0.35">
      <c r="A120" s="84"/>
      <c r="B120" s="85"/>
      <c r="C120" s="85"/>
      <c r="D120" s="85"/>
      <c r="E120" s="85"/>
      <c r="F120" s="85"/>
      <c r="G120" s="85"/>
      <c r="H120" s="85"/>
      <c r="I120" s="85"/>
      <c r="J120" s="85"/>
      <c r="K120" s="85"/>
      <c r="L120" s="197"/>
      <c r="M120" s="197"/>
      <c r="N120" s="197"/>
      <c r="O120" s="196"/>
      <c r="P120" s="196"/>
    </row>
    <row r="121" spans="1:16" s="98" customFormat="1" x14ac:dyDescent="0.35">
      <c r="A121" s="84"/>
      <c r="B121" s="85"/>
      <c r="C121" s="85"/>
      <c r="D121" s="85"/>
      <c r="E121" s="85"/>
      <c r="F121" s="85"/>
      <c r="G121" s="85"/>
      <c r="H121" s="85"/>
      <c r="I121" s="85"/>
      <c r="J121" s="85"/>
      <c r="K121" s="85"/>
      <c r="L121" s="197"/>
      <c r="M121" s="197"/>
      <c r="N121" s="197"/>
      <c r="O121" s="196"/>
      <c r="P121" s="196"/>
    </row>
    <row r="122" spans="1:16" s="98" customFormat="1" x14ac:dyDescent="0.35">
      <c r="A122" s="84"/>
      <c r="B122" s="85"/>
      <c r="C122" s="85"/>
      <c r="D122" s="85"/>
      <c r="E122" s="85"/>
      <c r="F122" s="85"/>
      <c r="G122" s="85"/>
      <c r="H122" s="85"/>
      <c r="I122" s="85"/>
      <c r="J122" s="85"/>
      <c r="K122" s="85"/>
      <c r="L122" s="197"/>
      <c r="M122" s="197"/>
      <c r="N122" s="197"/>
      <c r="O122" s="196"/>
      <c r="P122" s="196"/>
    </row>
    <row r="123" spans="1:16" s="98" customFormat="1" x14ac:dyDescent="0.35">
      <c r="A123" s="84"/>
      <c r="B123" s="85"/>
      <c r="C123" s="85"/>
      <c r="D123" s="85"/>
      <c r="E123" s="85"/>
      <c r="F123" s="85"/>
      <c r="G123" s="85"/>
      <c r="H123" s="85"/>
      <c r="I123" s="85"/>
      <c r="J123" s="85"/>
      <c r="K123" s="85"/>
      <c r="L123" s="197"/>
      <c r="M123" s="197"/>
      <c r="N123" s="197"/>
      <c r="O123" s="196"/>
      <c r="P123" s="196"/>
    </row>
    <row r="124" spans="1:16" s="98" customFormat="1" x14ac:dyDescent="0.35">
      <c r="A124" s="84"/>
      <c r="B124" s="85"/>
      <c r="C124" s="85"/>
      <c r="D124" s="85"/>
      <c r="E124" s="85"/>
      <c r="F124" s="85"/>
      <c r="G124" s="85"/>
      <c r="H124" s="85"/>
      <c r="I124" s="85"/>
      <c r="J124" s="85"/>
      <c r="K124" s="85"/>
      <c r="L124" s="197"/>
      <c r="M124" s="197"/>
      <c r="N124" s="197"/>
      <c r="O124" s="196"/>
      <c r="P124" s="196"/>
    </row>
    <row r="125" spans="1:16" s="98" customFormat="1" x14ac:dyDescent="0.35">
      <c r="A125" s="84"/>
      <c r="B125" s="85"/>
      <c r="C125" s="85"/>
      <c r="D125" s="85"/>
      <c r="E125" s="85"/>
      <c r="F125" s="85"/>
      <c r="G125" s="85"/>
      <c r="H125" s="85"/>
      <c r="I125" s="85"/>
      <c r="J125" s="85"/>
      <c r="K125" s="85"/>
      <c r="L125" s="197"/>
      <c r="M125" s="197"/>
      <c r="N125" s="197"/>
      <c r="O125" s="196"/>
      <c r="P125" s="196"/>
    </row>
    <row r="126" spans="1:16" s="98" customFormat="1" x14ac:dyDescent="0.35">
      <c r="A126" s="84"/>
      <c r="B126" s="85"/>
      <c r="C126" s="85"/>
      <c r="D126" s="85"/>
      <c r="E126" s="85"/>
      <c r="F126" s="85"/>
      <c r="G126" s="85"/>
      <c r="H126" s="85"/>
      <c r="I126" s="85"/>
      <c r="J126" s="85"/>
      <c r="K126" s="85"/>
      <c r="L126" s="197"/>
      <c r="M126" s="197"/>
      <c r="N126" s="197"/>
      <c r="O126" s="196"/>
      <c r="P126" s="196"/>
    </row>
    <row r="127" spans="1:16" s="98" customFormat="1" x14ac:dyDescent="0.35">
      <c r="A127" s="84"/>
      <c r="B127" s="85"/>
      <c r="C127" s="85"/>
      <c r="D127" s="85"/>
      <c r="E127" s="85"/>
      <c r="F127" s="85"/>
      <c r="G127" s="85"/>
      <c r="H127" s="85"/>
      <c r="I127" s="85"/>
      <c r="J127" s="85"/>
      <c r="K127" s="85"/>
      <c r="L127" s="197"/>
      <c r="M127" s="197"/>
      <c r="N127" s="197"/>
      <c r="O127" s="196"/>
      <c r="P127" s="196"/>
    </row>
    <row r="128" spans="1:16" s="98" customFormat="1" x14ac:dyDescent="0.35">
      <c r="A128" s="84"/>
      <c r="B128" s="85"/>
      <c r="C128" s="85"/>
      <c r="D128" s="85"/>
      <c r="E128" s="85"/>
      <c r="F128" s="85"/>
      <c r="G128" s="85"/>
      <c r="H128" s="85"/>
      <c r="I128" s="85"/>
      <c r="J128" s="85"/>
      <c r="K128" s="85"/>
      <c r="L128" s="197"/>
      <c r="M128" s="197"/>
      <c r="N128" s="197"/>
      <c r="O128" s="196"/>
      <c r="P128" s="196"/>
    </row>
    <row r="129" spans="1:16" s="98" customFormat="1" x14ac:dyDescent="0.35">
      <c r="A129" s="84"/>
      <c r="B129" s="85"/>
      <c r="C129" s="85"/>
      <c r="D129" s="85"/>
      <c r="E129" s="85"/>
      <c r="F129" s="85"/>
      <c r="G129" s="85"/>
      <c r="H129" s="85"/>
      <c r="I129" s="85"/>
      <c r="J129" s="85"/>
      <c r="K129" s="85"/>
      <c r="L129" s="197"/>
      <c r="M129" s="197"/>
      <c r="N129" s="197"/>
      <c r="O129" s="196"/>
      <c r="P129" s="196"/>
    </row>
    <row r="130" spans="1:16" s="98" customFormat="1" x14ac:dyDescent="0.35">
      <c r="A130" s="84"/>
      <c r="B130" s="85"/>
      <c r="C130" s="85"/>
      <c r="D130" s="85"/>
      <c r="E130" s="85"/>
      <c r="F130" s="85"/>
      <c r="G130" s="85"/>
      <c r="H130" s="85"/>
      <c r="I130" s="85"/>
      <c r="J130" s="85"/>
      <c r="K130" s="85"/>
      <c r="L130" s="197"/>
      <c r="M130" s="197"/>
      <c r="N130" s="197"/>
      <c r="O130" s="196"/>
      <c r="P130" s="196"/>
    </row>
    <row r="131" spans="1:16" s="98" customFormat="1" x14ac:dyDescent="0.35">
      <c r="A131" s="84"/>
      <c r="B131" s="85"/>
      <c r="C131" s="85"/>
      <c r="D131" s="85"/>
      <c r="E131" s="85"/>
      <c r="F131" s="85"/>
      <c r="G131" s="85"/>
      <c r="H131" s="85"/>
      <c r="I131" s="85"/>
      <c r="J131" s="85"/>
      <c r="K131" s="85"/>
      <c r="L131" s="197"/>
      <c r="M131" s="197"/>
      <c r="N131" s="197"/>
      <c r="O131" s="196"/>
      <c r="P131" s="196"/>
    </row>
    <row r="132" spans="1:16" s="98" customFormat="1" x14ac:dyDescent="0.35">
      <c r="A132" s="84"/>
      <c r="B132" s="85"/>
      <c r="C132" s="85"/>
      <c r="D132" s="85"/>
      <c r="E132" s="85"/>
      <c r="F132" s="85"/>
      <c r="G132" s="85"/>
      <c r="H132" s="85"/>
      <c r="I132" s="85"/>
      <c r="J132" s="85"/>
      <c r="K132" s="85"/>
      <c r="L132" s="197"/>
      <c r="M132" s="197"/>
      <c r="N132" s="197"/>
      <c r="O132" s="196"/>
      <c r="P132" s="196"/>
    </row>
    <row r="133" spans="1:16" s="98" customFormat="1" x14ac:dyDescent="0.35">
      <c r="A133" s="84"/>
      <c r="B133" s="85"/>
      <c r="C133" s="85"/>
      <c r="D133" s="85"/>
      <c r="E133" s="85"/>
      <c r="F133" s="85"/>
      <c r="G133" s="85"/>
      <c r="H133" s="85"/>
      <c r="I133" s="85"/>
      <c r="J133" s="85"/>
      <c r="K133" s="85"/>
      <c r="L133" s="197"/>
      <c r="M133" s="197"/>
      <c r="N133" s="197"/>
      <c r="O133" s="196"/>
      <c r="P133" s="196"/>
    </row>
    <row r="134" spans="1:16" s="98" customFormat="1" x14ac:dyDescent="0.35">
      <c r="A134" s="84"/>
      <c r="B134" s="85"/>
      <c r="C134" s="85"/>
      <c r="D134" s="85"/>
      <c r="E134" s="85"/>
      <c r="F134" s="85"/>
      <c r="G134" s="85"/>
      <c r="H134" s="85"/>
      <c r="I134" s="85"/>
      <c r="J134" s="85"/>
      <c r="K134" s="85"/>
      <c r="L134" s="197"/>
      <c r="M134" s="197"/>
      <c r="N134" s="197"/>
      <c r="O134" s="196"/>
      <c r="P134" s="196"/>
    </row>
    <row r="135" spans="1:16" s="98" customFormat="1" x14ac:dyDescent="0.35">
      <c r="A135" s="84"/>
      <c r="B135" s="85"/>
      <c r="C135" s="85"/>
      <c r="D135" s="85"/>
      <c r="E135" s="85"/>
      <c r="F135" s="85"/>
      <c r="G135" s="85"/>
      <c r="H135" s="85"/>
      <c r="I135" s="85"/>
      <c r="J135" s="85"/>
      <c r="K135" s="85"/>
      <c r="L135" s="197"/>
      <c r="M135" s="197"/>
      <c r="N135" s="197"/>
      <c r="O135" s="196"/>
      <c r="P135" s="196"/>
    </row>
    <row r="136" spans="1:16" s="98" customFormat="1" x14ac:dyDescent="0.35">
      <c r="A136" s="199"/>
      <c r="B136" s="200"/>
      <c r="C136" s="200"/>
      <c r="D136" s="200"/>
      <c r="E136" s="200"/>
      <c r="F136" s="200"/>
      <c r="G136" s="200"/>
      <c r="H136" s="200"/>
      <c r="I136" s="200"/>
      <c r="J136" s="200"/>
      <c r="K136" s="200"/>
      <c r="L136" s="201"/>
      <c r="M136" s="201"/>
      <c r="N136" s="201"/>
      <c r="O136" s="199"/>
      <c r="P136" s="199"/>
    </row>
    <row r="137" spans="1:16" s="98" customFormat="1" x14ac:dyDescent="0.35">
      <c r="A137" s="84"/>
      <c r="B137" s="85"/>
      <c r="C137" s="85"/>
      <c r="D137" s="85"/>
      <c r="E137" s="85"/>
      <c r="F137" s="85"/>
      <c r="G137" s="85"/>
      <c r="H137" s="85"/>
      <c r="I137" s="85"/>
      <c r="J137" s="85"/>
      <c r="K137" s="85"/>
      <c r="L137" s="197"/>
      <c r="M137" s="197"/>
      <c r="N137" s="197"/>
      <c r="O137" s="196"/>
      <c r="P137" s="196"/>
    </row>
    <row r="138" spans="1:16" s="98" customFormat="1" x14ac:dyDescent="0.35">
      <c r="A138" s="84"/>
      <c r="B138" s="85"/>
      <c r="C138" s="85"/>
      <c r="D138" s="85"/>
      <c r="E138" s="85"/>
      <c r="F138" s="85"/>
      <c r="G138" s="85"/>
      <c r="H138" s="85"/>
      <c r="I138" s="85"/>
      <c r="J138" s="85"/>
      <c r="K138" s="85"/>
      <c r="L138" s="197"/>
      <c r="M138" s="197"/>
      <c r="N138" s="197"/>
      <c r="O138" s="196"/>
      <c r="P138" s="196"/>
    </row>
    <row r="139" spans="1:16" s="98" customFormat="1" x14ac:dyDescent="0.35">
      <c r="A139" s="84"/>
      <c r="B139" s="85"/>
      <c r="C139" s="85"/>
      <c r="D139" s="85"/>
      <c r="E139" s="85"/>
      <c r="F139" s="85"/>
      <c r="G139" s="85"/>
      <c r="H139" s="85"/>
      <c r="I139" s="85"/>
      <c r="J139" s="85"/>
      <c r="K139" s="85"/>
      <c r="L139" s="197"/>
      <c r="M139" s="197"/>
      <c r="N139" s="197"/>
      <c r="O139" s="196"/>
      <c r="P139" s="196"/>
    </row>
    <row r="140" spans="1:16" s="98" customFormat="1" x14ac:dyDescent="0.35">
      <c r="A140" s="84"/>
      <c r="B140" s="85"/>
      <c r="C140" s="85"/>
      <c r="D140" s="85"/>
      <c r="E140" s="85"/>
      <c r="F140" s="85"/>
      <c r="G140" s="85"/>
      <c r="H140" s="85"/>
      <c r="I140" s="85"/>
      <c r="J140" s="85"/>
      <c r="K140" s="85"/>
      <c r="L140" s="197"/>
      <c r="M140" s="197"/>
      <c r="N140" s="197"/>
      <c r="O140" s="196"/>
      <c r="P140" s="196"/>
    </row>
    <row r="141" spans="1:16" s="98" customFormat="1" x14ac:dyDescent="0.35">
      <c r="A141" s="84"/>
      <c r="B141" s="85"/>
      <c r="C141" s="85"/>
      <c r="D141" s="85"/>
      <c r="E141" s="85"/>
      <c r="F141" s="85"/>
      <c r="G141" s="85"/>
      <c r="H141" s="85"/>
      <c r="I141" s="85"/>
      <c r="J141" s="85"/>
      <c r="K141" s="85"/>
      <c r="L141" s="197"/>
      <c r="M141" s="197"/>
      <c r="N141" s="197"/>
      <c r="O141" s="196"/>
      <c r="P141" s="196"/>
    </row>
    <row r="142" spans="1:16" s="98" customFormat="1" x14ac:dyDescent="0.35">
      <c r="A142" s="84"/>
      <c r="B142" s="85"/>
      <c r="C142" s="85"/>
      <c r="D142" s="85"/>
      <c r="E142" s="85"/>
      <c r="F142" s="85"/>
      <c r="G142" s="85"/>
      <c r="H142" s="85"/>
      <c r="I142" s="85"/>
      <c r="J142" s="85"/>
      <c r="K142" s="85"/>
      <c r="L142" s="197"/>
      <c r="M142" s="197"/>
      <c r="N142" s="197"/>
      <c r="O142" s="196"/>
      <c r="P142" s="196"/>
    </row>
    <row r="143" spans="1:16" s="98" customFormat="1" x14ac:dyDescent="0.35">
      <c r="A143" s="84"/>
      <c r="B143" s="85"/>
      <c r="C143" s="85"/>
      <c r="D143" s="85"/>
      <c r="E143" s="85"/>
      <c r="F143" s="85"/>
      <c r="G143" s="85"/>
      <c r="H143" s="85"/>
      <c r="I143" s="85"/>
      <c r="J143" s="85"/>
      <c r="K143" s="85"/>
      <c r="L143" s="197"/>
      <c r="M143" s="197"/>
      <c r="N143" s="197"/>
      <c r="O143" s="196"/>
      <c r="P143" s="196"/>
    </row>
    <row r="144" spans="1:16" s="98" customFormat="1" x14ac:dyDescent="0.35">
      <c r="A144" s="84"/>
      <c r="B144" s="85"/>
      <c r="C144" s="85"/>
      <c r="D144" s="85"/>
      <c r="E144" s="85"/>
      <c r="F144" s="85"/>
      <c r="G144" s="85"/>
      <c r="H144" s="85"/>
      <c r="I144" s="85"/>
      <c r="J144" s="85"/>
      <c r="K144" s="85"/>
      <c r="L144" s="197"/>
      <c r="M144" s="197"/>
      <c r="N144" s="197"/>
      <c r="O144" s="196"/>
      <c r="P144" s="196"/>
    </row>
    <row r="145" spans="1:16" s="98" customFormat="1" x14ac:dyDescent="0.35">
      <c r="A145" s="84"/>
      <c r="B145" s="85"/>
      <c r="C145" s="85"/>
      <c r="D145" s="85"/>
      <c r="E145" s="85"/>
      <c r="F145" s="85"/>
      <c r="G145" s="85"/>
      <c r="H145" s="85"/>
      <c r="I145" s="85"/>
      <c r="J145" s="85"/>
      <c r="K145" s="85"/>
      <c r="L145" s="197"/>
      <c r="M145" s="197"/>
      <c r="N145" s="197"/>
      <c r="O145" s="196"/>
      <c r="P145" s="196"/>
    </row>
    <row r="146" spans="1:16" s="98" customFormat="1" x14ac:dyDescent="0.35">
      <c r="A146" s="84"/>
      <c r="B146" s="85"/>
      <c r="C146" s="85"/>
      <c r="D146" s="85"/>
      <c r="E146" s="85"/>
      <c r="F146" s="85"/>
      <c r="G146" s="85"/>
      <c r="H146" s="85"/>
      <c r="I146" s="85"/>
      <c r="J146" s="85"/>
      <c r="K146" s="85"/>
      <c r="L146" s="197"/>
      <c r="M146" s="197"/>
      <c r="N146" s="197"/>
      <c r="O146" s="196"/>
      <c r="P146" s="196"/>
    </row>
    <row r="147" spans="1:16" s="98" customFormat="1" x14ac:dyDescent="0.35">
      <c r="A147" s="84"/>
      <c r="B147" s="85"/>
      <c r="C147" s="85"/>
      <c r="D147" s="85"/>
      <c r="E147" s="85"/>
      <c r="F147" s="85"/>
      <c r="G147" s="85"/>
      <c r="H147" s="85"/>
      <c r="I147" s="85"/>
      <c r="J147" s="85"/>
      <c r="K147" s="85"/>
      <c r="L147" s="197"/>
      <c r="M147" s="197"/>
      <c r="N147" s="197"/>
      <c r="O147" s="196"/>
      <c r="P147" s="196"/>
    </row>
    <row r="148" spans="1:16" s="98" customFormat="1" x14ac:dyDescent="0.35">
      <c r="A148" s="84"/>
      <c r="B148" s="85"/>
      <c r="C148" s="85"/>
      <c r="D148" s="85"/>
      <c r="E148" s="85"/>
      <c r="F148" s="85"/>
      <c r="G148" s="85"/>
      <c r="H148" s="85"/>
      <c r="I148" s="85"/>
      <c r="J148" s="85"/>
      <c r="K148" s="85"/>
      <c r="L148" s="197"/>
      <c r="M148" s="197"/>
      <c r="N148" s="197"/>
      <c r="O148" s="196"/>
      <c r="P148" s="196"/>
    </row>
    <row r="149" spans="1:16" s="98" customFormat="1" x14ac:dyDescent="0.35">
      <c r="A149" s="84"/>
      <c r="B149" s="85"/>
      <c r="C149" s="85"/>
      <c r="D149" s="85"/>
      <c r="E149" s="85"/>
      <c r="F149" s="85"/>
      <c r="G149" s="85"/>
      <c r="H149" s="85"/>
      <c r="I149" s="85"/>
      <c r="J149" s="85"/>
      <c r="K149" s="85"/>
      <c r="L149" s="197"/>
      <c r="M149" s="197"/>
      <c r="N149" s="197"/>
      <c r="O149" s="196"/>
      <c r="P149" s="196"/>
    </row>
    <row r="150" spans="1:16" s="98" customFormat="1" x14ac:dyDescent="0.35">
      <c r="A150" s="84"/>
      <c r="B150" s="85"/>
      <c r="C150" s="85"/>
      <c r="D150" s="85"/>
      <c r="E150" s="85"/>
      <c r="F150" s="85"/>
      <c r="G150" s="85"/>
      <c r="H150" s="85"/>
      <c r="I150" s="85"/>
      <c r="J150" s="85"/>
      <c r="K150" s="85"/>
      <c r="L150" s="197"/>
      <c r="M150" s="197"/>
      <c r="N150" s="197"/>
      <c r="O150" s="196"/>
      <c r="P150" s="196"/>
    </row>
    <row r="151" spans="1:16" s="98" customFormat="1" x14ac:dyDescent="0.35">
      <c r="A151" s="84"/>
      <c r="B151" s="85"/>
      <c r="C151" s="85"/>
      <c r="D151" s="85"/>
      <c r="E151" s="85"/>
      <c r="F151" s="85"/>
      <c r="G151" s="85"/>
      <c r="H151" s="85"/>
      <c r="I151" s="85"/>
      <c r="J151" s="85"/>
      <c r="K151" s="85"/>
      <c r="L151" s="197"/>
      <c r="M151" s="197"/>
      <c r="N151" s="197"/>
      <c r="O151" s="196"/>
      <c r="P151" s="196"/>
    </row>
    <row r="152" spans="1:16" s="98" customFormat="1" x14ac:dyDescent="0.35">
      <c r="A152" s="84"/>
      <c r="B152" s="85"/>
      <c r="C152" s="85"/>
      <c r="D152" s="85"/>
      <c r="E152" s="85"/>
      <c r="F152" s="85"/>
      <c r="G152" s="85"/>
      <c r="H152" s="85"/>
      <c r="I152" s="85"/>
      <c r="J152" s="85"/>
      <c r="K152" s="85"/>
      <c r="L152" s="197"/>
      <c r="M152" s="197"/>
      <c r="N152" s="197"/>
      <c r="O152" s="196"/>
      <c r="P152" s="196"/>
    </row>
    <row r="153" spans="1:16" s="98" customFormat="1" x14ac:dyDescent="0.35">
      <c r="A153" s="84"/>
      <c r="B153" s="85"/>
      <c r="C153" s="85"/>
      <c r="D153" s="85"/>
      <c r="E153" s="85"/>
      <c r="F153" s="85"/>
      <c r="G153" s="85"/>
      <c r="H153" s="85"/>
      <c r="I153" s="85"/>
      <c r="J153" s="85"/>
      <c r="K153" s="85"/>
      <c r="L153" s="197"/>
      <c r="M153" s="197"/>
      <c r="N153" s="197"/>
      <c r="O153" s="196"/>
      <c r="P153" s="196"/>
    </row>
    <row r="154" spans="1:16" s="98" customFormat="1" x14ac:dyDescent="0.35">
      <c r="A154" s="84"/>
      <c r="B154" s="85"/>
      <c r="C154" s="85"/>
      <c r="D154" s="85"/>
      <c r="E154" s="85"/>
      <c r="F154" s="85"/>
      <c r="G154" s="85"/>
      <c r="H154" s="85"/>
      <c r="I154" s="85"/>
      <c r="J154" s="85"/>
      <c r="K154" s="85"/>
      <c r="L154" s="197"/>
      <c r="M154" s="197"/>
      <c r="N154" s="197"/>
      <c r="O154" s="196"/>
      <c r="P154" s="196"/>
    </row>
    <row r="155" spans="1:16" s="98" customFormat="1" x14ac:dyDescent="0.35">
      <c r="A155" s="84"/>
      <c r="B155" s="85"/>
      <c r="C155" s="85"/>
      <c r="D155" s="85"/>
      <c r="E155" s="85"/>
      <c r="F155" s="85"/>
      <c r="G155" s="85"/>
      <c r="H155" s="85"/>
      <c r="I155" s="85"/>
      <c r="J155" s="85"/>
      <c r="K155" s="85"/>
      <c r="L155" s="197"/>
      <c r="M155" s="197"/>
      <c r="N155" s="197"/>
      <c r="O155" s="196"/>
      <c r="P155" s="196"/>
    </row>
    <row r="156" spans="1:16" s="98" customFormat="1" x14ac:dyDescent="0.35">
      <c r="A156" s="84"/>
      <c r="B156" s="85"/>
      <c r="C156" s="85"/>
      <c r="D156" s="85"/>
      <c r="E156" s="85"/>
      <c r="F156" s="85"/>
      <c r="G156" s="85"/>
      <c r="H156" s="85"/>
      <c r="I156" s="85"/>
      <c r="J156" s="85"/>
      <c r="K156" s="85"/>
      <c r="L156" s="197"/>
      <c r="M156" s="197"/>
      <c r="N156" s="197"/>
      <c r="O156" s="196"/>
      <c r="P156" s="196"/>
    </row>
    <row r="157" spans="1:16" s="98" customFormat="1" x14ac:dyDescent="0.35">
      <c r="A157" s="84"/>
      <c r="B157" s="85"/>
      <c r="C157" s="85"/>
      <c r="D157" s="85"/>
      <c r="E157" s="85"/>
      <c r="F157" s="85"/>
      <c r="G157" s="85"/>
      <c r="H157" s="85"/>
      <c r="I157" s="85"/>
      <c r="J157" s="85"/>
      <c r="K157" s="85"/>
      <c r="L157" s="197"/>
      <c r="M157" s="197"/>
      <c r="N157" s="197"/>
      <c r="O157" s="196"/>
      <c r="P157" s="196"/>
    </row>
    <row r="158" spans="1:16" s="98" customFormat="1" x14ac:dyDescent="0.35">
      <c r="A158" s="84"/>
      <c r="B158" s="85"/>
      <c r="C158" s="85"/>
      <c r="D158" s="85"/>
      <c r="E158" s="85"/>
      <c r="F158" s="85"/>
      <c r="G158" s="85"/>
      <c r="H158" s="85"/>
      <c r="I158" s="85"/>
      <c r="J158" s="85"/>
      <c r="K158" s="85"/>
      <c r="L158" s="197"/>
      <c r="M158" s="197"/>
      <c r="N158" s="197"/>
      <c r="O158" s="196"/>
      <c r="P158" s="196"/>
    </row>
    <row r="159" spans="1:16" s="98" customFormat="1" x14ac:dyDescent="0.35">
      <c r="A159" s="84"/>
      <c r="B159" s="85"/>
      <c r="C159" s="85"/>
      <c r="D159" s="85"/>
      <c r="E159" s="85"/>
      <c r="F159" s="85"/>
      <c r="G159" s="85"/>
      <c r="H159" s="85"/>
      <c r="I159" s="85"/>
      <c r="J159" s="85"/>
      <c r="K159" s="85"/>
      <c r="L159" s="197"/>
      <c r="M159" s="197"/>
      <c r="N159" s="197"/>
      <c r="O159" s="196"/>
      <c r="P159" s="196"/>
    </row>
    <row r="160" spans="1:16" s="98" customFormat="1" x14ac:dyDescent="0.35">
      <c r="A160" s="84"/>
      <c r="B160" s="85"/>
      <c r="C160" s="85"/>
      <c r="D160" s="85"/>
      <c r="E160" s="85"/>
      <c r="F160" s="85"/>
      <c r="G160" s="85"/>
      <c r="H160" s="85"/>
      <c r="I160" s="85"/>
      <c r="J160" s="85"/>
      <c r="K160" s="85"/>
      <c r="L160" s="197"/>
      <c r="M160" s="197"/>
      <c r="N160" s="197"/>
      <c r="O160" s="196"/>
      <c r="P160" s="196"/>
    </row>
    <row r="161" spans="1:16" s="98" customFormat="1" x14ac:dyDescent="0.35">
      <c r="A161" s="84"/>
      <c r="B161" s="85"/>
      <c r="C161" s="85"/>
      <c r="D161" s="85"/>
      <c r="E161" s="85"/>
      <c r="F161" s="85"/>
      <c r="G161" s="85"/>
      <c r="H161" s="85"/>
      <c r="I161" s="85"/>
      <c r="J161" s="85"/>
      <c r="K161" s="85"/>
      <c r="L161" s="197"/>
      <c r="M161" s="197"/>
      <c r="N161" s="197"/>
      <c r="O161" s="196"/>
      <c r="P161" s="196"/>
    </row>
    <row r="162" spans="1:16" s="98" customFormat="1" x14ac:dyDescent="0.35">
      <c r="A162" s="84"/>
      <c r="B162" s="85"/>
      <c r="C162" s="85"/>
      <c r="D162" s="85"/>
      <c r="E162" s="85"/>
      <c r="F162" s="85"/>
      <c r="G162" s="85"/>
      <c r="H162" s="85"/>
      <c r="I162" s="85"/>
      <c r="J162" s="85"/>
      <c r="K162" s="85"/>
      <c r="L162" s="197"/>
      <c r="M162" s="197"/>
      <c r="N162" s="197"/>
      <c r="O162" s="196"/>
      <c r="P162" s="196"/>
    </row>
    <row r="163" spans="1:16" s="98" customFormat="1" x14ac:dyDescent="0.35">
      <c r="A163" s="84"/>
      <c r="B163" s="85"/>
      <c r="C163" s="85"/>
      <c r="D163" s="85"/>
      <c r="E163" s="85"/>
      <c r="F163" s="85"/>
      <c r="G163" s="85"/>
      <c r="H163" s="85"/>
      <c r="I163" s="85"/>
      <c r="J163" s="85"/>
      <c r="K163" s="85"/>
      <c r="L163" s="197"/>
      <c r="M163" s="197"/>
      <c r="N163" s="197"/>
      <c r="O163" s="196"/>
      <c r="P163" s="196"/>
    </row>
    <row r="164" spans="1:16" s="98" customFormat="1" x14ac:dyDescent="0.35">
      <c r="A164" s="84"/>
      <c r="B164" s="85"/>
      <c r="C164" s="85"/>
      <c r="D164" s="85"/>
      <c r="E164" s="85"/>
      <c r="F164" s="85"/>
      <c r="G164" s="85"/>
      <c r="H164" s="85"/>
      <c r="I164" s="85"/>
      <c r="J164" s="85"/>
      <c r="K164" s="85"/>
      <c r="L164" s="197"/>
      <c r="M164" s="197"/>
      <c r="N164" s="197"/>
      <c r="O164" s="196"/>
      <c r="P164" s="196"/>
    </row>
    <row r="165" spans="1:16" s="98" customFormat="1" x14ac:dyDescent="0.35">
      <c r="A165" s="84"/>
      <c r="B165" s="85"/>
      <c r="C165" s="85"/>
      <c r="D165" s="85"/>
      <c r="E165" s="85"/>
      <c r="F165" s="85"/>
      <c r="G165" s="85"/>
      <c r="H165" s="85"/>
      <c r="I165" s="85"/>
      <c r="J165" s="85"/>
      <c r="K165" s="85"/>
      <c r="L165" s="197"/>
      <c r="M165" s="197"/>
      <c r="N165" s="197"/>
      <c r="O165" s="196"/>
      <c r="P165" s="196"/>
    </row>
    <row r="166" spans="1:16" s="98" customFormat="1" x14ac:dyDescent="0.35">
      <c r="A166" s="84"/>
      <c r="B166" s="85"/>
      <c r="C166" s="85"/>
      <c r="D166" s="85"/>
      <c r="E166" s="85"/>
      <c r="F166" s="85"/>
      <c r="G166" s="85"/>
      <c r="H166" s="85"/>
      <c r="I166" s="85"/>
      <c r="J166" s="85"/>
      <c r="K166" s="85"/>
      <c r="L166" s="197"/>
      <c r="M166" s="197"/>
      <c r="N166" s="197"/>
      <c r="O166" s="196"/>
      <c r="P166" s="196"/>
    </row>
    <row r="167" spans="1:16" s="98" customFormat="1" x14ac:dyDescent="0.35">
      <c r="A167" s="84"/>
      <c r="B167" s="85"/>
      <c r="C167" s="85"/>
      <c r="D167" s="85"/>
      <c r="E167" s="85"/>
      <c r="F167" s="85"/>
      <c r="G167" s="85"/>
      <c r="H167" s="85"/>
      <c r="I167" s="85"/>
      <c r="J167" s="85"/>
      <c r="K167" s="85"/>
      <c r="L167" s="197"/>
      <c r="M167" s="197"/>
      <c r="N167" s="197"/>
      <c r="O167" s="196"/>
      <c r="P167" s="196"/>
    </row>
    <row r="168" spans="1:16" s="98" customFormat="1" x14ac:dyDescent="0.35">
      <c r="A168" s="84"/>
      <c r="B168" s="85"/>
      <c r="C168" s="85"/>
      <c r="D168" s="85"/>
      <c r="E168" s="85"/>
      <c r="F168" s="85"/>
      <c r="G168" s="85"/>
      <c r="H168" s="85"/>
      <c r="I168" s="85"/>
      <c r="J168" s="85"/>
      <c r="K168" s="85"/>
      <c r="L168" s="197"/>
      <c r="M168" s="197"/>
      <c r="N168" s="197"/>
      <c r="O168" s="196"/>
      <c r="P168" s="196"/>
    </row>
    <row r="169" spans="1:16" s="98" customFormat="1" x14ac:dyDescent="0.35">
      <c r="A169" s="84"/>
      <c r="B169" s="85"/>
      <c r="C169" s="85"/>
      <c r="D169" s="85"/>
      <c r="E169" s="85"/>
      <c r="F169" s="85"/>
      <c r="G169" s="85"/>
      <c r="H169" s="85"/>
      <c r="I169" s="85"/>
      <c r="J169" s="85"/>
      <c r="K169" s="85"/>
      <c r="L169" s="197"/>
      <c r="M169" s="197"/>
      <c r="N169" s="197"/>
      <c r="O169" s="196"/>
      <c r="P169" s="196"/>
    </row>
    <row r="170" spans="1:16" s="98" customFormat="1" x14ac:dyDescent="0.35">
      <c r="A170" s="84"/>
      <c r="B170" s="85"/>
      <c r="C170" s="85"/>
      <c r="D170" s="85"/>
      <c r="E170" s="85"/>
      <c r="F170" s="85"/>
      <c r="G170" s="85"/>
      <c r="H170" s="85"/>
      <c r="I170" s="85"/>
      <c r="J170" s="85"/>
      <c r="K170" s="85"/>
      <c r="L170" s="197"/>
      <c r="M170" s="197"/>
      <c r="N170" s="197"/>
      <c r="O170" s="196"/>
      <c r="P170" s="196"/>
    </row>
    <row r="171" spans="1:16" s="98" customFormat="1" x14ac:dyDescent="0.35">
      <c r="A171" s="84"/>
      <c r="B171" s="85"/>
      <c r="C171" s="85"/>
      <c r="D171" s="85"/>
      <c r="E171" s="85"/>
      <c r="F171" s="85"/>
      <c r="G171" s="85"/>
      <c r="H171" s="85"/>
      <c r="I171" s="85"/>
      <c r="J171" s="85"/>
      <c r="K171" s="85"/>
      <c r="L171" s="197"/>
      <c r="M171" s="197"/>
      <c r="N171" s="197"/>
      <c r="O171" s="196"/>
      <c r="P171" s="196"/>
    </row>
    <row r="172" spans="1:16" s="98" customFormat="1" x14ac:dyDescent="0.35">
      <c r="A172" s="84"/>
      <c r="B172" s="85"/>
      <c r="C172" s="85"/>
      <c r="D172" s="85"/>
      <c r="E172" s="85"/>
      <c r="F172" s="85"/>
      <c r="G172" s="85"/>
      <c r="H172" s="85"/>
      <c r="I172" s="85"/>
      <c r="J172" s="85"/>
      <c r="K172" s="85"/>
      <c r="L172" s="197"/>
      <c r="M172" s="197"/>
      <c r="N172" s="197"/>
      <c r="O172" s="196"/>
      <c r="P172" s="196"/>
    </row>
    <row r="173" spans="1:16" s="98" customFormat="1" x14ac:dyDescent="0.35">
      <c r="A173" s="84"/>
      <c r="B173" s="85"/>
      <c r="C173" s="85"/>
      <c r="D173" s="85"/>
      <c r="E173" s="85"/>
      <c r="F173" s="85"/>
      <c r="G173" s="85"/>
      <c r="H173" s="85"/>
      <c r="I173" s="85"/>
      <c r="J173" s="85"/>
      <c r="K173" s="85"/>
      <c r="L173" s="197"/>
      <c r="M173" s="197"/>
      <c r="N173" s="197"/>
      <c r="O173" s="196"/>
      <c r="P173" s="196"/>
    </row>
    <row r="174" spans="1:16" s="98" customFormat="1" x14ac:dyDescent="0.35">
      <c r="A174" s="84"/>
      <c r="B174" s="85"/>
      <c r="C174" s="85"/>
      <c r="D174" s="85"/>
      <c r="E174" s="85"/>
      <c r="F174" s="85"/>
      <c r="G174" s="85"/>
      <c r="H174" s="85"/>
      <c r="I174" s="85"/>
      <c r="J174" s="85"/>
      <c r="K174" s="85"/>
      <c r="L174" s="197"/>
      <c r="M174" s="197"/>
      <c r="N174" s="197"/>
      <c r="O174" s="196"/>
      <c r="P174" s="196"/>
    </row>
    <row r="175" spans="1:16" s="98" customFormat="1" x14ac:dyDescent="0.35">
      <c r="A175" s="84"/>
      <c r="B175" s="85"/>
      <c r="C175" s="85"/>
      <c r="D175" s="85"/>
      <c r="E175" s="85"/>
      <c r="F175" s="85"/>
      <c r="G175" s="85"/>
      <c r="H175" s="85"/>
      <c r="I175" s="85"/>
      <c r="J175" s="85"/>
      <c r="K175" s="85"/>
      <c r="L175" s="197"/>
      <c r="M175" s="197"/>
      <c r="N175" s="197"/>
      <c r="O175" s="196"/>
      <c r="P175" s="196"/>
    </row>
    <row r="176" spans="1:16" s="98" customFormat="1" x14ac:dyDescent="0.35">
      <c r="A176" s="84"/>
      <c r="B176" s="85"/>
      <c r="C176" s="85"/>
      <c r="D176" s="85"/>
      <c r="E176" s="85"/>
      <c r="F176" s="85"/>
      <c r="G176" s="85"/>
      <c r="H176" s="85"/>
      <c r="I176" s="85"/>
      <c r="J176" s="85"/>
      <c r="K176" s="85"/>
      <c r="L176" s="197"/>
      <c r="M176" s="197"/>
      <c r="N176" s="197"/>
      <c r="O176" s="196"/>
      <c r="P176" s="196"/>
    </row>
    <row r="177" spans="1:16" s="98" customFormat="1" x14ac:dyDescent="0.35">
      <c r="A177" s="84"/>
      <c r="B177" s="85"/>
      <c r="C177" s="85"/>
      <c r="D177" s="85"/>
      <c r="E177" s="85"/>
      <c r="F177" s="85"/>
      <c r="G177" s="85"/>
      <c r="H177" s="85"/>
      <c r="I177" s="85"/>
      <c r="J177" s="85"/>
      <c r="K177" s="85"/>
      <c r="L177" s="197"/>
      <c r="M177" s="197"/>
      <c r="N177" s="197"/>
      <c r="O177" s="196"/>
      <c r="P177" s="196"/>
    </row>
    <row r="178" spans="1:16" s="98" customFormat="1" x14ac:dyDescent="0.35">
      <c r="A178" s="202"/>
      <c r="B178" s="203"/>
      <c r="C178" s="203"/>
      <c r="D178" s="203"/>
      <c r="E178" s="203"/>
      <c r="F178" s="203"/>
      <c r="G178" s="203"/>
      <c r="H178" s="203"/>
      <c r="I178" s="203"/>
      <c r="J178" s="203"/>
      <c r="K178" s="203"/>
      <c r="L178" s="201"/>
      <c r="M178" s="201"/>
      <c r="N178" s="201"/>
      <c r="O178" s="199"/>
      <c r="P178" s="199"/>
    </row>
    <row r="179" spans="1:16" s="98" customFormat="1" x14ac:dyDescent="0.35">
      <c r="A179" s="196"/>
      <c r="B179" s="85"/>
      <c r="C179" s="85"/>
      <c r="D179" s="85"/>
      <c r="E179" s="85"/>
      <c r="F179" s="85"/>
      <c r="G179" s="85"/>
      <c r="H179" s="85"/>
      <c r="I179" s="85"/>
      <c r="J179" s="85"/>
      <c r="K179" s="85"/>
      <c r="L179" s="197"/>
      <c r="M179" s="197"/>
      <c r="N179" s="197"/>
      <c r="O179" s="196"/>
      <c r="P179" s="196"/>
    </row>
    <row r="180" spans="1:16" s="98" customFormat="1" x14ac:dyDescent="0.35">
      <c r="A180" s="84"/>
      <c r="B180" s="85"/>
      <c r="C180" s="85"/>
      <c r="D180" s="85"/>
      <c r="E180" s="85"/>
      <c r="F180" s="85"/>
      <c r="G180" s="85"/>
      <c r="H180" s="85"/>
      <c r="I180" s="85"/>
      <c r="J180" s="85"/>
      <c r="K180" s="85"/>
      <c r="L180" s="197"/>
      <c r="M180" s="197"/>
      <c r="N180" s="197"/>
      <c r="O180" s="196"/>
      <c r="P180" s="196"/>
    </row>
    <row r="181" spans="1:16" s="98" customFormat="1" x14ac:dyDescent="0.35">
      <c r="A181" s="84"/>
      <c r="B181" s="85"/>
      <c r="C181" s="85"/>
      <c r="D181" s="85"/>
      <c r="E181" s="85"/>
      <c r="F181" s="85"/>
      <c r="G181" s="85"/>
      <c r="H181" s="85"/>
      <c r="I181" s="85"/>
      <c r="J181" s="85"/>
      <c r="K181" s="85"/>
      <c r="L181" s="197"/>
      <c r="M181" s="197"/>
      <c r="N181" s="197"/>
      <c r="O181" s="196"/>
      <c r="P181" s="196"/>
    </row>
    <row r="182" spans="1:16" s="98" customFormat="1" x14ac:dyDescent="0.35">
      <c r="A182" s="84"/>
      <c r="B182" s="85"/>
      <c r="C182" s="85"/>
      <c r="D182" s="85"/>
      <c r="E182" s="85"/>
      <c r="F182" s="85"/>
      <c r="G182" s="85"/>
      <c r="H182" s="85"/>
      <c r="I182" s="85"/>
      <c r="J182" s="85"/>
      <c r="K182" s="85"/>
      <c r="L182" s="197"/>
      <c r="M182" s="197"/>
      <c r="N182" s="197"/>
      <c r="O182" s="196"/>
      <c r="P182" s="196"/>
    </row>
    <row r="183" spans="1:16" s="98" customFormat="1" x14ac:dyDescent="0.35">
      <c r="A183" s="84"/>
      <c r="B183" s="85"/>
      <c r="C183" s="85"/>
      <c r="D183" s="85"/>
      <c r="E183" s="85"/>
      <c r="F183" s="85"/>
      <c r="G183" s="85"/>
      <c r="H183" s="85"/>
      <c r="I183" s="85"/>
      <c r="J183" s="85"/>
      <c r="K183" s="85"/>
      <c r="L183" s="197"/>
      <c r="M183" s="197"/>
      <c r="N183" s="197"/>
      <c r="O183" s="196"/>
      <c r="P183" s="196"/>
    </row>
    <row r="184" spans="1:16" s="98" customFormat="1" x14ac:dyDescent="0.35">
      <c r="A184" s="84"/>
      <c r="B184" s="85"/>
      <c r="C184" s="85"/>
      <c r="D184" s="85"/>
      <c r="E184" s="85"/>
      <c r="F184" s="85"/>
      <c r="G184" s="85"/>
      <c r="H184" s="85"/>
      <c r="I184" s="85"/>
      <c r="J184" s="85"/>
      <c r="K184" s="85"/>
      <c r="L184" s="197"/>
      <c r="M184" s="197"/>
      <c r="N184" s="197"/>
      <c r="O184" s="196"/>
      <c r="P184" s="196"/>
    </row>
    <row r="185" spans="1:16" s="98" customFormat="1" x14ac:dyDescent="0.35">
      <c r="A185" s="84"/>
      <c r="B185" s="85"/>
      <c r="C185" s="85"/>
      <c r="D185" s="85"/>
      <c r="E185" s="85"/>
      <c r="F185" s="85"/>
      <c r="G185" s="85"/>
      <c r="H185" s="85"/>
      <c r="I185" s="85"/>
      <c r="J185" s="85"/>
      <c r="K185" s="85"/>
      <c r="L185" s="197"/>
      <c r="M185" s="197"/>
      <c r="N185" s="197"/>
      <c r="O185" s="196"/>
      <c r="P185" s="196"/>
    </row>
    <row r="186" spans="1:16" s="98" customFormat="1" x14ac:dyDescent="0.35">
      <c r="A186" s="84"/>
      <c r="B186" s="85"/>
      <c r="C186" s="85"/>
      <c r="D186" s="85"/>
      <c r="E186" s="85"/>
      <c r="F186" s="85"/>
      <c r="G186" s="85"/>
      <c r="H186" s="85"/>
      <c r="I186" s="85"/>
      <c r="J186" s="85"/>
      <c r="K186" s="85"/>
      <c r="L186" s="197"/>
      <c r="M186" s="197"/>
      <c r="N186" s="197"/>
      <c r="O186" s="196"/>
      <c r="P186" s="196"/>
    </row>
    <row r="187" spans="1:16" s="98" customFormat="1" x14ac:dyDescent="0.35">
      <c r="A187" s="84"/>
      <c r="B187" s="85"/>
      <c r="C187" s="85"/>
      <c r="D187" s="85"/>
      <c r="E187" s="85"/>
      <c r="F187" s="85"/>
      <c r="G187" s="85"/>
      <c r="H187" s="85"/>
      <c r="I187" s="85"/>
      <c r="J187" s="85"/>
      <c r="K187" s="85"/>
      <c r="L187" s="197"/>
      <c r="M187" s="197"/>
      <c r="N187" s="197"/>
      <c r="O187" s="196"/>
      <c r="P187" s="196"/>
    </row>
    <row r="188" spans="1:16" s="98" customFormat="1" x14ac:dyDescent="0.35">
      <c r="A188" s="84"/>
      <c r="B188" s="85"/>
      <c r="C188" s="85"/>
      <c r="D188" s="85"/>
      <c r="E188" s="85"/>
      <c r="F188" s="85"/>
      <c r="G188" s="85"/>
      <c r="H188" s="85"/>
      <c r="I188" s="85"/>
      <c r="J188" s="85"/>
      <c r="K188" s="85"/>
      <c r="L188" s="86"/>
      <c r="M188" s="86"/>
      <c r="N188" s="86"/>
      <c r="O188" s="84"/>
      <c r="P188" s="84"/>
    </row>
    <row r="189" spans="1:16" s="98" customFormat="1" x14ac:dyDescent="0.35">
      <c r="A189" s="84"/>
      <c r="B189" s="85"/>
      <c r="C189" s="85"/>
      <c r="D189" s="85"/>
      <c r="E189" s="85"/>
      <c r="F189" s="85"/>
      <c r="G189" s="85"/>
      <c r="H189" s="85"/>
      <c r="I189" s="85"/>
      <c r="J189" s="85"/>
      <c r="K189" s="85"/>
      <c r="L189" s="86"/>
      <c r="M189" s="86"/>
      <c r="N189" s="86"/>
      <c r="O189" s="84"/>
      <c r="P189" s="84"/>
    </row>
    <row r="190" spans="1:16" s="98" customFormat="1" x14ac:dyDescent="0.35">
      <c r="A190" s="84"/>
      <c r="B190" s="85"/>
      <c r="C190" s="85"/>
      <c r="D190" s="85"/>
      <c r="E190" s="85"/>
      <c r="F190" s="85"/>
      <c r="G190" s="85"/>
      <c r="H190" s="85"/>
      <c r="I190" s="85"/>
      <c r="J190" s="85"/>
      <c r="K190" s="85"/>
      <c r="L190" s="86"/>
      <c r="M190" s="86"/>
      <c r="N190" s="86"/>
      <c r="O190" s="84"/>
      <c r="P190" s="84"/>
    </row>
    <row r="191" spans="1:16" s="98" customFormat="1" x14ac:dyDescent="0.35">
      <c r="A191" s="84"/>
      <c r="B191" s="85"/>
      <c r="C191" s="85"/>
      <c r="D191" s="85"/>
      <c r="E191" s="85"/>
      <c r="F191" s="85"/>
      <c r="G191" s="85"/>
      <c r="H191" s="85"/>
      <c r="I191" s="85"/>
      <c r="J191" s="85"/>
      <c r="K191" s="85"/>
      <c r="L191" s="86"/>
      <c r="M191" s="86"/>
      <c r="N191" s="86"/>
      <c r="O191" s="84"/>
      <c r="P191" s="84"/>
    </row>
    <row r="192" spans="1:16" s="98" customFormat="1" x14ac:dyDescent="0.35">
      <c r="A192" s="84"/>
      <c r="B192" s="85"/>
      <c r="C192" s="85"/>
      <c r="D192" s="85"/>
      <c r="E192" s="85"/>
      <c r="F192" s="85"/>
      <c r="G192" s="85"/>
      <c r="H192" s="85"/>
      <c r="I192" s="85"/>
      <c r="J192" s="85"/>
      <c r="K192" s="85"/>
      <c r="L192" s="86"/>
      <c r="M192" s="86"/>
      <c r="N192" s="86"/>
      <c r="O192" s="84"/>
      <c r="P192" s="84"/>
    </row>
    <row r="193" spans="1:16" s="98" customFormat="1" x14ac:dyDescent="0.35">
      <c r="A193" s="84"/>
      <c r="B193" s="85"/>
      <c r="C193" s="85"/>
      <c r="D193" s="85"/>
      <c r="E193" s="85"/>
      <c r="F193" s="85"/>
      <c r="G193" s="85"/>
      <c r="H193" s="85"/>
      <c r="I193" s="85"/>
      <c r="J193" s="85"/>
      <c r="K193" s="85"/>
      <c r="L193" s="86"/>
      <c r="M193" s="86"/>
      <c r="N193" s="86"/>
      <c r="O193" s="84"/>
      <c r="P193" s="84"/>
    </row>
    <row r="194" spans="1:16" s="98" customFormat="1" x14ac:dyDescent="0.35">
      <c r="A194" s="84"/>
      <c r="B194" s="85"/>
      <c r="C194" s="85"/>
      <c r="D194" s="85"/>
      <c r="E194" s="85"/>
      <c r="F194" s="85"/>
      <c r="G194" s="85"/>
      <c r="H194" s="85"/>
      <c r="I194" s="85"/>
      <c r="J194" s="85"/>
      <c r="K194" s="85"/>
      <c r="L194" s="86"/>
      <c r="M194" s="86"/>
      <c r="N194" s="86"/>
      <c r="O194" s="84"/>
      <c r="P194" s="84"/>
    </row>
    <row r="195" spans="1:16" s="98" customFormat="1" x14ac:dyDescent="0.35">
      <c r="A195" s="84"/>
      <c r="B195" s="85"/>
      <c r="C195" s="85"/>
      <c r="D195" s="85"/>
      <c r="E195" s="85"/>
      <c r="F195" s="85"/>
      <c r="G195" s="85"/>
      <c r="H195" s="85"/>
      <c r="I195" s="85"/>
      <c r="J195" s="85"/>
      <c r="K195" s="85"/>
      <c r="L195" s="86"/>
      <c r="M195" s="86"/>
      <c r="N195" s="86"/>
      <c r="O195" s="84"/>
      <c r="P195" s="84"/>
    </row>
    <row r="196" spans="1:16" s="98" customFormat="1" x14ac:dyDescent="0.35">
      <c r="A196" s="84"/>
      <c r="B196" s="85"/>
      <c r="C196" s="85"/>
      <c r="D196" s="85"/>
      <c r="E196" s="85"/>
      <c r="F196" s="85"/>
      <c r="G196" s="85"/>
      <c r="H196" s="85"/>
      <c r="I196" s="85"/>
      <c r="J196" s="85"/>
      <c r="K196" s="85"/>
      <c r="L196" s="86"/>
      <c r="M196" s="86"/>
      <c r="N196" s="86"/>
      <c r="O196" s="84"/>
      <c r="P196" s="84"/>
    </row>
    <row r="197" spans="1:16" s="98" customFormat="1" x14ac:dyDescent="0.35">
      <c r="A197" s="84"/>
      <c r="B197" s="85"/>
      <c r="C197" s="85"/>
      <c r="D197" s="85"/>
      <c r="E197" s="85"/>
      <c r="F197" s="85"/>
      <c r="G197" s="85"/>
      <c r="H197" s="85"/>
      <c r="I197" s="85"/>
      <c r="J197" s="85"/>
      <c r="K197" s="85"/>
      <c r="L197" s="86"/>
      <c r="M197" s="86"/>
      <c r="N197" s="86"/>
      <c r="O197" s="84"/>
      <c r="P197" s="84"/>
    </row>
    <row r="198" spans="1:16" s="98" customFormat="1" x14ac:dyDescent="0.35">
      <c r="A198" s="84"/>
      <c r="B198" s="85"/>
      <c r="C198" s="85"/>
      <c r="D198" s="85"/>
      <c r="E198" s="85"/>
      <c r="F198" s="85"/>
      <c r="G198" s="85"/>
      <c r="H198" s="85"/>
      <c r="I198" s="85"/>
      <c r="J198" s="85"/>
      <c r="K198" s="85"/>
      <c r="L198" s="86"/>
      <c r="M198" s="86"/>
      <c r="N198" s="86"/>
      <c r="O198" s="84"/>
      <c r="P198" s="84"/>
    </row>
    <row r="199" spans="1:16" x14ac:dyDescent="0.35">
      <c r="A199" s="84"/>
      <c r="B199" s="85"/>
      <c r="C199" s="85"/>
      <c r="D199" s="85"/>
      <c r="E199" s="85"/>
      <c r="F199" s="85"/>
      <c r="G199" s="85"/>
      <c r="H199" s="85"/>
      <c r="I199" s="85"/>
      <c r="J199" s="85"/>
      <c r="K199" s="85"/>
      <c r="L199" s="86"/>
      <c r="M199" s="86"/>
      <c r="N199" s="86"/>
      <c r="O199" s="84"/>
      <c r="P199" s="84"/>
    </row>
    <row r="200" spans="1:16" x14ac:dyDescent="0.35">
      <c r="A200" s="84"/>
      <c r="B200" s="85"/>
      <c r="C200" s="85"/>
      <c r="D200" s="85"/>
      <c r="E200" s="85"/>
      <c r="F200" s="85"/>
      <c r="G200" s="85"/>
      <c r="H200" s="85"/>
      <c r="I200" s="85"/>
      <c r="J200" s="85"/>
      <c r="K200" s="85"/>
      <c r="L200" s="86"/>
      <c r="M200" s="86"/>
      <c r="N200" s="86"/>
      <c r="O200" s="84"/>
      <c r="P200" s="84"/>
    </row>
    <row r="201" spans="1:16" x14ac:dyDescent="0.35">
      <c r="A201" s="84"/>
      <c r="B201" s="85"/>
      <c r="C201" s="85"/>
      <c r="D201" s="85"/>
      <c r="E201" s="85"/>
      <c r="F201" s="85"/>
      <c r="G201" s="85"/>
      <c r="H201" s="85"/>
      <c r="I201" s="85"/>
      <c r="J201" s="85"/>
      <c r="K201" s="85"/>
      <c r="L201" s="86"/>
      <c r="M201" s="86"/>
      <c r="N201" s="86"/>
      <c r="O201" s="84"/>
      <c r="P201" s="84"/>
    </row>
    <row r="202" spans="1:16" x14ac:dyDescent="0.35">
      <c r="A202" s="84"/>
      <c r="B202" s="85"/>
      <c r="C202" s="85"/>
      <c r="D202" s="85"/>
      <c r="E202" s="85"/>
      <c r="F202" s="85"/>
      <c r="G202" s="85"/>
      <c r="H202" s="85"/>
      <c r="I202" s="85"/>
      <c r="J202" s="85"/>
      <c r="K202" s="85"/>
      <c r="L202" s="86"/>
      <c r="M202" s="86"/>
      <c r="N202" s="86"/>
      <c r="O202" s="84"/>
      <c r="P202" s="84"/>
    </row>
    <row r="203" spans="1:16" x14ac:dyDescent="0.35">
      <c r="A203" s="84"/>
      <c r="B203" s="85"/>
      <c r="C203" s="85"/>
      <c r="D203" s="85"/>
      <c r="E203" s="85"/>
      <c r="F203" s="85"/>
      <c r="G203" s="85"/>
      <c r="H203" s="85"/>
      <c r="I203" s="85"/>
      <c r="J203" s="85"/>
      <c r="K203" s="85"/>
      <c r="L203" s="86"/>
      <c r="M203" s="86"/>
      <c r="N203" s="86"/>
      <c r="O203" s="84"/>
      <c r="P203" s="84"/>
    </row>
    <row r="204" spans="1:16" x14ac:dyDescent="0.35">
      <c r="A204" s="84"/>
      <c r="B204" s="85"/>
      <c r="C204" s="85"/>
      <c r="D204" s="85"/>
      <c r="E204" s="85"/>
      <c r="F204" s="85"/>
      <c r="G204" s="85"/>
      <c r="H204" s="85"/>
      <c r="I204" s="85"/>
      <c r="J204" s="85"/>
      <c r="K204" s="85"/>
      <c r="L204" s="86"/>
      <c r="M204" s="86"/>
      <c r="N204" s="86"/>
      <c r="O204" s="84"/>
      <c r="P204" s="84"/>
    </row>
    <row r="205" spans="1:16" x14ac:dyDescent="0.35">
      <c r="A205" s="190"/>
      <c r="B205" s="190"/>
      <c r="C205" s="190"/>
      <c r="D205" s="190"/>
      <c r="E205" s="190"/>
      <c r="F205" s="190"/>
      <c r="G205" s="190"/>
      <c r="H205" s="190"/>
      <c r="I205" s="190"/>
      <c r="J205" s="190"/>
      <c r="K205" s="190"/>
      <c r="L205" s="190"/>
      <c r="M205" s="190"/>
      <c r="N205" s="190"/>
      <c r="O205" s="190"/>
      <c r="P205" s="190"/>
    </row>
    <row r="206" spans="1:16" x14ac:dyDescent="0.35">
      <c r="A206" s="190"/>
      <c r="B206" s="190"/>
      <c r="C206" s="190"/>
      <c r="D206" s="190"/>
      <c r="E206" s="190"/>
      <c r="F206" s="190"/>
      <c r="G206" s="190"/>
      <c r="H206" s="190"/>
      <c r="I206" s="190"/>
      <c r="J206" s="190"/>
      <c r="K206" s="190"/>
      <c r="L206" s="190"/>
      <c r="M206" s="190"/>
      <c r="N206" s="190"/>
      <c r="O206" s="190"/>
      <c r="P206" s="190"/>
    </row>
    <row r="207" spans="1:16" x14ac:dyDescent="0.35">
      <c r="A207" s="190"/>
      <c r="B207" s="190"/>
      <c r="C207" s="190"/>
      <c r="D207" s="190"/>
      <c r="E207" s="190"/>
      <c r="F207" s="190"/>
      <c r="G207" s="190"/>
      <c r="H207" s="190"/>
      <c r="I207" s="190"/>
      <c r="J207" s="190"/>
      <c r="K207" s="190"/>
      <c r="L207" s="190"/>
      <c r="M207" s="190"/>
      <c r="N207" s="190"/>
      <c r="O207" s="190"/>
      <c r="P207" s="190"/>
    </row>
    <row r="208" spans="1:16" x14ac:dyDescent="0.35">
      <c r="A208" s="190"/>
      <c r="B208" s="190"/>
      <c r="C208" s="190"/>
      <c r="D208" s="190"/>
      <c r="E208" s="190"/>
      <c r="F208" s="190"/>
      <c r="G208" s="190"/>
      <c r="H208" s="190"/>
      <c r="I208" s="190"/>
      <c r="J208" s="190"/>
      <c r="K208" s="190"/>
      <c r="L208" s="190"/>
      <c r="M208" s="190"/>
      <c r="N208" s="190"/>
      <c r="O208" s="190"/>
      <c r="P208" s="190"/>
    </row>
    <row r="209" spans="1:16" x14ac:dyDescent="0.35">
      <c r="A209" s="137"/>
      <c r="B209" s="137"/>
      <c r="C209" s="137"/>
      <c r="D209" s="137"/>
      <c r="E209" s="137"/>
      <c r="F209" s="137"/>
      <c r="G209" s="137"/>
      <c r="H209" s="137"/>
      <c r="I209" s="137"/>
      <c r="J209" s="137"/>
      <c r="K209" s="137"/>
      <c r="L209" s="137"/>
      <c r="M209" s="137"/>
      <c r="N209" s="137"/>
      <c r="O209" s="137"/>
      <c r="P209" s="137"/>
    </row>
    <row r="210" spans="1:16" x14ac:dyDescent="0.35">
      <c r="A210" s="137"/>
      <c r="B210" s="137"/>
      <c r="C210" s="137"/>
      <c r="D210" s="137"/>
      <c r="E210" s="137"/>
      <c r="F210" s="137"/>
      <c r="G210" s="137"/>
      <c r="H210" s="137"/>
      <c r="I210" s="137"/>
      <c r="J210" s="137"/>
      <c r="K210" s="137"/>
      <c r="L210" s="137"/>
      <c r="M210" s="137"/>
      <c r="N210" s="137"/>
      <c r="O210" s="137"/>
      <c r="P210" s="137"/>
    </row>
    <row r="211" spans="1:16" x14ac:dyDescent="0.35">
      <c r="A211" s="137"/>
      <c r="B211" s="137"/>
      <c r="C211" s="137"/>
      <c r="D211" s="137"/>
      <c r="E211" s="137"/>
      <c r="F211" s="137"/>
      <c r="G211" s="137"/>
      <c r="H211" s="137"/>
      <c r="I211" s="137"/>
      <c r="J211" s="137"/>
      <c r="K211" s="137"/>
      <c r="L211" s="137"/>
      <c r="M211" s="137"/>
      <c r="N211" s="137"/>
      <c r="O211" s="137"/>
      <c r="P211" s="137"/>
    </row>
    <row r="212" spans="1:16" x14ac:dyDescent="0.35">
      <c r="A212" s="137"/>
      <c r="B212" s="137"/>
      <c r="C212" s="137"/>
      <c r="D212" s="137"/>
      <c r="E212" s="137"/>
      <c r="F212" s="137"/>
      <c r="G212" s="137"/>
      <c r="H212" s="137"/>
      <c r="I212" s="137"/>
      <c r="J212" s="137"/>
      <c r="K212" s="137"/>
      <c r="L212" s="137"/>
      <c r="M212" s="137"/>
      <c r="N212" s="137"/>
      <c r="O212" s="137"/>
      <c r="P212" s="137"/>
    </row>
    <row r="213" spans="1:16" x14ac:dyDescent="0.35">
      <c r="A213" s="137"/>
      <c r="B213" s="137"/>
      <c r="C213" s="137"/>
      <c r="D213" s="137"/>
      <c r="E213" s="137"/>
      <c r="F213" s="137"/>
      <c r="G213" s="137"/>
      <c r="H213" s="137"/>
      <c r="I213" s="137"/>
      <c r="J213" s="137"/>
      <c r="K213" s="137"/>
      <c r="L213" s="137"/>
      <c r="M213" s="137"/>
      <c r="N213" s="137"/>
      <c r="O213" s="137"/>
      <c r="P213" s="137"/>
    </row>
    <row r="214" spans="1:16" x14ac:dyDescent="0.35">
      <c r="A214" s="98"/>
      <c r="B214" s="98"/>
      <c r="C214" s="98"/>
      <c r="D214" s="98"/>
      <c r="E214" s="98"/>
      <c r="F214" s="98"/>
      <c r="G214" s="98"/>
      <c r="H214" s="98"/>
      <c r="I214" s="98"/>
      <c r="J214" s="98"/>
      <c r="K214" s="98"/>
      <c r="L214" s="98"/>
      <c r="M214" s="98"/>
      <c r="N214" s="98"/>
      <c r="O214" s="98"/>
      <c r="P214" s="98"/>
    </row>
    <row r="215" spans="1:16" x14ac:dyDescent="0.35">
      <c r="A215" s="192"/>
      <c r="B215" s="191"/>
      <c r="C215" s="191"/>
      <c r="D215" s="191"/>
      <c r="E215" s="191"/>
      <c r="F215" s="191"/>
      <c r="G215" s="191"/>
      <c r="H215" s="191"/>
      <c r="I215" s="191"/>
      <c r="J215" s="191"/>
      <c r="K215" s="191"/>
      <c r="L215" s="191"/>
      <c r="M215" s="191"/>
      <c r="N215" s="191"/>
      <c r="O215" s="191"/>
      <c r="P215" s="191"/>
    </row>
    <row r="216" spans="1:16" x14ac:dyDescent="0.35">
      <c r="A216" s="191"/>
      <c r="B216" s="191"/>
      <c r="C216" s="191"/>
      <c r="D216" s="191"/>
      <c r="E216" s="191"/>
      <c r="F216" s="191"/>
      <c r="G216" s="191"/>
      <c r="H216" s="191"/>
      <c r="I216" s="191"/>
      <c r="J216" s="191"/>
      <c r="K216" s="191"/>
      <c r="L216" s="191"/>
      <c r="M216" s="191"/>
      <c r="N216" s="191"/>
      <c r="O216" s="191"/>
      <c r="P216" s="191"/>
    </row>
    <row r="217" spans="1:16" x14ac:dyDescent="0.35">
      <c r="A217" s="191"/>
      <c r="B217" s="191"/>
      <c r="C217" s="191"/>
      <c r="D217" s="191"/>
      <c r="E217" s="191"/>
      <c r="F217" s="191"/>
      <c r="G217" s="191"/>
      <c r="H217" s="191"/>
      <c r="I217" s="191"/>
      <c r="J217" s="191"/>
      <c r="K217" s="191"/>
      <c r="L217" s="191"/>
      <c r="M217" s="191"/>
      <c r="N217" s="191"/>
      <c r="O217" s="191"/>
      <c r="P217" s="191"/>
    </row>
    <row r="218" spans="1:16" x14ac:dyDescent="0.35">
      <c r="A218" s="191"/>
      <c r="B218" s="191"/>
      <c r="C218" s="191"/>
      <c r="D218" s="191"/>
      <c r="E218" s="191"/>
      <c r="F218" s="191"/>
      <c r="G218" s="191"/>
      <c r="H218" s="191"/>
      <c r="I218" s="191"/>
      <c r="J218" s="191"/>
      <c r="K218" s="191"/>
      <c r="L218" s="191"/>
      <c r="M218" s="191"/>
      <c r="N218" s="191"/>
      <c r="O218" s="191"/>
      <c r="P218" s="191"/>
    </row>
    <row r="219" spans="1:16" x14ac:dyDescent="0.35">
      <c r="A219" s="191"/>
      <c r="B219" s="191"/>
      <c r="C219" s="191"/>
      <c r="D219" s="191"/>
      <c r="E219" s="191"/>
      <c r="F219" s="191"/>
      <c r="G219" s="191"/>
      <c r="H219" s="191"/>
      <c r="I219" s="191"/>
      <c r="J219" s="191"/>
      <c r="K219" s="191"/>
      <c r="L219" s="191"/>
      <c r="M219" s="191"/>
      <c r="N219" s="191"/>
      <c r="O219" s="191"/>
      <c r="P219" s="191"/>
    </row>
    <row r="220" spans="1:16" x14ac:dyDescent="0.35">
      <c r="A220" s="191"/>
      <c r="B220" s="191"/>
      <c r="C220" s="191"/>
      <c r="D220" s="191"/>
      <c r="E220" s="191"/>
      <c r="F220" s="191"/>
      <c r="G220" s="191"/>
      <c r="H220" s="191"/>
      <c r="I220" s="191"/>
      <c r="J220" s="191"/>
      <c r="K220" s="191"/>
      <c r="L220" s="191"/>
      <c r="M220" s="191"/>
      <c r="N220" s="191"/>
      <c r="O220" s="191"/>
      <c r="P220" s="191"/>
    </row>
    <row r="221" spans="1:16" x14ac:dyDescent="0.35">
      <c r="A221" s="191"/>
      <c r="B221" s="191"/>
      <c r="C221" s="191"/>
      <c r="D221" s="191"/>
      <c r="E221" s="191"/>
      <c r="F221" s="191"/>
      <c r="G221" s="191"/>
      <c r="H221" s="191"/>
      <c r="I221" s="191"/>
      <c r="J221" s="191"/>
      <c r="K221" s="191"/>
      <c r="L221" s="191"/>
      <c r="M221" s="191"/>
      <c r="N221" s="191"/>
      <c r="O221" s="191"/>
      <c r="P221" s="191"/>
    </row>
    <row r="222" spans="1:16" x14ac:dyDescent="0.35">
      <c r="A222" s="191"/>
      <c r="B222" s="191"/>
      <c r="C222" s="191"/>
      <c r="D222" s="191"/>
      <c r="E222" s="191"/>
      <c r="F222" s="191"/>
      <c r="G222" s="191"/>
      <c r="H222" s="191"/>
      <c r="I222" s="191"/>
      <c r="J222" s="191"/>
      <c r="K222" s="191"/>
      <c r="L222" s="191"/>
      <c r="M222" s="191"/>
      <c r="N222" s="191"/>
      <c r="O222" s="191"/>
      <c r="P222" s="191"/>
    </row>
    <row r="223" spans="1:16" x14ac:dyDescent="0.35">
      <c r="A223" s="191"/>
      <c r="B223" s="191"/>
      <c r="C223" s="191"/>
      <c r="D223" s="191"/>
      <c r="E223" s="191"/>
      <c r="F223" s="191"/>
      <c r="G223" s="191"/>
      <c r="H223" s="191"/>
      <c r="I223" s="191"/>
      <c r="J223" s="191"/>
      <c r="K223" s="191"/>
      <c r="L223" s="191"/>
      <c r="M223" s="191"/>
      <c r="N223" s="191"/>
      <c r="O223" s="191"/>
      <c r="P223" s="191"/>
    </row>
    <row r="224" spans="1:16" x14ac:dyDescent="0.35">
      <c r="A224" s="191"/>
      <c r="B224" s="191"/>
      <c r="C224" s="191"/>
      <c r="D224" s="191"/>
      <c r="E224" s="191"/>
      <c r="F224" s="191"/>
      <c r="G224" s="191"/>
      <c r="H224" s="191"/>
      <c r="I224" s="191"/>
      <c r="J224" s="191"/>
      <c r="K224" s="191"/>
      <c r="L224" s="191"/>
      <c r="M224" s="191"/>
      <c r="N224" s="191"/>
      <c r="O224" s="191"/>
      <c r="P224" s="191"/>
    </row>
    <row r="225" spans="1:16" x14ac:dyDescent="0.35">
      <c r="A225" s="191"/>
      <c r="B225" s="191"/>
      <c r="C225" s="191"/>
      <c r="D225" s="191"/>
      <c r="E225" s="191"/>
      <c r="F225" s="191"/>
      <c r="G225" s="191"/>
      <c r="H225" s="191"/>
      <c r="I225" s="191"/>
      <c r="J225" s="191"/>
      <c r="K225" s="191"/>
      <c r="L225" s="191"/>
      <c r="M225" s="191"/>
      <c r="N225" s="191"/>
      <c r="O225" s="191"/>
      <c r="P225" s="191"/>
    </row>
    <row r="226" spans="1:16" x14ac:dyDescent="0.35">
      <c r="A226" s="191"/>
      <c r="B226" s="191"/>
      <c r="C226" s="191"/>
      <c r="D226" s="191"/>
      <c r="E226" s="191"/>
      <c r="F226" s="191"/>
      <c r="G226" s="191"/>
      <c r="H226" s="191"/>
      <c r="I226" s="191"/>
      <c r="J226" s="191"/>
      <c r="K226" s="191"/>
      <c r="L226" s="191"/>
      <c r="M226" s="191"/>
      <c r="N226" s="191"/>
      <c r="O226" s="191"/>
      <c r="P226" s="191"/>
    </row>
    <row r="227" spans="1:16" x14ac:dyDescent="0.35">
      <c r="A227" s="191"/>
      <c r="B227" s="191"/>
      <c r="C227" s="191"/>
      <c r="D227" s="191"/>
      <c r="E227" s="191"/>
      <c r="F227" s="191"/>
      <c r="G227" s="191"/>
      <c r="H227" s="191"/>
      <c r="I227" s="191"/>
      <c r="J227" s="191"/>
      <c r="K227" s="191"/>
      <c r="L227" s="191"/>
      <c r="M227" s="191"/>
      <c r="N227" s="191"/>
      <c r="O227" s="191"/>
      <c r="P227" s="191"/>
    </row>
    <row r="228" spans="1:16" x14ac:dyDescent="0.35">
      <c r="A228" s="191"/>
      <c r="B228" s="191"/>
      <c r="C228" s="191"/>
      <c r="D228" s="191"/>
      <c r="E228" s="191"/>
      <c r="F228" s="191"/>
      <c r="G228" s="191"/>
      <c r="H228" s="191"/>
      <c r="I228" s="191"/>
      <c r="J228" s="191"/>
      <c r="K228" s="191"/>
      <c r="L228" s="191"/>
      <c r="M228" s="191"/>
      <c r="N228" s="191"/>
      <c r="O228" s="191"/>
      <c r="P228" s="191"/>
    </row>
    <row r="229" spans="1:16" x14ac:dyDescent="0.35">
      <c r="A229" s="191"/>
      <c r="B229" s="191"/>
      <c r="C229" s="191"/>
      <c r="D229" s="191"/>
      <c r="E229" s="191"/>
      <c r="F229" s="191"/>
      <c r="G229" s="191"/>
      <c r="H229" s="191"/>
      <c r="I229" s="191"/>
      <c r="J229" s="191"/>
      <c r="K229" s="191"/>
      <c r="L229" s="191"/>
      <c r="M229" s="191"/>
      <c r="N229" s="191"/>
      <c r="O229" s="191"/>
      <c r="P229" s="191"/>
    </row>
    <row r="230" spans="1:16" x14ac:dyDescent="0.35">
      <c r="A230" s="191"/>
      <c r="B230" s="191"/>
      <c r="C230" s="191"/>
      <c r="D230" s="191"/>
      <c r="E230" s="191"/>
      <c r="F230" s="191"/>
      <c r="G230" s="191"/>
      <c r="H230" s="191"/>
      <c r="I230" s="191"/>
      <c r="J230" s="191"/>
      <c r="K230" s="191"/>
      <c r="L230" s="191"/>
      <c r="M230" s="191"/>
      <c r="N230" s="191"/>
      <c r="O230" s="191"/>
      <c r="P230" s="191"/>
    </row>
    <row r="231" spans="1:16" x14ac:dyDescent="0.35">
      <c r="A231" s="191"/>
      <c r="B231" s="191"/>
      <c r="C231" s="191"/>
      <c r="D231" s="191"/>
      <c r="E231" s="191"/>
      <c r="F231" s="191"/>
      <c r="G231" s="191"/>
      <c r="H231" s="191"/>
      <c r="I231" s="191"/>
      <c r="J231" s="191"/>
      <c r="K231" s="191"/>
      <c r="L231" s="191"/>
      <c r="M231" s="191"/>
      <c r="N231" s="191"/>
      <c r="O231" s="191"/>
      <c r="P231" s="191"/>
    </row>
    <row r="232" spans="1:16" x14ac:dyDescent="0.35">
      <c r="A232" s="191"/>
      <c r="B232" s="191"/>
      <c r="C232" s="191"/>
      <c r="D232" s="191"/>
      <c r="E232" s="191"/>
      <c r="F232" s="191"/>
      <c r="G232" s="191"/>
      <c r="H232" s="191"/>
      <c r="I232" s="191"/>
      <c r="J232" s="191"/>
      <c r="K232" s="191"/>
      <c r="L232" s="191"/>
      <c r="M232" s="191"/>
      <c r="N232" s="191"/>
      <c r="O232" s="191"/>
      <c r="P232" s="191"/>
    </row>
    <row r="233" spans="1:16" x14ac:dyDescent="0.35">
      <c r="A233" s="191"/>
      <c r="B233" s="191"/>
      <c r="C233" s="191"/>
      <c r="D233" s="191"/>
      <c r="E233" s="191"/>
      <c r="F233" s="191"/>
      <c r="G233" s="191"/>
      <c r="H233" s="191"/>
      <c r="I233" s="191"/>
      <c r="J233" s="191"/>
      <c r="K233" s="191"/>
      <c r="L233" s="191"/>
      <c r="M233" s="191"/>
      <c r="N233" s="191"/>
      <c r="O233" s="191"/>
      <c r="P233" s="191"/>
    </row>
    <row r="234" spans="1:16" x14ac:dyDescent="0.35">
      <c r="A234" s="191"/>
      <c r="B234" s="191"/>
      <c r="C234" s="191"/>
      <c r="D234" s="191"/>
      <c r="E234" s="191"/>
      <c r="F234" s="191"/>
      <c r="G234" s="191"/>
      <c r="H234" s="191"/>
      <c r="I234" s="191"/>
      <c r="J234" s="191"/>
      <c r="K234" s="191"/>
      <c r="L234" s="191"/>
      <c r="M234" s="191"/>
      <c r="N234" s="191"/>
      <c r="O234" s="191"/>
      <c r="P234" s="191"/>
    </row>
    <row r="235" spans="1:16" x14ac:dyDescent="0.35">
      <c r="A235" s="191"/>
      <c r="B235" s="191"/>
      <c r="C235" s="191"/>
      <c r="D235" s="191"/>
      <c r="E235" s="191"/>
      <c r="F235" s="191"/>
      <c r="G235" s="191"/>
      <c r="H235" s="191"/>
      <c r="I235" s="191"/>
      <c r="J235" s="191"/>
      <c r="K235" s="191"/>
      <c r="L235" s="191"/>
      <c r="M235" s="191"/>
      <c r="N235" s="191"/>
      <c r="O235" s="191"/>
      <c r="P235" s="191"/>
    </row>
    <row r="236" spans="1:16" x14ac:dyDescent="0.35">
      <c r="A236" s="191"/>
      <c r="B236" s="191"/>
      <c r="C236" s="191"/>
      <c r="D236" s="191"/>
      <c r="E236" s="191"/>
      <c r="F236" s="191"/>
      <c r="G236" s="191"/>
      <c r="H236" s="191"/>
      <c r="I236" s="191"/>
      <c r="J236" s="191"/>
      <c r="K236" s="191"/>
      <c r="L236" s="191"/>
      <c r="M236" s="191"/>
      <c r="N236" s="191"/>
      <c r="O236" s="191"/>
      <c r="P236" s="191"/>
    </row>
    <row r="237" spans="1:16" x14ac:dyDescent="0.35">
      <c r="A237" s="191"/>
      <c r="B237" s="191"/>
      <c r="C237" s="191"/>
      <c r="D237" s="191"/>
      <c r="E237" s="191"/>
      <c r="F237" s="191"/>
      <c r="G237" s="191"/>
      <c r="H237" s="191"/>
      <c r="I237" s="191"/>
      <c r="J237" s="191"/>
      <c r="K237" s="191"/>
      <c r="L237" s="191"/>
      <c r="M237" s="191"/>
      <c r="N237" s="191"/>
      <c r="O237" s="191"/>
      <c r="P237" s="191"/>
    </row>
    <row r="238" spans="1:16" x14ac:dyDescent="0.35">
      <c r="A238" s="191"/>
      <c r="B238" s="191"/>
      <c r="C238" s="191"/>
      <c r="D238" s="191"/>
      <c r="E238" s="191"/>
      <c r="F238" s="191"/>
      <c r="G238" s="191"/>
      <c r="H238" s="191"/>
      <c r="I238" s="191"/>
      <c r="J238" s="191"/>
      <c r="K238" s="191"/>
      <c r="L238" s="191"/>
      <c r="M238" s="191"/>
      <c r="N238" s="191"/>
      <c r="O238" s="191"/>
      <c r="P238" s="191"/>
    </row>
    <row r="239" spans="1:16" x14ac:dyDescent="0.35">
      <c r="A239" s="191"/>
      <c r="B239" s="191"/>
      <c r="C239" s="191"/>
      <c r="D239" s="191"/>
      <c r="E239" s="191"/>
      <c r="F239" s="191"/>
      <c r="G239" s="191"/>
      <c r="H239" s="191"/>
      <c r="I239" s="191"/>
      <c r="J239" s="191"/>
      <c r="K239" s="191"/>
      <c r="L239" s="191"/>
      <c r="M239" s="191"/>
      <c r="N239" s="191"/>
      <c r="O239" s="191"/>
      <c r="P239" s="191"/>
    </row>
    <row r="240" spans="1:16" x14ac:dyDescent="0.35">
      <c r="A240" s="191"/>
      <c r="B240" s="191"/>
      <c r="C240" s="191"/>
      <c r="D240" s="191"/>
      <c r="E240" s="191"/>
      <c r="F240" s="191"/>
      <c r="G240" s="191"/>
      <c r="H240" s="191"/>
      <c r="I240" s="191"/>
      <c r="J240" s="191"/>
      <c r="K240" s="191"/>
      <c r="L240" s="191"/>
      <c r="M240" s="191"/>
      <c r="N240" s="191"/>
      <c r="O240" s="191"/>
      <c r="P240" s="191"/>
    </row>
    <row r="241" spans="1:16" x14ac:dyDescent="0.35">
      <c r="A241" s="191"/>
      <c r="B241" s="191"/>
      <c r="C241" s="191"/>
      <c r="D241" s="191"/>
      <c r="E241" s="191"/>
      <c r="F241" s="191"/>
      <c r="G241" s="191"/>
      <c r="H241" s="191"/>
      <c r="I241" s="191"/>
      <c r="J241" s="191"/>
      <c r="K241" s="191"/>
      <c r="L241" s="191"/>
      <c r="M241" s="191"/>
      <c r="N241" s="191"/>
      <c r="O241" s="191"/>
      <c r="P241" s="191"/>
    </row>
    <row r="242" spans="1:16" x14ac:dyDescent="0.35">
      <c r="A242" s="191"/>
      <c r="B242" s="191"/>
      <c r="C242" s="191"/>
      <c r="D242" s="191"/>
      <c r="E242" s="191"/>
      <c r="F242" s="191"/>
      <c r="G242" s="191"/>
      <c r="H242" s="191"/>
      <c r="I242" s="191"/>
      <c r="J242" s="191"/>
      <c r="K242" s="191"/>
      <c r="L242" s="191"/>
      <c r="M242" s="191"/>
      <c r="N242" s="191"/>
      <c r="O242" s="191"/>
      <c r="P242" s="191"/>
    </row>
    <row r="243" spans="1:16" x14ac:dyDescent="0.35">
      <c r="A243" s="191"/>
      <c r="B243" s="191"/>
      <c r="C243" s="191"/>
      <c r="D243" s="191"/>
      <c r="E243" s="191"/>
      <c r="F243" s="191"/>
      <c r="G243" s="191"/>
      <c r="H243" s="191"/>
      <c r="I243" s="191"/>
      <c r="J243" s="191"/>
      <c r="K243" s="191"/>
      <c r="L243" s="191"/>
      <c r="M243" s="191"/>
      <c r="N243" s="191"/>
      <c r="O243" s="191"/>
      <c r="P243" s="191"/>
    </row>
    <row r="244" spans="1:16" x14ac:dyDescent="0.35">
      <c r="A244" s="191"/>
      <c r="B244" s="191"/>
      <c r="C244" s="191"/>
      <c r="D244" s="191"/>
      <c r="E244" s="191"/>
      <c r="F244" s="191"/>
      <c r="G244" s="191"/>
      <c r="H244" s="191"/>
      <c r="I244" s="191"/>
      <c r="J244" s="191"/>
      <c r="K244" s="191"/>
      <c r="L244" s="191"/>
      <c r="M244" s="191"/>
      <c r="N244" s="191"/>
      <c r="O244" s="191"/>
      <c r="P244" s="191"/>
    </row>
    <row r="245" spans="1:16" x14ac:dyDescent="0.35">
      <c r="A245" s="191"/>
      <c r="B245" s="191"/>
      <c r="C245" s="191"/>
      <c r="D245" s="191"/>
      <c r="E245" s="191"/>
      <c r="F245" s="191"/>
      <c r="G245" s="191"/>
      <c r="H245" s="191"/>
      <c r="I245" s="191"/>
      <c r="J245" s="191"/>
      <c r="K245" s="191"/>
      <c r="L245" s="191"/>
      <c r="M245" s="191"/>
      <c r="N245" s="191"/>
      <c r="O245" s="191"/>
      <c r="P245" s="191"/>
    </row>
    <row r="246" spans="1:16" x14ac:dyDescent="0.35">
      <c r="A246" s="191"/>
      <c r="B246" s="191"/>
      <c r="C246" s="191"/>
      <c r="D246" s="191"/>
      <c r="E246" s="191"/>
      <c r="F246" s="191"/>
      <c r="G246" s="191"/>
      <c r="H246" s="191"/>
      <c r="I246" s="191"/>
      <c r="J246" s="191"/>
      <c r="K246" s="191"/>
      <c r="L246" s="191"/>
      <c r="M246" s="191"/>
      <c r="N246" s="191"/>
      <c r="O246" s="191"/>
      <c r="P246" s="191"/>
    </row>
    <row r="247" spans="1:16" x14ac:dyDescent="0.35">
      <c r="A247" s="191"/>
      <c r="B247" s="191"/>
      <c r="C247" s="191"/>
      <c r="D247" s="191"/>
      <c r="E247" s="191"/>
      <c r="F247" s="191"/>
      <c r="G247" s="191"/>
      <c r="H247" s="191"/>
      <c r="I247" s="191"/>
      <c r="J247" s="191"/>
      <c r="K247" s="191"/>
      <c r="L247" s="191"/>
      <c r="M247" s="191"/>
      <c r="N247" s="191"/>
      <c r="O247" s="191"/>
      <c r="P247" s="191"/>
    </row>
    <row r="248" spans="1:16" x14ac:dyDescent="0.35">
      <c r="A248" s="191"/>
      <c r="B248" s="191"/>
      <c r="C248" s="191"/>
      <c r="D248" s="191"/>
      <c r="E248" s="191"/>
      <c r="F248" s="191"/>
      <c r="G248" s="191"/>
      <c r="H248" s="191"/>
      <c r="I248" s="191"/>
      <c r="J248" s="191"/>
      <c r="K248" s="191"/>
      <c r="L248" s="191"/>
      <c r="M248" s="191"/>
      <c r="N248" s="191"/>
      <c r="O248" s="191"/>
      <c r="P248" s="191"/>
    </row>
    <row r="249" spans="1:16" x14ac:dyDescent="0.35">
      <c r="A249" s="191"/>
      <c r="B249" s="191"/>
      <c r="C249" s="191"/>
      <c r="D249" s="191"/>
      <c r="E249" s="191"/>
      <c r="F249" s="191"/>
      <c r="G249" s="191"/>
      <c r="H249" s="191"/>
      <c r="I249" s="191"/>
      <c r="J249" s="191"/>
      <c r="K249" s="191"/>
      <c r="L249" s="191"/>
      <c r="M249" s="191"/>
      <c r="N249" s="191"/>
      <c r="O249" s="191"/>
      <c r="P249" s="191"/>
    </row>
    <row r="250" spans="1:16" x14ac:dyDescent="0.35">
      <c r="A250" s="191"/>
      <c r="B250" s="191"/>
      <c r="C250" s="191"/>
      <c r="D250" s="191"/>
      <c r="E250" s="191"/>
      <c r="F250" s="191"/>
      <c r="G250" s="191"/>
      <c r="H250" s="191"/>
      <c r="I250" s="191"/>
      <c r="J250" s="191"/>
      <c r="K250" s="191"/>
      <c r="L250" s="191"/>
      <c r="M250" s="191"/>
      <c r="N250" s="191"/>
      <c r="O250" s="191"/>
      <c r="P250" s="191"/>
    </row>
    <row r="251" spans="1:16" x14ac:dyDescent="0.35">
      <c r="A251" s="191"/>
      <c r="B251" s="191"/>
      <c r="C251" s="191"/>
      <c r="D251" s="191"/>
      <c r="E251" s="191"/>
      <c r="F251" s="191"/>
      <c r="G251" s="191"/>
      <c r="H251" s="191"/>
      <c r="I251" s="191"/>
      <c r="J251" s="191"/>
      <c r="K251" s="191"/>
      <c r="L251" s="191"/>
      <c r="M251" s="191"/>
      <c r="N251" s="191"/>
      <c r="O251" s="191"/>
      <c r="P251" s="191"/>
    </row>
    <row r="252" spans="1:16" x14ac:dyDescent="0.35">
      <c r="A252" s="191"/>
      <c r="B252" s="191"/>
      <c r="C252" s="191"/>
      <c r="D252" s="191"/>
      <c r="E252" s="191"/>
      <c r="F252" s="191"/>
      <c r="G252" s="191"/>
      <c r="H252" s="191"/>
      <c r="I252" s="191"/>
      <c r="J252" s="191"/>
      <c r="K252" s="191"/>
      <c r="L252" s="191"/>
      <c r="M252" s="191"/>
      <c r="N252" s="191"/>
      <c r="O252" s="191"/>
      <c r="P252" s="191"/>
    </row>
    <row r="253" spans="1:16" x14ac:dyDescent="0.35">
      <c r="A253" s="191"/>
      <c r="B253" s="191"/>
      <c r="C253" s="191"/>
      <c r="D253" s="191"/>
      <c r="E253" s="191"/>
      <c r="F253" s="191"/>
      <c r="G253" s="191"/>
      <c r="H253" s="191"/>
      <c r="I253" s="191"/>
      <c r="J253" s="191"/>
      <c r="K253" s="191"/>
      <c r="L253" s="191"/>
      <c r="M253" s="191"/>
      <c r="N253" s="191"/>
      <c r="O253" s="191"/>
      <c r="P253" s="191"/>
    </row>
  </sheetData>
  <conditionalFormatting sqref="B5:K204">
    <cfRule type="cellIs" dxfId="13" priority="1" stopIfTrue="1" operator="equal">
      <formula>0</formula>
    </cfRule>
  </conditionalFormatting>
  <conditionalFormatting sqref="B5:K203">
    <cfRule type="cellIs" priority="2" stopIfTrue="1" operator="equal">
      <formula>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CFFFF"/>
  </sheetPr>
  <dimension ref="A2:Q89"/>
  <sheetViews>
    <sheetView showGridLines="0" showRowColHeaders="0" zoomScale="90" zoomScaleNormal="90" workbookViewId="0">
      <pane xSplit="1" ySplit="4" topLeftCell="B34" activePane="bottomRight" state="frozen"/>
      <selection activeCell="A5" sqref="A5"/>
      <selection pane="topRight" activeCell="A5" sqref="A5"/>
      <selection pane="bottomLeft" activeCell="A5" sqref="A5"/>
      <selection pane="bottomRight" activeCell="A4" sqref="A4:N73"/>
    </sheetView>
  </sheetViews>
  <sheetFormatPr defaultColWidth="0" defaultRowHeight="14.5" x14ac:dyDescent="0.35"/>
  <cols>
    <col min="1" max="1" width="30.6328125" style="76" customWidth="1"/>
    <col min="2" max="14" width="10.6328125" style="76" customWidth="1"/>
    <col min="15" max="16" width="8.90625" style="76" customWidth="1"/>
    <col min="17" max="17" width="2.453125" style="76" customWidth="1"/>
    <col min="18" max="16384" width="8.90625" style="76" hidden="1"/>
  </cols>
  <sheetData>
    <row r="2" spans="1:17" ht="15.5" x14ac:dyDescent="0.35">
      <c r="A2" s="77" t="s">
        <v>27</v>
      </c>
    </row>
    <row r="4" spans="1:17" x14ac:dyDescent="0.35">
      <c r="A4" s="196"/>
      <c r="B4" s="196"/>
      <c r="C4" s="196"/>
      <c r="D4" s="196"/>
      <c r="E4" s="196"/>
      <c r="F4" s="196"/>
      <c r="G4" s="196"/>
      <c r="H4" s="196"/>
      <c r="I4" s="196"/>
      <c r="J4" s="196"/>
      <c r="K4" s="196"/>
      <c r="L4" s="196"/>
      <c r="M4" s="196"/>
      <c r="N4" s="196"/>
      <c r="O4" s="98"/>
      <c r="P4" s="98"/>
      <c r="Q4" s="98"/>
    </row>
    <row r="5" spans="1:17" x14ac:dyDescent="0.35">
      <c r="A5" s="196"/>
      <c r="B5" s="198"/>
      <c r="C5" s="198"/>
      <c r="D5" s="198"/>
      <c r="E5" s="198"/>
      <c r="F5" s="198"/>
      <c r="G5" s="198"/>
      <c r="H5" s="198"/>
      <c r="I5" s="198"/>
      <c r="J5" s="197"/>
      <c r="K5" s="197"/>
      <c r="L5" s="197"/>
      <c r="M5" s="196"/>
      <c r="N5" s="196"/>
      <c r="O5" s="98"/>
      <c r="P5" s="98"/>
      <c r="Q5" s="98"/>
    </row>
    <row r="6" spans="1:17" x14ac:dyDescent="0.35">
      <c r="A6" s="199"/>
      <c r="B6" s="200"/>
      <c r="C6" s="200"/>
      <c r="D6" s="200"/>
      <c r="E6" s="200"/>
      <c r="F6" s="200"/>
      <c r="G6" s="200"/>
      <c r="H6" s="200"/>
      <c r="I6" s="200"/>
      <c r="J6" s="201"/>
      <c r="K6" s="201"/>
      <c r="L6" s="201"/>
      <c r="M6" s="199"/>
      <c r="N6" s="199"/>
      <c r="O6" s="98"/>
      <c r="P6" s="98"/>
      <c r="Q6" s="98"/>
    </row>
    <row r="7" spans="1:17" x14ac:dyDescent="0.35">
      <c r="A7" s="84"/>
      <c r="B7" s="85"/>
      <c r="C7" s="85"/>
      <c r="D7" s="85"/>
      <c r="E7" s="85"/>
      <c r="F7" s="85"/>
      <c r="G7" s="85"/>
      <c r="H7" s="85"/>
      <c r="I7" s="85"/>
      <c r="J7" s="197"/>
      <c r="K7" s="197"/>
      <c r="L7" s="197"/>
      <c r="M7" s="196"/>
      <c r="N7" s="196"/>
      <c r="O7" s="98"/>
      <c r="P7" s="98"/>
      <c r="Q7" s="98"/>
    </row>
    <row r="8" spans="1:17" x14ac:dyDescent="0.35">
      <c r="A8" s="84"/>
      <c r="B8" s="85"/>
      <c r="C8" s="85"/>
      <c r="D8" s="85"/>
      <c r="E8" s="85"/>
      <c r="F8" s="85"/>
      <c r="G8" s="85"/>
      <c r="H8" s="85"/>
      <c r="I8" s="85"/>
      <c r="J8" s="197"/>
      <c r="K8" s="197"/>
      <c r="L8" s="197"/>
      <c r="M8" s="196"/>
      <c r="N8" s="196"/>
      <c r="O8" s="98"/>
      <c r="P8" s="98"/>
      <c r="Q8" s="98"/>
    </row>
    <row r="9" spans="1:17" x14ac:dyDescent="0.35">
      <c r="A9" s="84"/>
      <c r="B9" s="85"/>
      <c r="C9" s="85"/>
      <c r="D9" s="85"/>
      <c r="E9" s="85"/>
      <c r="F9" s="85"/>
      <c r="G9" s="85"/>
      <c r="H9" s="85"/>
      <c r="I9" s="85"/>
      <c r="J9" s="197"/>
      <c r="K9" s="197"/>
      <c r="L9" s="197"/>
      <c r="M9" s="196"/>
      <c r="N9" s="196"/>
      <c r="O9" s="98"/>
      <c r="P9" s="98"/>
      <c r="Q9" s="98"/>
    </row>
    <row r="10" spans="1:17" x14ac:dyDescent="0.35">
      <c r="A10" s="84"/>
      <c r="B10" s="85"/>
      <c r="C10" s="85"/>
      <c r="D10" s="85"/>
      <c r="E10" s="85"/>
      <c r="F10" s="85"/>
      <c r="G10" s="85"/>
      <c r="H10" s="85"/>
      <c r="I10" s="85"/>
      <c r="J10" s="197"/>
      <c r="K10" s="197"/>
      <c r="L10" s="197"/>
      <c r="M10" s="196"/>
      <c r="N10" s="196"/>
      <c r="O10" s="98"/>
      <c r="P10" s="98"/>
      <c r="Q10" s="98"/>
    </row>
    <row r="11" spans="1:17" x14ac:dyDescent="0.35">
      <c r="A11" s="84"/>
      <c r="B11" s="85"/>
      <c r="C11" s="85"/>
      <c r="D11" s="85"/>
      <c r="E11" s="85"/>
      <c r="F11" s="85"/>
      <c r="G11" s="85"/>
      <c r="H11" s="85"/>
      <c r="I11" s="85"/>
      <c r="J11" s="197"/>
      <c r="K11" s="197"/>
      <c r="L11" s="197"/>
      <c r="M11" s="196"/>
      <c r="N11" s="196"/>
      <c r="O11" s="98"/>
      <c r="P11" s="98"/>
      <c r="Q11" s="98"/>
    </row>
    <row r="12" spans="1:17" x14ac:dyDescent="0.35">
      <c r="A12" s="84"/>
      <c r="B12" s="85"/>
      <c r="C12" s="85"/>
      <c r="D12" s="85"/>
      <c r="E12" s="85"/>
      <c r="F12" s="85"/>
      <c r="G12" s="85"/>
      <c r="H12" s="85"/>
      <c r="I12" s="85"/>
      <c r="J12" s="197"/>
      <c r="K12" s="197"/>
      <c r="L12" s="197"/>
      <c r="M12" s="196"/>
      <c r="N12" s="196"/>
      <c r="O12" s="98"/>
      <c r="P12" s="98"/>
      <c r="Q12" s="98"/>
    </row>
    <row r="13" spans="1:17" x14ac:dyDescent="0.35">
      <c r="A13" s="84"/>
      <c r="B13" s="85"/>
      <c r="C13" s="85"/>
      <c r="D13" s="85"/>
      <c r="E13" s="85"/>
      <c r="F13" s="85"/>
      <c r="G13" s="85"/>
      <c r="H13" s="85"/>
      <c r="I13" s="85"/>
      <c r="J13" s="197"/>
      <c r="K13" s="197"/>
      <c r="L13" s="197"/>
      <c r="M13" s="196"/>
      <c r="N13" s="196"/>
      <c r="O13" s="98"/>
      <c r="P13" s="98"/>
      <c r="Q13" s="98"/>
    </row>
    <row r="14" spans="1:17" x14ac:dyDescent="0.35">
      <c r="A14" s="84"/>
      <c r="B14" s="85"/>
      <c r="C14" s="85"/>
      <c r="D14" s="85"/>
      <c r="E14" s="85"/>
      <c r="F14" s="85"/>
      <c r="G14" s="85"/>
      <c r="H14" s="85"/>
      <c r="I14" s="85"/>
      <c r="J14" s="197"/>
      <c r="K14" s="197"/>
      <c r="L14" s="197"/>
      <c r="M14" s="196"/>
      <c r="N14" s="196"/>
      <c r="O14" s="98"/>
      <c r="P14" s="98"/>
      <c r="Q14" s="98"/>
    </row>
    <row r="15" spans="1:17" x14ac:dyDescent="0.35">
      <c r="A15" s="84"/>
      <c r="B15" s="85"/>
      <c r="C15" s="85"/>
      <c r="D15" s="85"/>
      <c r="E15" s="85"/>
      <c r="F15" s="85"/>
      <c r="G15" s="85"/>
      <c r="H15" s="85"/>
      <c r="I15" s="85"/>
      <c r="J15" s="197"/>
      <c r="K15" s="197"/>
      <c r="L15" s="197"/>
      <c r="M15" s="196"/>
      <c r="N15" s="196"/>
      <c r="O15" s="98"/>
      <c r="P15" s="98"/>
      <c r="Q15" s="98"/>
    </row>
    <row r="16" spans="1:17" x14ac:dyDescent="0.35">
      <c r="A16" s="84"/>
      <c r="B16" s="85"/>
      <c r="C16" s="85"/>
      <c r="D16" s="85"/>
      <c r="E16" s="85"/>
      <c r="F16" s="85"/>
      <c r="G16" s="85"/>
      <c r="H16" s="85"/>
      <c r="I16" s="85"/>
      <c r="J16" s="197"/>
      <c r="K16" s="197"/>
      <c r="L16" s="197"/>
      <c r="M16" s="196"/>
      <c r="N16" s="196"/>
      <c r="O16" s="98"/>
      <c r="P16" s="98"/>
      <c r="Q16" s="98"/>
    </row>
    <row r="17" spans="1:17" x14ac:dyDescent="0.35">
      <c r="A17" s="84"/>
      <c r="B17" s="85"/>
      <c r="C17" s="85"/>
      <c r="D17" s="85"/>
      <c r="E17" s="85"/>
      <c r="F17" s="85"/>
      <c r="G17" s="85"/>
      <c r="H17" s="85"/>
      <c r="I17" s="85"/>
      <c r="J17" s="197"/>
      <c r="K17" s="197"/>
      <c r="L17" s="197"/>
      <c r="M17" s="196"/>
      <c r="N17" s="196"/>
      <c r="O17" s="98"/>
      <c r="P17" s="98"/>
      <c r="Q17" s="98"/>
    </row>
    <row r="18" spans="1:17" x14ac:dyDescent="0.35">
      <c r="A18" s="84"/>
      <c r="B18" s="85"/>
      <c r="C18" s="85"/>
      <c r="D18" s="85"/>
      <c r="E18" s="85"/>
      <c r="F18" s="85"/>
      <c r="G18" s="85"/>
      <c r="H18" s="85"/>
      <c r="I18" s="85"/>
      <c r="J18" s="197"/>
      <c r="K18" s="197"/>
      <c r="L18" s="197"/>
      <c r="M18" s="196"/>
      <c r="N18" s="196"/>
      <c r="O18" s="98"/>
      <c r="P18" s="98"/>
      <c r="Q18" s="98"/>
    </row>
    <row r="19" spans="1:17" x14ac:dyDescent="0.35">
      <c r="A19" s="84"/>
      <c r="B19" s="85"/>
      <c r="C19" s="85"/>
      <c r="D19" s="85"/>
      <c r="E19" s="85"/>
      <c r="F19" s="85"/>
      <c r="G19" s="85"/>
      <c r="H19" s="85"/>
      <c r="I19" s="85"/>
      <c r="J19" s="197"/>
      <c r="K19" s="197"/>
      <c r="L19" s="197"/>
      <c r="M19" s="196"/>
      <c r="N19" s="196"/>
      <c r="O19" s="98"/>
      <c r="P19" s="98"/>
      <c r="Q19" s="98"/>
    </row>
    <row r="20" spans="1:17" x14ac:dyDescent="0.35">
      <c r="A20" s="84"/>
      <c r="B20" s="85"/>
      <c r="C20" s="85"/>
      <c r="D20" s="85"/>
      <c r="E20" s="85"/>
      <c r="F20" s="85"/>
      <c r="G20" s="85"/>
      <c r="H20" s="85"/>
      <c r="I20" s="85"/>
      <c r="J20" s="197"/>
      <c r="K20" s="197"/>
      <c r="L20" s="197"/>
      <c r="M20" s="196"/>
      <c r="N20" s="196"/>
      <c r="O20" s="98"/>
      <c r="P20" s="98"/>
      <c r="Q20" s="98"/>
    </row>
    <row r="21" spans="1:17" x14ac:dyDescent="0.35">
      <c r="A21" s="84"/>
      <c r="B21" s="85"/>
      <c r="C21" s="85"/>
      <c r="D21" s="85"/>
      <c r="E21" s="85"/>
      <c r="F21" s="85"/>
      <c r="G21" s="85"/>
      <c r="H21" s="85"/>
      <c r="I21" s="85"/>
      <c r="J21" s="197"/>
      <c r="K21" s="197"/>
      <c r="L21" s="197"/>
      <c r="M21" s="196"/>
      <c r="N21" s="196"/>
      <c r="O21" s="98"/>
      <c r="P21" s="98"/>
      <c r="Q21" s="98"/>
    </row>
    <row r="22" spans="1:17" x14ac:dyDescent="0.35">
      <c r="A22" s="84"/>
      <c r="B22" s="85"/>
      <c r="C22" s="85"/>
      <c r="D22" s="85"/>
      <c r="E22" s="85"/>
      <c r="F22" s="85"/>
      <c r="G22" s="85"/>
      <c r="H22" s="85"/>
      <c r="I22" s="85"/>
      <c r="J22" s="197"/>
      <c r="K22" s="197"/>
      <c r="L22" s="197"/>
      <c r="M22" s="196"/>
      <c r="N22" s="196"/>
      <c r="O22" s="98"/>
      <c r="P22" s="98"/>
      <c r="Q22" s="98"/>
    </row>
    <row r="23" spans="1:17" x14ac:dyDescent="0.35">
      <c r="A23" s="84"/>
      <c r="B23" s="85"/>
      <c r="C23" s="85"/>
      <c r="D23" s="85"/>
      <c r="E23" s="85"/>
      <c r="F23" s="85"/>
      <c r="G23" s="85"/>
      <c r="H23" s="85"/>
      <c r="I23" s="85"/>
      <c r="J23" s="197"/>
      <c r="K23" s="197"/>
      <c r="L23" s="197"/>
      <c r="M23" s="196"/>
      <c r="N23" s="196"/>
      <c r="O23" s="98"/>
      <c r="P23" s="98"/>
      <c r="Q23" s="98"/>
    </row>
    <row r="24" spans="1:17" x14ac:dyDescent="0.35">
      <c r="A24" s="84"/>
      <c r="B24" s="85"/>
      <c r="C24" s="85"/>
      <c r="D24" s="85"/>
      <c r="E24" s="85"/>
      <c r="F24" s="85"/>
      <c r="G24" s="85"/>
      <c r="H24" s="85"/>
      <c r="I24" s="85"/>
      <c r="J24" s="197"/>
      <c r="K24" s="197"/>
      <c r="L24" s="197"/>
      <c r="M24" s="196"/>
      <c r="N24" s="196"/>
      <c r="O24" s="98"/>
      <c r="P24" s="98"/>
      <c r="Q24" s="98"/>
    </row>
    <row r="25" spans="1:17" x14ac:dyDescent="0.35">
      <c r="A25" s="84"/>
      <c r="B25" s="85"/>
      <c r="C25" s="85"/>
      <c r="D25" s="85"/>
      <c r="E25" s="85"/>
      <c r="F25" s="85"/>
      <c r="G25" s="85"/>
      <c r="H25" s="85"/>
      <c r="I25" s="85"/>
      <c r="J25" s="197"/>
      <c r="K25" s="197"/>
      <c r="L25" s="197"/>
      <c r="M25" s="196"/>
      <c r="N25" s="196"/>
      <c r="O25" s="98"/>
      <c r="P25" s="98"/>
      <c r="Q25" s="98"/>
    </row>
    <row r="26" spans="1:17" x14ac:dyDescent="0.35">
      <c r="A26" s="199"/>
      <c r="B26" s="200"/>
      <c r="C26" s="200"/>
      <c r="D26" s="200"/>
      <c r="E26" s="200"/>
      <c r="F26" s="200"/>
      <c r="G26" s="200"/>
      <c r="H26" s="200"/>
      <c r="I26" s="200"/>
      <c r="J26" s="201"/>
      <c r="K26" s="201"/>
      <c r="L26" s="201"/>
      <c r="M26" s="199"/>
      <c r="N26" s="199"/>
      <c r="O26" s="98"/>
      <c r="P26" s="98"/>
      <c r="Q26" s="98"/>
    </row>
    <row r="27" spans="1:17" x14ac:dyDescent="0.35">
      <c r="A27" s="84"/>
      <c r="B27" s="85"/>
      <c r="C27" s="85"/>
      <c r="D27" s="85"/>
      <c r="E27" s="85"/>
      <c r="F27" s="85"/>
      <c r="G27" s="85"/>
      <c r="H27" s="85"/>
      <c r="I27" s="85"/>
      <c r="J27" s="197"/>
      <c r="K27" s="197"/>
      <c r="L27" s="197"/>
      <c r="M27" s="196"/>
      <c r="N27" s="196"/>
      <c r="O27" s="98"/>
      <c r="P27" s="98"/>
      <c r="Q27" s="98"/>
    </row>
    <row r="28" spans="1:17" x14ac:dyDescent="0.35">
      <c r="A28" s="84"/>
      <c r="B28" s="85"/>
      <c r="C28" s="85"/>
      <c r="D28" s="85"/>
      <c r="E28" s="85"/>
      <c r="F28" s="85"/>
      <c r="G28" s="85"/>
      <c r="H28" s="85"/>
      <c r="I28" s="85"/>
      <c r="J28" s="197"/>
      <c r="K28" s="197"/>
      <c r="L28" s="197"/>
      <c r="M28" s="196"/>
      <c r="N28" s="196"/>
      <c r="O28" s="98"/>
      <c r="P28" s="98"/>
      <c r="Q28" s="98"/>
    </row>
    <row r="29" spans="1:17" x14ac:dyDescent="0.35">
      <c r="A29" s="199"/>
      <c r="B29" s="200"/>
      <c r="C29" s="200"/>
      <c r="D29" s="200"/>
      <c r="E29" s="200"/>
      <c r="F29" s="200"/>
      <c r="G29" s="200"/>
      <c r="H29" s="200"/>
      <c r="I29" s="200"/>
      <c r="J29" s="201"/>
      <c r="K29" s="201"/>
      <c r="L29" s="201"/>
      <c r="M29" s="199"/>
      <c r="N29" s="199"/>
      <c r="O29" s="98"/>
      <c r="P29" s="98"/>
      <c r="Q29" s="98"/>
    </row>
    <row r="30" spans="1:17" x14ac:dyDescent="0.35">
      <c r="A30" s="84"/>
      <c r="B30" s="85"/>
      <c r="C30" s="85"/>
      <c r="D30" s="85"/>
      <c r="E30" s="85"/>
      <c r="F30" s="85"/>
      <c r="G30" s="85"/>
      <c r="H30" s="85"/>
      <c r="I30" s="85"/>
      <c r="J30" s="197"/>
      <c r="K30" s="197"/>
      <c r="L30" s="197"/>
      <c r="M30" s="196"/>
      <c r="N30" s="196"/>
      <c r="O30" s="98"/>
      <c r="P30" s="98"/>
      <c r="Q30" s="98"/>
    </row>
    <row r="31" spans="1:17" x14ac:dyDescent="0.35">
      <c r="A31" s="84"/>
      <c r="B31" s="85"/>
      <c r="C31" s="85"/>
      <c r="D31" s="85"/>
      <c r="E31" s="85"/>
      <c r="F31" s="85"/>
      <c r="G31" s="85"/>
      <c r="H31" s="85"/>
      <c r="I31" s="85"/>
      <c r="J31" s="197"/>
      <c r="K31" s="197"/>
      <c r="L31" s="197"/>
      <c r="M31" s="196"/>
      <c r="N31" s="196"/>
      <c r="O31" s="98"/>
      <c r="P31" s="98"/>
      <c r="Q31" s="98"/>
    </row>
    <row r="32" spans="1:17" x14ac:dyDescent="0.35">
      <c r="A32" s="84"/>
      <c r="B32" s="85"/>
      <c r="C32" s="85"/>
      <c r="D32" s="85"/>
      <c r="E32" s="85"/>
      <c r="F32" s="85"/>
      <c r="G32" s="85"/>
      <c r="H32" s="85"/>
      <c r="I32" s="85"/>
      <c r="J32" s="197"/>
      <c r="K32" s="197"/>
      <c r="L32" s="197"/>
      <c r="M32" s="196"/>
      <c r="N32" s="196"/>
      <c r="O32" s="98"/>
      <c r="P32" s="98"/>
      <c r="Q32" s="98"/>
    </row>
    <row r="33" spans="1:17" x14ac:dyDescent="0.35">
      <c r="A33" s="84"/>
      <c r="B33" s="85"/>
      <c r="C33" s="85"/>
      <c r="D33" s="85"/>
      <c r="E33" s="85"/>
      <c r="F33" s="85"/>
      <c r="G33" s="85"/>
      <c r="H33" s="85"/>
      <c r="I33" s="85"/>
      <c r="J33" s="197"/>
      <c r="K33" s="197"/>
      <c r="L33" s="197"/>
      <c r="M33" s="196"/>
      <c r="N33" s="196"/>
      <c r="O33" s="98"/>
      <c r="P33" s="98"/>
      <c r="Q33" s="98"/>
    </row>
    <row r="34" spans="1:17" x14ac:dyDescent="0.35">
      <c r="A34" s="84"/>
      <c r="B34" s="85"/>
      <c r="C34" s="85"/>
      <c r="D34" s="85"/>
      <c r="E34" s="85"/>
      <c r="F34" s="85"/>
      <c r="G34" s="85"/>
      <c r="H34" s="85"/>
      <c r="I34" s="85"/>
      <c r="J34" s="197"/>
      <c r="K34" s="197"/>
      <c r="L34" s="197"/>
      <c r="M34" s="196"/>
      <c r="N34" s="196"/>
      <c r="O34" s="98"/>
      <c r="P34" s="98"/>
      <c r="Q34" s="98"/>
    </row>
    <row r="35" spans="1:17" x14ac:dyDescent="0.35">
      <c r="A35" s="84"/>
      <c r="B35" s="85"/>
      <c r="C35" s="85"/>
      <c r="D35" s="85"/>
      <c r="E35" s="85"/>
      <c r="F35" s="85"/>
      <c r="G35" s="85"/>
      <c r="H35" s="85"/>
      <c r="I35" s="85"/>
      <c r="J35" s="197"/>
      <c r="K35" s="197"/>
      <c r="L35" s="197"/>
      <c r="M35" s="196"/>
      <c r="N35" s="196"/>
      <c r="O35" s="98"/>
      <c r="P35" s="98"/>
      <c r="Q35" s="98"/>
    </row>
    <row r="36" spans="1:17" x14ac:dyDescent="0.35">
      <c r="A36" s="199"/>
      <c r="B36" s="200"/>
      <c r="C36" s="200"/>
      <c r="D36" s="200"/>
      <c r="E36" s="200"/>
      <c r="F36" s="200"/>
      <c r="G36" s="200"/>
      <c r="H36" s="200"/>
      <c r="I36" s="200"/>
      <c r="J36" s="201"/>
      <c r="K36" s="201"/>
      <c r="L36" s="201"/>
      <c r="M36" s="199"/>
      <c r="N36" s="199"/>
      <c r="O36" s="98"/>
      <c r="P36" s="98"/>
      <c r="Q36" s="98"/>
    </row>
    <row r="37" spans="1:17" x14ac:dyDescent="0.35">
      <c r="A37" s="84"/>
      <c r="B37" s="85"/>
      <c r="C37" s="85"/>
      <c r="D37" s="85"/>
      <c r="E37" s="85"/>
      <c r="F37" s="85"/>
      <c r="G37" s="85"/>
      <c r="H37" s="85"/>
      <c r="I37" s="85"/>
      <c r="J37" s="197"/>
      <c r="K37" s="197"/>
      <c r="L37" s="197"/>
      <c r="M37" s="196"/>
      <c r="N37" s="196"/>
      <c r="O37" s="98"/>
      <c r="P37" s="98"/>
      <c r="Q37" s="98"/>
    </row>
    <row r="38" spans="1:17" x14ac:dyDescent="0.35">
      <c r="A38" s="84"/>
      <c r="B38" s="85"/>
      <c r="C38" s="85"/>
      <c r="D38" s="85"/>
      <c r="E38" s="85"/>
      <c r="F38" s="85"/>
      <c r="G38" s="85"/>
      <c r="H38" s="85"/>
      <c r="I38" s="85"/>
      <c r="J38" s="197"/>
      <c r="K38" s="197"/>
      <c r="L38" s="197"/>
      <c r="M38" s="196"/>
      <c r="N38" s="196"/>
      <c r="O38" s="98"/>
      <c r="P38" s="98"/>
      <c r="Q38" s="98"/>
    </row>
    <row r="39" spans="1:17" x14ac:dyDescent="0.35">
      <c r="A39" s="84"/>
      <c r="B39" s="85"/>
      <c r="C39" s="85"/>
      <c r="D39" s="85"/>
      <c r="E39" s="85"/>
      <c r="F39" s="85"/>
      <c r="G39" s="85"/>
      <c r="H39" s="85"/>
      <c r="I39" s="85"/>
      <c r="J39" s="197"/>
      <c r="K39" s="197"/>
      <c r="L39" s="197"/>
      <c r="M39" s="196"/>
      <c r="N39" s="196"/>
      <c r="O39" s="98"/>
      <c r="P39" s="98"/>
      <c r="Q39" s="98"/>
    </row>
    <row r="40" spans="1:17" x14ac:dyDescent="0.35">
      <c r="A40" s="199"/>
      <c r="B40" s="200"/>
      <c r="C40" s="200"/>
      <c r="D40" s="200"/>
      <c r="E40" s="200"/>
      <c r="F40" s="200"/>
      <c r="G40" s="200"/>
      <c r="H40" s="200"/>
      <c r="I40" s="200"/>
      <c r="J40" s="201"/>
      <c r="K40" s="201"/>
      <c r="L40" s="201"/>
      <c r="M40" s="199"/>
      <c r="N40" s="199"/>
      <c r="O40" s="98"/>
      <c r="P40" s="98"/>
      <c r="Q40" s="98"/>
    </row>
    <row r="41" spans="1:17" x14ac:dyDescent="0.35">
      <c r="A41" s="84"/>
      <c r="B41" s="85"/>
      <c r="C41" s="85"/>
      <c r="D41" s="85"/>
      <c r="E41" s="85"/>
      <c r="F41" s="85"/>
      <c r="G41" s="85"/>
      <c r="H41" s="85"/>
      <c r="I41" s="85"/>
      <c r="J41" s="197"/>
      <c r="K41" s="197"/>
      <c r="L41" s="197"/>
      <c r="M41" s="196"/>
      <c r="N41" s="196"/>
      <c r="O41" s="98"/>
      <c r="P41" s="98"/>
      <c r="Q41" s="98"/>
    </row>
    <row r="42" spans="1:17" x14ac:dyDescent="0.35">
      <c r="A42" s="84"/>
      <c r="B42" s="85"/>
      <c r="C42" s="85"/>
      <c r="D42" s="85"/>
      <c r="E42" s="85"/>
      <c r="F42" s="85"/>
      <c r="G42" s="85"/>
      <c r="H42" s="85"/>
      <c r="I42" s="85"/>
      <c r="J42" s="197"/>
      <c r="K42" s="197"/>
      <c r="L42" s="197"/>
      <c r="M42" s="196"/>
      <c r="N42" s="196"/>
      <c r="O42" s="98"/>
      <c r="P42" s="98"/>
      <c r="Q42" s="98"/>
    </row>
    <row r="43" spans="1:17" x14ac:dyDescent="0.35">
      <c r="A43" s="84"/>
      <c r="B43" s="85"/>
      <c r="C43" s="85"/>
      <c r="D43" s="85"/>
      <c r="E43" s="85"/>
      <c r="F43" s="85"/>
      <c r="G43" s="85"/>
      <c r="H43" s="85"/>
      <c r="I43" s="85"/>
      <c r="J43" s="197"/>
      <c r="K43" s="197"/>
      <c r="L43" s="197"/>
      <c r="M43" s="196"/>
      <c r="N43" s="196"/>
      <c r="O43" s="98"/>
      <c r="P43" s="98"/>
      <c r="Q43" s="98"/>
    </row>
    <row r="44" spans="1:17" x14ac:dyDescent="0.35">
      <c r="A44" s="84"/>
      <c r="B44" s="85"/>
      <c r="C44" s="85"/>
      <c r="D44" s="85"/>
      <c r="E44" s="85"/>
      <c r="F44" s="85"/>
      <c r="G44" s="85"/>
      <c r="H44" s="85"/>
      <c r="I44" s="85"/>
      <c r="J44" s="197"/>
      <c r="K44" s="197"/>
      <c r="L44" s="197"/>
      <c r="M44" s="196"/>
      <c r="N44" s="196"/>
      <c r="O44" s="98"/>
      <c r="P44" s="98"/>
      <c r="Q44" s="98"/>
    </row>
    <row r="45" spans="1:17" x14ac:dyDescent="0.35">
      <c r="A45" s="84"/>
      <c r="B45" s="85"/>
      <c r="C45" s="85"/>
      <c r="D45" s="85"/>
      <c r="E45" s="85"/>
      <c r="F45" s="85"/>
      <c r="G45" s="85"/>
      <c r="H45" s="85"/>
      <c r="I45" s="85"/>
      <c r="J45" s="197"/>
      <c r="K45" s="197"/>
      <c r="L45" s="197"/>
      <c r="M45" s="196"/>
      <c r="N45" s="196"/>
      <c r="O45" s="98"/>
      <c r="P45" s="98"/>
      <c r="Q45" s="98"/>
    </row>
    <row r="46" spans="1:17" x14ac:dyDescent="0.35">
      <c r="A46" s="84"/>
      <c r="B46" s="85"/>
      <c r="C46" s="85"/>
      <c r="D46" s="85"/>
      <c r="E46" s="85"/>
      <c r="F46" s="85"/>
      <c r="G46" s="85"/>
      <c r="H46" s="85"/>
      <c r="I46" s="85"/>
      <c r="J46" s="197"/>
      <c r="K46" s="197"/>
      <c r="L46" s="197"/>
      <c r="M46" s="196"/>
      <c r="N46" s="196"/>
      <c r="O46" s="98"/>
      <c r="P46" s="98"/>
      <c r="Q46" s="98"/>
    </row>
    <row r="47" spans="1:17" x14ac:dyDescent="0.35">
      <c r="A47" s="84"/>
      <c r="B47" s="85"/>
      <c r="C47" s="85"/>
      <c r="D47" s="85"/>
      <c r="E47" s="85"/>
      <c r="F47" s="85"/>
      <c r="G47" s="85"/>
      <c r="H47" s="85"/>
      <c r="I47" s="85"/>
      <c r="J47" s="197"/>
      <c r="K47" s="197"/>
      <c r="L47" s="197"/>
      <c r="M47" s="196"/>
      <c r="N47" s="196"/>
      <c r="O47" s="98"/>
      <c r="P47" s="98"/>
      <c r="Q47" s="98"/>
    </row>
    <row r="48" spans="1:17" x14ac:dyDescent="0.35">
      <c r="A48" s="84"/>
      <c r="B48" s="85"/>
      <c r="C48" s="85"/>
      <c r="D48" s="85"/>
      <c r="E48" s="85"/>
      <c r="F48" s="85"/>
      <c r="G48" s="85"/>
      <c r="H48" s="85"/>
      <c r="I48" s="85"/>
      <c r="J48" s="197"/>
      <c r="K48" s="197"/>
      <c r="L48" s="197"/>
      <c r="M48" s="196"/>
      <c r="N48" s="196"/>
      <c r="O48" s="98"/>
      <c r="P48" s="98"/>
      <c r="Q48" s="98"/>
    </row>
    <row r="49" spans="1:17" x14ac:dyDescent="0.35">
      <c r="A49" s="84"/>
      <c r="B49" s="85"/>
      <c r="C49" s="85"/>
      <c r="D49" s="85"/>
      <c r="E49" s="85"/>
      <c r="F49" s="85"/>
      <c r="G49" s="85"/>
      <c r="H49" s="85"/>
      <c r="I49" s="85"/>
      <c r="J49" s="197"/>
      <c r="K49" s="197"/>
      <c r="L49" s="197"/>
      <c r="M49" s="196"/>
      <c r="N49" s="196"/>
      <c r="O49" s="98"/>
      <c r="P49" s="98"/>
      <c r="Q49" s="98"/>
    </row>
    <row r="50" spans="1:17" x14ac:dyDescent="0.35">
      <c r="A50" s="84"/>
      <c r="B50" s="85"/>
      <c r="C50" s="85"/>
      <c r="D50" s="85"/>
      <c r="E50" s="85"/>
      <c r="F50" s="85"/>
      <c r="G50" s="85"/>
      <c r="H50" s="85"/>
      <c r="I50" s="85"/>
      <c r="J50" s="197"/>
      <c r="K50" s="197"/>
      <c r="L50" s="197"/>
      <c r="M50" s="196"/>
      <c r="N50" s="196"/>
      <c r="O50" s="98"/>
      <c r="P50" s="98"/>
      <c r="Q50" s="98"/>
    </row>
    <row r="51" spans="1:17" x14ac:dyDescent="0.35">
      <c r="A51" s="84"/>
      <c r="B51" s="85"/>
      <c r="C51" s="85"/>
      <c r="D51" s="85"/>
      <c r="E51" s="85"/>
      <c r="F51" s="85"/>
      <c r="G51" s="85"/>
      <c r="H51" s="85"/>
      <c r="I51" s="85"/>
      <c r="J51" s="197"/>
      <c r="K51" s="197"/>
      <c r="L51" s="197"/>
      <c r="M51" s="196"/>
      <c r="N51" s="196"/>
      <c r="O51" s="98"/>
      <c r="P51" s="98"/>
      <c r="Q51" s="98"/>
    </row>
    <row r="52" spans="1:17" x14ac:dyDescent="0.35">
      <c r="A52" s="84"/>
      <c r="B52" s="85"/>
      <c r="C52" s="85"/>
      <c r="D52" s="85"/>
      <c r="E52" s="85"/>
      <c r="F52" s="85"/>
      <c r="G52" s="85"/>
      <c r="H52" s="85"/>
      <c r="I52" s="85"/>
      <c r="J52" s="197"/>
      <c r="K52" s="197"/>
      <c r="L52" s="197"/>
      <c r="M52" s="196"/>
      <c r="N52" s="196"/>
      <c r="O52" s="98"/>
      <c r="P52" s="98"/>
      <c r="Q52" s="98"/>
    </row>
    <row r="53" spans="1:17" x14ac:dyDescent="0.35">
      <c r="A53" s="202"/>
      <c r="B53" s="203"/>
      <c r="C53" s="203"/>
      <c r="D53" s="203"/>
      <c r="E53" s="203"/>
      <c r="F53" s="203"/>
      <c r="G53" s="203"/>
      <c r="H53" s="203"/>
      <c r="I53" s="203"/>
      <c r="J53" s="201"/>
      <c r="K53" s="201"/>
      <c r="L53" s="201"/>
      <c r="M53" s="199"/>
      <c r="N53" s="199"/>
      <c r="O53" s="98"/>
      <c r="P53" s="98"/>
      <c r="Q53" s="98"/>
    </row>
    <row r="54" spans="1:17" x14ac:dyDescent="0.35">
      <c r="A54" s="196"/>
      <c r="B54" s="85"/>
      <c r="C54" s="85"/>
      <c r="D54" s="85"/>
      <c r="E54" s="85"/>
      <c r="F54" s="85"/>
      <c r="G54" s="85"/>
      <c r="H54" s="85"/>
      <c r="I54" s="85"/>
      <c r="J54" s="197"/>
      <c r="K54" s="197"/>
      <c r="L54" s="197"/>
      <c r="M54" s="196"/>
      <c r="N54" s="196"/>
      <c r="O54" s="98"/>
      <c r="P54" s="98"/>
      <c r="Q54" s="98"/>
    </row>
    <row r="55" spans="1:17" x14ac:dyDescent="0.35">
      <c r="A55" s="84"/>
      <c r="B55" s="85"/>
      <c r="C55" s="85"/>
      <c r="D55" s="85"/>
      <c r="E55" s="85"/>
      <c r="F55" s="85"/>
      <c r="G55" s="85"/>
      <c r="H55" s="85"/>
      <c r="I55" s="85"/>
      <c r="J55" s="197"/>
      <c r="K55" s="197"/>
      <c r="L55" s="197"/>
      <c r="M55" s="196"/>
      <c r="N55" s="196"/>
      <c r="O55" s="98"/>
      <c r="P55" s="98"/>
      <c r="Q55" s="98"/>
    </row>
    <row r="56" spans="1:17" x14ac:dyDescent="0.35">
      <c r="A56" s="84"/>
      <c r="B56" s="85"/>
      <c r="C56" s="85"/>
      <c r="D56" s="85"/>
      <c r="E56" s="85"/>
      <c r="F56" s="85"/>
      <c r="G56" s="85"/>
      <c r="H56" s="85"/>
      <c r="I56" s="85"/>
      <c r="J56" s="197"/>
      <c r="K56" s="197"/>
      <c r="L56" s="197"/>
      <c r="M56" s="196"/>
      <c r="N56" s="196"/>
      <c r="O56" s="98"/>
      <c r="P56" s="98"/>
      <c r="Q56" s="98"/>
    </row>
    <row r="57" spans="1:17" x14ac:dyDescent="0.35">
      <c r="A57" s="84"/>
      <c r="B57" s="85"/>
      <c r="C57" s="85"/>
      <c r="D57" s="85"/>
      <c r="E57" s="85"/>
      <c r="F57" s="85"/>
      <c r="G57" s="85"/>
      <c r="H57" s="85"/>
      <c r="I57" s="85"/>
      <c r="J57" s="197"/>
      <c r="K57" s="197"/>
      <c r="L57" s="197"/>
      <c r="M57" s="196"/>
      <c r="N57" s="196"/>
      <c r="O57" s="98"/>
      <c r="P57" s="98"/>
      <c r="Q57" s="98"/>
    </row>
    <row r="58" spans="1:17" x14ac:dyDescent="0.35">
      <c r="A58" s="84"/>
      <c r="B58" s="85"/>
      <c r="C58" s="85"/>
      <c r="D58" s="85"/>
      <c r="E58" s="85"/>
      <c r="F58" s="85"/>
      <c r="G58" s="85"/>
      <c r="H58" s="85"/>
      <c r="I58" s="85"/>
      <c r="J58" s="197"/>
      <c r="K58" s="197"/>
      <c r="L58" s="197"/>
      <c r="M58" s="196"/>
      <c r="N58" s="196"/>
      <c r="O58" s="98"/>
      <c r="P58" s="98"/>
      <c r="Q58" s="98"/>
    </row>
    <row r="59" spans="1:17" x14ac:dyDescent="0.35">
      <c r="A59" s="84"/>
      <c r="B59" s="85"/>
      <c r="C59" s="85"/>
      <c r="D59" s="85"/>
      <c r="E59" s="85"/>
      <c r="F59" s="85"/>
      <c r="G59" s="85"/>
      <c r="H59" s="85"/>
      <c r="I59" s="85"/>
      <c r="J59" s="197"/>
      <c r="K59" s="197"/>
      <c r="L59" s="197"/>
      <c r="M59" s="196"/>
      <c r="N59" s="196"/>
      <c r="O59" s="98"/>
      <c r="P59" s="98"/>
      <c r="Q59" s="98"/>
    </row>
    <row r="60" spans="1:17" x14ac:dyDescent="0.35">
      <c r="A60" s="84"/>
      <c r="B60" s="85"/>
      <c r="C60" s="85"/>
      <c r="D60" s="85"/>
      <c r="E60" s="85"/>
      <c r="F60" s="85"/>
      <c r="G60" s="85"/>
      <c r="H60" s="85"/>
      <c r="I60" s="85"/>
      <c r="J60" s="197"/>
      <c r="K60" s="197"/>
      <c r="L60" s="197"/>
      <c r="M60" s="196"/>
      <c r="N60" s="196"/>
      <c r="O60" s="98"/>
      <c r="P60" s="98"/>
      <c r="Q60" s="98"/>
    </row>
    <row r="61" spans="1:17" x14ac:dyDescent="0.35">
      <c r="A61" s="84"/>
      <c r="B61" s="85"/>
      <c r="C61" s="85"/>
      <c r="D61" s="85"/>
      <c r="E61" s="85"/>
      <c r="F61" s="85"/>
      <c r="G61" s="85"/>
      <c r="H61" s="85"/>
      <c r="I61" s="85"/>
      <c r="J61" s="197"/>
      <c r="K61" s="197"/>
      <c r="L61" s="197"/>
      <c r="M61" s="196"/>
      <c r="N61" s="196"/>
      <c r="O61" s="98"/>
      <c r="P61" s="98"/>
      <c r="Q61" s="98"/>
    </row>
    <row r="62" spans="1:17" x14ac:dyDescent="0.35">
      <c r="A62" s="84"/>
      <c r="B62" s="85"/>
      <c r="C62" s="85"/>
      <c r="D62" s="85"/>
      <c r="E62" s="85"/>
      <c r="F62" s="85"/>
      <c r="G62" s="85"/>
      <c r="H62" s="85"/>
      <c r="I62" s="85"/>
      <c r="J62" s="197"/>
      <c r="K62" s="197"/>
      <c r="L62" s="197"/>
      <c r="M62" s="196"/>
      <c r="N62" s="196"/>
      <c r="O62" s="98"/>
      <c r="P62" s="98"/>
      <c r="Q62" s="98"/>
    </row>
    <row r="63" spans="1:17" x14ac:dyDescent="0.35">
      <c r="A63" s="84"/>
      <c r="B63" s="85"/>
      <c r="C63" s="85"/>
      <c r="D63" s="85"/>
      <c r="E63" s="85"/>
      <c r="F63" s="85"/>
      <c r="G63" s="85"/>
      <c r="H63" s="85"/>
      <c r="I63" s="85"/>
      <c r="J63" s="86"/>
      <c r="K63" s="86"/>
      <c r="L63" s="86"/>
      <c r="M63" s="84"/>
      <c r="N63" s="84"/>
      <c r="O63" s="98"/>
      <c r="P63" s="98"/>
      <c r="Q63" s="98"/>
    </row>
    <row r="64" spans="1:17" x14ac:dyDescent="0.35">
      <c r="A64" s="84"/>
      <c r="B64" s="85"/>
      <c r="C64" s="85"/>
      <c r="D64" s="85"/>
      <c r="E64" s="85"/>
      <c r="F64" s="85"/>
      <c r="G64" s="85"/>
      <c r="H64" s="85"/>
      <c r="I64" s="85"/>
      <c r="J64" s="86"/>
      <c r="K64" s="86"/>
      <c r="L64" s="86"/>
      <c r="M64" s="84"/>
      <c r="N64" s="84"/>
      <c r="O64" s="98"/>
      <c r="P64" s="98"/>
      <c r="Q64" s="98"/>
    </row>
    <row r="65" spans="1:17" x14ac:dyDescent="0.35">
      <c r="A65" s="84"/>
      <c r="B65" s="85"/>
      <c r="C65" s="85"/>
      <c r="D65" s="85"/>
      <c r="E65" s="85"/>
      <c r="F65" s="85"/>
      <c r="G65" s="85"/>
      <c r="H65" s="85"/>
      <c r="I65" s="85"/>
      <c r="J65" s="86"/>
      <c r="K65" s="86"/>
      <c r="L65" s="86"/>
      <c r="M65" s="84"/>
      <c r="N65" s="84"/>
      <c r="O65" s="98"/>
      <c r="P65" s="98"/>
      <c r="Q65" s="98"/>
    </row>
    <row r="66" spans="1:17" x14ac:dyDescent="0.35">
      <c r="A66" s="84"/>
      <c r="B66" s="85"/>
      <c r="C66" s="85"/>
      <c r="D66" s="85"/>
      <c r="E66" s="85"/>
      <c r="F66" s="85"/>
      <c r="G66" s="85"/>
      <c r="H66" s="85"/>
      <c r="I66" s="85"/>
      <c r="J66" s="86"/>
      <c r="K66" s="86"/>
      <c r="L66" s="86"/>
      <c r="M66" s="84"/>
      <c r="N66" s="84"/>
      <c r="O66" s="98"/>
      <c r="P66" s="98"/>
      <c r="Q66" s="98"/>
    </row>
    <row r="67" spans="1:17" x14ac:dyDescent="0.35">
      <c r="A67" s="84"/>
      <c r="B67" s="85"/>
      <c r="C67" s="85"/>
      <c r="D67" s="85"/>
      <c r="E67" s="85"/>
      <c r="F67" s="85"/>
      <c r="G67" s="85"/>
      <c r="H67" s="85"/>
      <c r="I67" s="85"/>
      <c r="J67" s="86"/>
      <c r="K67" s="86"/>
      <c r="L67" s="86"/>
      <c r="M67" s="84"/>
      <c r="N67" s="84"/>
      <c r="O67" s="98"/>
      <c r="P67" s="98"/>
      <c r="Q67" s="98"/>
    </row>
    <row r="68" spans="1:17" x14ac:dyDescent="0.35">
      <c r="A68" s="84"/>
      <c r="B68" s="85"/>
      <c r="C68" s="85"/>
      <c r="D68" s="85"/>
      <c r="E68" s="85"/>
      <c r="F68" s="85"/>
      <c r="G68" s="85"/>
      <c r="H68" s="85"/>
      <c r="I68" s="85"/>
      <c r="J68" s="86"/>
      <c r="K68" s="86"/>
      <c r="L68" s="86"/>
      <c r="M68" s="84"/>
      <c r="N68" s="84"/>
      <c r="O68" s="98"/>
      <c r="P68" s="98"/>
      <c r="Q68" s="98"/>
    </row>
    <row r="69" spans="1:17" x14ac:dyDescent="0.35">
      <c r="A69" s="84"/>
      <c r="B69" s="85"/>
      <c r="C69" s="85"/>
      <c r="D69" s="85"/>
      <c r="E69" s="85"/>
      <c r="F69" s="85"/>
      <c r="G69" s="85"/>
      <c r="H69" s="85"/>
      <c r="I69" s="85"/>
      <c r="J69" s="86"/>
      <c r="K69" s="86"/>
      <c r="L69" s="86"/>
      <c r="M69" s="84"/>
      <c r="N69" s="84"/>
      <c r="O69" s="98"/>
      <c r="P69" s="98"/>
      <c r="Q69" s="98"/>
    </row>
    <row r="70" spans="1:17" x14ac:dyDescent="0.35">
      <c r="A70" s="84"/>
      <c r="B70" s="85"/>
      <c r="C70" s="85"/>
      <c r="D70" s="85"/>
      <c r="E70" s="85"/>
      <c r="F70" s="85"/>
      <c r="G70" s="85"/>
      <c r="H70" s="85"/>
      <c r="I70" s="85"/>
      <c r="J70" s="86"/>
      <c r="K70" s="86"/>
      <c r="L70" s="86"/>
      <c r="M70" s="84"/>
      <c r="N70" s="84"/>
      <c r="O70" s="98"/>
      <c r="P70" s="98"/>
      <c r="Q70" s="98"/>
    </row>
    <row r="71" spans="1:17" x14ac:dyDescent="0.35">
      <c r="A71" s="84"/>
      <c r="B71" s="85"/>
      <c r="C71" s="85"/>
      <c r="D71" s="85"/>
      <c r="E71" s="85"/>
      <c r="F71" s="85"/>
      <c r="G71" s="85"/>
      <c r="H71" s="85"/>
      <c r="I71" s="85"/>
      <c r="J71" s="86"/>
      <c r="K71" s="86"/>
      <c r="L71" s="86"/>
      <c r="M71" s="84"/>
      <c r="N71" s="84"/>
      <c r="O71" s="98"/>
      <c r="P71" s="98"/>
      <c r="Q71" s="98"/>
    </row>
    <row r="72" spans="1:17" x14ac:dyDescent="0.35">
      <c r="A72" s="84"/>
      <c r="B72" s="85"/>
      <c r="C72" s="85"/>
      <c r="D72" s="85"/>
      <c r="E72" s="85"/>
      <c r="F72" s="85"/>
      <c r="G72" s="85"/>
      <c r="H72" s="85"/>
      <c r="I72" s="85"/>
      <c r="J72" s="86"/>
      <c r="K72" s="86"/>
      <c r="L72" s="86"/>
      <c r="M72" s="84"/>
      <c r="N72" s="84"/>
      <c r="O72" s="98"/>
      <c r="P72" s="98"/>
      <c r="Q72" s="98"/>
    </row>
    <row r="73" spans="1:17" x14ac:dyDescent="0.35">
      <c r="A73" s="84"/>
      <c r="B73" s="85"/>
      <c r="C73" s="85"/>
      <c r="D73" s="85"/>
      <c r="E73" s="85"/>
      <c r="F73" s="85"/>
      <c r="G73" s="85"/>
      <c r="H73" s="85"/>
      <c r="I73" s="85"/>
      <c r="J73" s="86"/>
      <c r="K73" s="86"/>
      <c r="L73" s="86"/>
      <c r="M73" s="84"/>
      <c r="N73" s="84"/>
      <c r="O73" s="98"/>
      <c r="P73" s="98"/>
      <c r="Q73" s="98"/>
    </row>
    <row r="74" spans="1:17" x14ac:dyDescent="0.35">
      <c r="A74" s="84"/>
      <c r="B74" s="85"/>
      <c r="C74" s="85"/>
      <c r="D74" s="85"/>
      <c r="E74" s="85"/>
      <c r="F74" s="85"/>
      <c r="G74" s="85"/>
      <c r="H74" s="85"/>
      <c r="I74" s="85"/>
      <c r="J74" s="86"/>
      <c r="K74" s="86"/>
      <c r="L74" s="86"/>
      <c r="M74" s="84"/>
      <c r="N74" s="84"/>
      <c r="O74" s="191"/>
      <c r="P74" s="191"/>
    </row>
    <row r="75" spans="1:17" x14ac:dyDescent="0.35">
      <c r="A75" s="84"/>
      <c r="B75" s="85"/>
      <c r="C75" s="85"/>
      <c r="D75" s="85"/>
      <c r="E75" s="85"/>
      <c r="F75" s="85"/>
      <c r="G75" s="85"/>
      <c r="H75" s="85"/>
      <c r="I75" s="85"/>
      <c r="J75" s="86"/>
      <c r="K75" s="86"/>
      <c r="L75" s="86"/>
      <c r="M75" s="84"/>
      <c r="N75" s="84"/>
      <c r="O75" s="191"/>
      <c r="P75" s="191"/>
    </row>
    <row r="76" spans="1:17" x14ac:dyDescent="0.35">
      <c r="A76" s="84"/>
      <c r="B76" s="85"/>
      <c r="C76" s="85"/>
      <c r="D76" s="85"/>
      <c r="E76" s="85"/>
      <c r="F76" s="85"/>
      <c r="G76" s="85"/>
      <c r="H76" s="85"/>
      <c r="I76" s="85"/>
      <c r="J76" s="86"/>
      <c r="K76" s="86"/>
      <c r="L76" s="86"/>
      <c r="M76" s="84"/>
      <c r="N76" s="84"/>
      <c r="O76" s="191"/>
      <c r="P76" s="191"/>
    </row>
    <row r="77" spans="1:17" x14ac:dyDescent="0.35">
      <c r="A77" s="84"/>
      <c r="B77" s="85"/>
      <c r="C77" s="85"/>
      <c r="D77" s="85"/>
      <c r="E77" s="85"/>
      <c r="F77" s="85"/>
      <c r="G77" s="85"/>
      <c r="H77" s="85"/>
      <c r="I77" s="85"/>
      <c r="J77" s="86"/>
      <c r="K77" s="86"/>
      <c r="L77" s="86"/>
      <c r="M77" s="84"/>
      <c r="N77" s="84"/>
      <c r="O77" s="191"/>
      <c r="P77" s="191"/>
    </row>
    <row r="78" spans="1:17" x14ac:dyDescent="0.35">
      <c r="A78" s="84"/>
      <c r="B78" s="85"/>
      <c r="C78" s="85"/>
      <c r="D78" s="85"/>
      <c r="E78" s="85"/>
      <c r="F78" s="85"/>
      <c r="G78" s="85"/>
      <c r="H78" s="85"/>
      <c r="I78" s="85"/>
      <c r="J78" s="86"/>
      <c r="K78" s="86"/>
      <c r="L78" s="86"/>
      <c r="M78" s="84"/>
      <c r="N78" s="84"/>
      <c r="O78" s="191"/>
      <c r="P78" s="191"/>
    </row>
    <row r="79" spans="1:17" x14ac:dyDescent="0.35">
      <c r="A79" s="84"/>
      <c r="B79" s="85"/>
      <c r="C79" s="85"/>
      <c r="D79" s="85"/>
      <c r="E79" s="85"/>
      <c r="F79" s="85"/>
      <c r="G79" s="85"/>
      <c r="H79" s="85"/>
      <c r="I79" s="85"/>
      <c r="J79" s="86"/>
      <c r="K79" s="86"/>
      <c r="L79" s="86"/>
      <c r="M79" s="84"/>
      <c r="N79" s="84"/>
      <c r="O79" s="191"/>
      <c r="P79" s="191"/>
    </row>
    <row r="80" spans="1:17" x14ac:dyDescent="0.35">
      <c r="A80" s="190"/>
      <c r="B80" s="190"/>
      <c r="C80" s="190"/>
      <c r="D80" s="190"/>
      <c r="E80" s="190"/>
      <c r="F80" s="190"/>
      <c r="G80" s="190"/>
      <c r="H80" s="190"/>
      <c r="I80" s="190"/>
      <c r="J80" s="190"/>
      <c r="K80" s="190"/>
      <c r="L80" s="190"/>
      <c r="M80" s="190"/>
      <c r="N80" s="190"/>
      <c r="O80" s="191"/>
      <c r="P80" s="191"/>
    </row>
    <row r="81" spans="1:16" x14ac:dyDescent="0.35">
      <c r="A81" s="190"/>
      <c r="B81" s="190"/>
      <c r="C81" s="190"/>
      <c r="D81" s="190"/>
      <c r="E81" s="190"/>
      <c r="F81" s="190"/>
      <c r="G81" s="190"/>
      <c r="H81" s="190"/>
      <c r="I81" s="190"/>
      <c r="J81" s="190"/>
      <c r="K81" s="190"/>
      <c r="L81" s="190"/>
      <c r="M81" s="190"/>
      <c r="N81" s="190"/>
      <c r="O81" s="191"/>
      <c r="P81" s="191"/>
    </row>
    <row r="82" spans="1:16" x14ac:dyDescent="0.35">
      <c r="A82" s="190"/>
      <c r="B82" s="190"/>
      <c r="C82" s="190"/>
      <c r="D82" s="190"/>
      <c r="E82" s="190"/>
      <c r="F82" s="190"/>
      <c r="G82" s="190"/>
      <c r="H82" s="190"/>
      <c r="I82" s="190"/>
      <c r="J82" s="190"/>
      <c r="K82" s="190"/>
      <c r="L82" s="190"/>
      <c r="M82" s="190"/>
      <c r="N82" s="190"/>
      <c r="O82" s="191"/>
      <c r="P82" s="191"/>
    </row>
    <row r="83" spans="1:16" x14ac:dyDescent="0.35">
      <c r="A83" s="190"/>
      <c r="B83" s="190"/>
      <c r="C83" s="190"/>
      <c r="D83" s="190"/>
      <c r="E83" s="190"/>
      <c r="F83" s="190"/>
      <c r="G83" s="190"/>
      <c r="H83" s="190"/>
      <c r="I83" s="190"/>
      <c r="J83" s="190"/>
      <c r="K83" s="190"/>
      <c r="L83" s="190"/>
      <c r="M83" s="190"/>
      <c r="N83" s="190"/>
      <c r="O83" s="191"/>
      <c r="P83" s="191"/>
    </row>
    <row r="84" spans="1:16" x14ac:dyDescent="0.35">
      <c r="A84" s="137"/>
      <c r="B84" s="137"/>
      <c r="C84" s="137"/>
      <c r="D84" s="137"/>
      <c r="E84" s="137"/>
      <c r="F84" s="137"/>
      <c r="G84" s="137"/>
      <c r="H84" s="137"/>
      <c r="I84" s="137"/>
      <c r="J84" s="137"/>
      <c r="K84" s="137"/>
      <c r="L84" s="137"/>
      <c r="M84" s="137"/>
      <c r="N84" s="137"/>
      <c r="O84" s="191"/>
      <c r="P84" s="191"/>
    </row>
    <row r="85" spans="1:16" x14ac:dyDescent="0.35">
      <c r="A85" s="137"/>
      <c r="B85" s="137"/>
      <c r="C85" s="137"/>
      <c r="D85" s="137"/>
      <c r="E85" s="137"/>
      <c r="F85" s="137"/>
      <c r="G85" s="137"/>
      <c r="H85" s="137"/>
      <c r="I85" s="137"/>
      <c r="J85" s="137"/>
      <c r="K85" s="137"/>
      <c r="L85" s="137"/>
      <c r="M85" s="137"/>
      <c r="N85" s="137"/>
      <c r="O85" s="191"/>
      <c r="P85" s="191"/>
    </row>
    <row r="86" spans="1:16" x14ac:dyDescent="0.35">
      <c r="A86" s="137"/>
      <c r="B86" s="137"/>
      <c r="C86" s="137"/>
      <c r="D86" s="137"/>
      <c r="E86" s="137"/>
      <c r="F86" s="137"/>
      <c r="G86" s="137"/>
      <c r="H86" s="137"/>
      <c r="I86" s="137"/>
      <c r="J86" s="137"/>
      <c r="K86" s="137"/>
      <c r="L86" s="137"/>
      <c r="M86" s="137"/>
      <c r="N86" s="137"/>
      <c r="O86" s="191"/>
      <c r="P86" s="191"/>
    </row>
    <row r="87" spans="1:16" x14ac:dyDescent="0.35">
      <c r="A87" s="137"/>
      <c r="B87" s="137"/>
      <c r="C87" s="137"/>
      <c r="D87" s="137"/>
      <c r="E87" s="137"/>
      <c r="F87" s="137"/>
      <c r="G87" s="137"/>
      <c r="H87" s="137"/>
      <c r="I87" s="137"/>
      <c r="J87" s="137"/>
      <c r="K87" s="137"/>
      <c r="L87" s="137"/>
      <c r="M87" s="137"/>
      <c r="N87" s="137"/>
    </row>
    <row r="88" spans="1:16" x14ac:dyDescent="0.35">
      <c r="A88" s="137"/>
      <c r="B88" s="137"/>
      <c r="C88" s="137"/>
      <c r="D88" s="137"/>
      <c r="E88" s="137"/>
      <c r="F88" s="137"/>
      <c r="G88" s="137"/>
      <c r="H88" s="137"/>
      <c r="I88" s="137"/>
      <c r="J88" s="137"/>
      <c r="K88" s="137"/>
      <c r="L88" s="137"/>
      <c r="M88" s="137"/>
      <c r="N88" s="137"/>
    </row>
    <row r="89" spans="1:16" x14ac:dyDescent="0.35">
      <c r="A89" s="98"/>
      <c r="B89" s="98"/>
      <c r="C89" s="98"/>
      <c r="D89" s="98"/>
      <c r="E89" s="98"/>
      <c r="F89" s="98"/>
      <c r="G89" s="98"/>
      <c r="H89" s="98"/>
      <c r="I89" s="98"/>
      <c r="J89" s="98"/>
      <c r="K89" s="98"/>
      <c r="L89" s="98"/>
      <c r="M89" s="98"/>
      <c r="N89" s="98"/>
    </row>
  </sheetData>
  <conditionalFormatting sqref="B5:I79">
    <cfRule type="cellIs" dxfId="12" priority="1" stopIfTrue="1" operator="equal">
      <formula>0</formula>
    </cfRule>
  </conditionalFormatting>
  <conditionalFormatting sqref="B5:I78">
    <cfRule type="cellIs" priority="2" stopIfTrue="1" operator="equal">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FF"/>
  </sheetPr>
  <dimension ref="A2:Q406"/>
  <sheetViews>
    <sheetView showGridLines="0" showRowColHeaders="0" zoomScale="90" zoomScaleNormal="90" workbookViewId="0">
      <pane xSplit="1" ySplit="4" topLeftCell="B151" activePane="bottomRight" state="frozen"/>
      <selection activeCell="A5" sqref="A5"/>
      <selection pane="topRight" activeCell="A5" sqref="A5"/>
      <selection pane="bottomLeft" activeCell="A5" sqref="A5"/>
      <selection pane="bottomRight" activeCell="A4" sqref="A4:P190"/>
    </sheetView>
  </sheetViews>
  <sheetFormatPr defaultColWidth="0" defaultRowHeight="14.5" x14ac:dyDescent="0.35"/>
  <cols>
    <col min="1" max="1" width="30.6328125" style="76" customWidth="1"/>
    <col min="2" max="16" width="10.6328125" style="76" customWidth="1"/>
    <col min="17" max="17" width="2.81640625" style="76" customWidth="1"/>
    <col min="18" max="16384" width="8.90625" style="76" hidden="1"/>
  </cols>
  <sheetData>
    <row r="2" spans="1:17" ht="15.5" x14ac:dyDescent="0.35">
      <c r="A2" s="75" t="s">
        <v>29</v>
      </c>
    </row>
    <row r="4" spans="1:17" x14ac:dyDescent="0.35">
      <c r="A4" s="196"/>
      <c r="B4" s="196"/>
      <c r="C4" s="196"/>
      <c r="D4" s="196"/>
      <c r="E4" s="196"/>
      <c r="F4" s="196"/>
      <c r="G4" s="196"/>
      <c r="H4" s="196"/>
      <c r="I4" s="196"/>
      <c r="J4" s="196"/>
      <c r="K4" s="196"/>
      <c r="L4" s="196"/>
      <c r="M4" s="196"/>
      <c r="N4" s="196"/>
      <c r="O4" s="196"/>
      <c r="P4" s="196"/>
      <c r="Q4" s="98"/>
    </row>
    <row r="5" spans="1:17" x14ac:dyDescent="0.35">
      <c r="A5" s="196"/>
      <c r="B5" s="198"/>
      <c r="C5" s="198"/>
      <c r="D5" s="198"/>
      <c r="E5" s="198"/>
      <c r="F5" s="198"/>
      <c r="G5" s="198"/>
      <c r="H5" s="198"/>
      <c r="I5" s="198"/>
      <c r="J5" s="198"/>
      <c r="K5" s="198"/>
      <c r="L5" s="197"/>
      <c r="M5" s="197"/>
      <c r="N5" s="197"/>
      <c r="O5" s="196"/>
      <c r="P5" s="196"/>
      <c r="Q5" s="98"/>
    </row>
    <row r="6" spans="1:17" x14ac:dyDescent="0.35">
      <c r="A6" s="199"/>
      <c r="B6" s="200"/>
      <c r="C6" s="200"/>
      <c r="D6" s="200"/>
      <c r="E6" s="200"/>
      <c r="F6" s="200"/>
      <c r="G6" s="200"/>
      <c r="H6" s="200"/>
      <c r="I6" s="200"/>
      <c r="J6" s="200"/>
      <c r="K6" s="200"/>
      <c r="L6" s="201"/>
      <c r="M6" s="201"/>
      <c r="N6" s="201"/>
      <c r="O6" s="199"/>
      <c r="P6" s="199"/>
      <c r="Q6" s="98"/>
    </row>
    <row r="7" spans="1:17" x14ac:dyDescent="0.35">
      <c r="A7" s="84"/>
      <c r="B7" s="85"/>
      <c r="C7" s="85"/>
      <c r="D7" s="85"/>
      <c r="E7" s="85"/>
      <c r="F7" s="85"/>
      <c r="G7" s="85"/>
      <c r="H7" s="85"/>
      <c r="I7" s="85"/>
      <c r="J7" s="85"/>
      <c r="K7" s="85"/>
      <c r="L7" s="197"/>
      <c r="M7" s="197"/>
      <c r="N7" s="197"/>
      <c r="O7" s="196"/>
      <c r="P7" s="196"/>
      <c r="Q7" s="98"/>
    </row>
    <row r="8" spans="1:17" x14ac:dyDescent="0.35">
      <c r="A8" s="84"/>
      <c r="B8" s="85"/>
      <c r="C8" s="85"/>
      <c r="D8" s="85"/>
      <c r="E8" s="85"/>
      <c r="F8" s="85"/>
      <c r="G8" s="85"/>
      <c r="H8" s="85"/>
      <c r="I8" s="85"/>
      <c r="J8" s="85"/>
      <c r="K8" s="85"/>
      <c r="L8" s="197"/>
      <c r="M8" s="197"/>
      <c r="N8" s="197"/>
      <c r="O8" s="196"/>
      <c r="P8" s="196"/>
      <c r="Q8" s="98"/>
    </row>
    <row r="9" spans="1:17" x14ac:dyDescent="0.35">
      <c r="A9" s="84"/>
      <c r="B9" s="85"/>
      <c r="C9" s="85"/>
      <c r="D9" s="85"/>
      <c r="E9" s="85"/>
      <c r="F9" s="85"/>
      <c r="G9" s="85"/>
      <c r="H9" s="85"/>
      <c r="I9" s="85"/>
      <c r="J9" s="85"/>
      <c r="K9" s="85"/>
      <c r="L9" s="197"/>
      <c r="M9" s="197"/>
      <c r="N9" s="197"/>
      <c r="O9" s="196"/>
      <c r="P9" s="196"/>
      <c r="Q9" s="98"/>
    </row>
    <row r="10" spans="1:17" x14ac:dyDescent="0.35">
      <c r="A10" s="84"/>
      <c r="B10" s="85"/>
      <c r="C10" s="85"/>
      <c r="D10" s="85"/>
      <c r="E10" s="85"/>
      <c r="F10" s="85"/>
      <c r="G10" s="85"/>
      <c r="H10" s="85"/>
      <c r="I10" s="85"/>
      <c r="J10" s="85"/>
      <c r="K10" s="85"/>
      <c r="L10" s="197"/>
      <c r="M10" s="197"/>
      <c r="N10" s="197"/>
      <c r="O10" s="196"/>
      <c r="P10" s="196"/>
      <c r="Q10" s="98"/>
    </row>
    <row r="11" spans="1:17" x14ac:dyDescent="0.35">
      <c r="A11" s="84"/>
      <c r="B11" s="85"/>
      <c r="C11" s="85"/>
      <c r="D11" s="85"/>
      <c r="E11" s="85"/>
      <c r="F11" s="85"/>
      <c r="G11" s="85"/>
      <c r="H11" s="85"/>
      <c r="I11" s="85"/>
      <c r="J11" s="85"/>
      <c r="K11" s="85"/>
      <c r="L11" s="197"/>
      <c r="M11" s="197"/>
      <c r="N11" s="197"/>
      <c r="O11" s="196"/>
      <c r="P11" s="196"/>
      <c r="Q11" s="98"/>
    </row>
    <row r="12" spans="1:17" x14ac:dyDescent="0.35">
      <c r="A12" s="84"/>
      <c r="B12" s="85"/>
      <c r="C12" s="85"/>
      <c r="D12" s="85"/>
      <c r="E12" s="85"/>
      <c r="F12" s="85"/>
      <c r="G12" s="85"/>
      <c r="H12" s="85"/>
      <c r="I12" s="85"/>
      <c r="J12" s="85"/>
      <c r="K12" s="85"/>
      <c r="L12" s="197"/>
      <c r="M12" s="197"/>
      <c r="N12" s="197"/>
      <c r="O12" s="196"/>
      <c r="P12" s="196"/>
      <c r="Q12" s="98"/>
    </row>
    <row r="13" spans="1:17" x14ac:dyDescent="0.35">
      <c r="A13" s="84"/>
      <c r="B13" s="85"/>
      <c r="C13" s="85"/>
      <c r="D13" s="85"/>
      <c r="E13" s="85"/>
      <c r="F13" s="85"/>
      <c r="G13" s="85"/>
      <c r="H13" s="85"/>
      <c r="I13" s="85"/>
      <c r="J13" s="85"/>
      <c r="K13" s="85"/>
      <c r="L13" s="197"/>
      <c r="M13" s="197"/>
      <c r="N13" s="197"/>
      <c r="O13" s="196"/>
      <c r="P13" s="196"/>
      <c r="Q13" s="98"/>
    </row>
    <row r="14" spans="1:17" x14ac:dyDescent="0.35">
      <c r="A14" s="84"/>
      <c r="B14" s="85"/>
      <c r="C14" s="85"/>
      <c r="D14" s="85"/>
      <c r="E14" s="85"/>
      <c r="F14" s="85"/>
      <c r="G14" s="85"/>
      <c r="H14" s="85"/>
      <c r="I14" s="85"/>
      <c r="J14" s="85"/>
      <c r="K14" s="85"/>
      <c r="L14" s="197"/>
      <c r="M14" s="197"/>
      <c r="N14" s="197"/>
      <c r="O14" s="196"/>
      <c r="P14" s="196"/>
      <c r="Q14" s="98"/>
    </row>
    <row r="15" spans="1:17" x14ac:dyDescent="0.35">
      <c r="A15" s="84"/>
      <c r="B15" s="85"/>
      <c r="C15" s="85"/>
      <c r="D15" s="85"/>
      <c r="E15" s="85"/>
      <c r="F15" s="85"/>
      <c r="G15" s="85"/>
      <c r="H15" s="85"/>
      <c r="I15" s="85"/>
      <c r="J15" s="85"/>
      <c r="K15" s="85"/>
      <c r="L15" s="197"/>
      <c r="M15" s="197"/>
      <c r="N15" s="197"/>
      <c r="O15" s="196"/>
      <c r="P15" s="196"/>
      <c r="Q15" s="98"/>
    </row>
    <row r="16" spans="1:17" x14ac:dyDescent="0.35">
      <c r="A16" s="84"/>
      <c r="B16" s="85"/>
      <c r="C16" s="85"/>
      <c r="D16" s="85"/>
      <c r="E16" s="85"/>
      <c r="F16" s="85"/>
      <c r="G16" s="85"/>
      <c r="H16" s="85"/>
      <c r="I16" s="85"/>
      <c r="J16" s="85"/>
      <c r="K16" s="85"/>
      <c r="L16" s="197"/>
      <c r="M16" s="197"/>
      <c r="N16" s="197"/>
      <c r="O16" s="196"/>
      <c r="P16" s="196"/>
      <c r="Q16" s="98"/>
    </row>
    <row r="17" spans="1:17" x14ac:dyDescent="0.35">
      <c r="A17" s="84"/>
      <c r="B17" s="85"/>
      <c r="C17" s="85"/>
      <c r="D17" s="85"/>
      <c r="E17" s="85"/>
      <c r="F17" s="85"/>
      <c r="G17" s="85"/>
      <c r="H17" s="85"/>
      <c r="I17" s="85"/>
      <c r="J17" s="85"/>
      <c r="K17" s="85"/>
      <c r="L17" s="197"/>
      <c r="M17" s="197"/>
      <c r="N17" s="197"/>
      <c r="O17" s="196"/>
      <c r="P17" s="196"/>
      <c r="Q17" s="98"/>
    </row>
    <row r="18" spans="1:17" x14ac:dyDescent="0.35">
      <c r="A18" s="84"/>
      <c r="B18" s="85"/>
      <c r="C18" s="85"/>
      <c r="D18" s="85"/>
      <c r="E18" s="85"/>
      <c r="F18" s="85"/>
      <c r="G18" s="85"/>
      <c r="H18" s="85"/>
      <c r="I18" s="85"/>
      <c r="J18" s="85"/>
      <c r="K18" s="85"/>
      <c r="L18" s="197"/>
      <c r="M18" s="197"/>
      <c r="N18" s="197"/>
      <c r="O18" s="196"/>
      <c r="P18" s="196"/>
      <c r="Q18" s="98"/>
    </row>
    <row r="19" spans="1:17" x14ac:dyDescent="0.35">
      <c r="A19" s="84"/>
      <c r="B19" s="85"/>
      <c r="C19" s="85"/>
      <c r="D19" s="85"/>
      <c r="E19" s="85"/>
      <c r="F19" s="85"/>
      <c r="G19" s="85"/>
      <c r="H19" s="85"/>
      <c r="I19" s="85"/>
      <c r="J19" s="85"/>
      <c r="K19" s="85"/>
      <c r="L19" s="197"/>
      <c r="M19" s="197"/>
      <c r="N19" s="197"/>
      <c r="O19" s="196"/>
      <c r="P19" s="196"/>
      <c r="Q19" s="98"/>
    </row>
    <row r="20" spans="1:17" x14ac:dyDescent="0.35">
      <c r="A20" s="84"/>
      <c r="B20" s="85"/>
      <c r="C20" s="85"/>
      <c r="D20" s="85"/>
      <c r="E20" s="85"/>
      <c r="F20" s="85"/>
      <c r="G20" s="85"/>
      <c r="H20" s="85"/>
      <c r="I20" s="85"/>
      <c r="J20" s="85"/>
      <c r="K20" s="85"/>
      <c r="L20" s="197"/>
      <c r="M20" s="197"/>
      <c r="N20" s="197"/>
      <c r="O20" s="196"/>
      <c r="P20" s="196"/>
      <c r="Q20" s="98"/>
    </row>
    <row r="21" spans="1:17" x14ac:dyDescent="0.35">
      <c r="A21" s="84"/>
      <c r="B21" s="85"/>
      <c r="C21" s="85"/>
      <c r="D21" s="85"/>
      <c r="E21" s="85"/>
      <c r="F21" s="85"/>
      <c r="G21" s="85"/>
      <c r="H21" s="85"/>
      <c r="I21" s="85"/>
      <c r="J21" s="85"/>
      <c r="K21" s="85"/>
      <c r="L21" s="197"/>
      <c r="M21" s="197"/>
      <c r="N21" s="197"/>
      <c r="O21" s="196"/>
      <c r="P21" s="196"/>
      <c r="Q21" s="98"/>
    </row>
    <row r="22" spans="1:17" x14ac:dyDescent="0.35">
      <c r="A22" s="84"/>
      <c r="B22" s="85"/>
      <c r="C22" s="85"/>
      <c r="D22" s="85"/>
      <c r="E22" s="85"/>
      <c r="F22" s="85"/>
      <c r="G22" s="85"/>
      <c r="H22" s="85"/>
      <c r="I22" s="85"/>
      <c r="J22" s="85"/>
      <c r="K22" s="85"/>
      <c r="L22" s="197"/>
      <c r="M22" s="197"/>
      <c r="N22" s="197"/>
      <c r="O22" s="196"/>
      <c r="P22" s="196"/>
      <c r="Q22" s="98"/>
    </row>
    <row r="23" spans="1:17" x14ac:dyDescent="0.35">
      <c r="A23" s="84"/>
      <c r="B23" s="85"/>
      <c r="C23" s="85"/>
      <c r="D23" s="85"/>
      <c r="E23" s="85"/>
      <c r="F23" s="85"/>
      <c r="G23" s="85"/>
      <c r="H23" s="85"/>
      <c r="I23" s="85"/>
      <c r="J23" s="85"/>
      <c r="K23" s="85"/>
      <c r="L23" s="197"/>
      <c r="M23" s="197"/>
      <c r="N23" s="197"/>
      <c r="O23" s="196"/>
      <c r="P23" s="196"/>
      <c r="Q23" s="98"/>
    </row>
    <row r="24" spans="1:17" x14ac:dyDescent="0.35">
      <c r="A24" s="84"/>
      <c r="B24" s="85"/>
      <c r="C24" s="85"/>
      <c r="D24" s="85"/>
      <c r="E24" s="85"/>
      <c r="F24" s="85"/>
      <c r="G24" s="85"/>
      <c r="H24" s="85"/>
      <c r="I24" s="85"/>
      <c r="J24" s="85"/>
      <c r="K24" s="85"/>
      <c r="L24" s="197"/>
      <c r="M24" s="197"/>
      <c r="N24" s="197"/>
      <c r="O24" s="196"/>
      <c r="P24" s="196"/>
      <c r="Q24" s="98"/>
    </row>
    <row r="25" spans="1:17" x14ac:dyDescent="0.35">
      <c r="A25" s="84"/>
      <c r="B25" s="85"/>
      <c r="C25" s="85"/>
      <c r="D25" s="85"/>
      <c r="E25" s="85"/>
      <c r="F25" s="85"/>
      <c r="G25" s="85"/>
      <c r="H25" s="85"/>
      <c r="I25" s="85"/>
      <c r="J25" s="85"/>
      <c r="K25" s="85"/>
      <c r="L25" s="197"/>
      <c r="M25" s="197"/>
      <c r="N25" s="197"/>
      <c r="O25" s="196"/>
      <c r="P25" s="196"/>
      <c r="Q25" s="98"/>
    </row>
    <row r="26" spans="1:17" x14ac:dyDescent="0.35">
      <c r="A26" s="84"/>
      <c r="B26" s="85"/>
      <c r="C26" s="85"/>
      <c r="D26" s="85"/>
      <c r="E26" s="85"/>
      <c r="F26" s="85"/>
      <c r="G26" s="85"/>
      <c r="H26" s="85"/>
      <c r="I26" s="85"/>
      <c r="J26" s="85"/>
      <c r="K26" s="85"/>
      <c r="L26" s="197"/>
      <c r="M26" s="197"/>
      <c r="N26" s="197"/>
      <c r="O26" s="196"/>
      <c r="P26" s="196"/>
      <c r="Q26" s="98"/>
    </row>
    <row r="27" spans="1:17" x14ac:dyDescent="0.35">
      <c r="A27" s="84"/>
      <c r="B27" s="85"/>
      <c r="C27" s="85"/>
      <c r="D27" s="85"/>
      <c r="E27" s="85"/>
      <c r="F27" s="85"/>
      <c r="G27" s="85"/>
      <c r="H27" s="85"/>
      <c r="I27" s="85"/>
      <c r="J27" s="85"/>
      <c r="K27" s="85"/>
      <c r="L27" s="197"/>
      <c r="M27" s="197"/>
      <c r="N27" s="197"/>
      <c r="O27" s="196"/>
      <c r="P27" s="196"/>
      <c r="Q27" s="98"/>
    </row>
    <row r="28" spans="1:17" x14ac:dyDescent="0.35">
      <c r="A28" s="84"/>
      <c r="B28" s="85"/>
      <c r="C28" s="85"/>
      <c r="D28" s="85"/>
      <c r="E28" s="85"/>
      <c r="F28" s="85"/>
      <c r="G28" s="85"/>
      <c r="H28" s="85"/>
      <c r="I28" s="85"/>
      <c r="J28" s="85"/>
      <c r="K28" s="85"/>
      <c r="L28" s="197"/>
      <c r="M28" s="197"/>
      <c r="N28" s="197"/>
      <c r="O28" s="196"/>
      <c r="P28" s="196"/>
      <c r="Q28" s="98"/>
    </row>
    <row r="29" spans="1:17" x14ac:dyDescent="0.35">
      <c r="A29" s="84"/>
      <c r="B29" s="85"/>
      <c r="C29" s="85"/>
      <c r="D29" s="85"/>
      <c r="E29" s="85"/>
      <c r="F29" s="85"/>
      <c r="G29" s="85"/>
      <c r="H29" s="85"/>
      <c r="I29" s="85"/>
      <c r="J29" s="85"/>
      <c r="K29" s="85"/>
      <c r="L29" s="197"/>
      <c r="M29" s="197"/>
      <c r="N29" s="197"/>
      <c r="O29" s="196"/>
      <c r="P29" s="196"/>
      <c r="Q29" s="98"/>
    </row>
    <row r="30" spans="1:17" x14ac:dyDescent="0.35">
      <c r="A30" s="84"/>
      <c r="B30" s="85"/>
      <c r="C30" s="85"/>
      <c r="D30" s="85"/>
      <c r="E30" s="85"/>
      <c r="F30" s="85"/>
      <c r="G30" s="85"/>
      <c r="H30" s="85"/>
      <c r="I30" s="85"/>
      <c r="J30" s="85"/>
      <c r="K30" s="85"/>
      <c r="L30" s="197"/>
      <c r="M30" s="197"/>
      <c r="N30" s="197"/>
      <c r="O30" s="196"/>
      <c r="P30" s="196"/>
      <c r="Q30" s="98"/>
    </row>
    <row r="31" spans="1:17" x14ac:dyDescent="0.35">
      <c r="A31" s="84"/>
      <c r="B31" s="85"/>
      <c r="C31" s="85"/>
      <c r="D31" s="85"/>
      <c r="E31" s="85"/>
      <c r="F31" s="85"/>
      <c r="G31" s="85"/>
      <c r="H31" s="85"/>
      <c r="I31" s="85"/>
      <c r="J31" s="85"/>
      <c r="K31" s="85"/>
      <c r="L31" s="197"/>
      <c r="M31" s="197"/>
      <c r="N31" s="197"/>
      <c r="O31" s="196"/>
      <c r="P31" s="196"/>
      <c r="Q31" s="98"/>
    </row>
    <row r="32" spans="1:17" x14ac:dyDescent="0.35">
      <c r="A32" s="84"/>
      <c r="B32" s="85"/>
      <c r="C32" s="85"/>
      <c r="D32" s="85"/>
      <c r="E32" s="85"/>
      <c r="F32" s="85"/>
      <c r="G32" s="85"/>
      <c r="H32" s="85"/>
      <c r="I32" s="85"/>
      <c r="J32" s="85"/>
      <c r="K32" s="85"/>
      <c r="L32" s="197"/>
      <c r="M32" s="197"/>
      <c r="N32" s="197"/>
      <c r="O32" s="196"/>
      <c r="P32" s="196"/>
      <c r="Q32" s="98"/>
    </row>
    <row r="33" spans="1:17" x14ac:dyDescent="0.35">
      <c r="A33" s="84"/>
      <c r="B33" s="85"/>
      <c r="C33" s="85"/>
      <c r="D33" s="85"/>
      <c r="E33" s="85"/>
      <c r="F33" s="85"/>
      <c r="G33" s="85"/>
      <c r="H33" s="85"/>
      <c r="I33" s="85"/>
      <c r="J33" s="85"/>
      <c r="K33" s="85"/>
      <c r="L33" s="197"/>
      <c r="M33" s="197"/>
      <c r="N33" s="197"/>
      <c r="O33" s="196"/>
      <c r="P33" s="196"/>
      <c r="Q33" s="98"/>
    </row>
    <row r="34" spans="1:17" x14ac:dyDescent="0.35">
      <c r="A34" s="84"/>
      <c r="B34" s="85"/>
      <c r="C34" s="85"/>
      <c r="D34" s="85"/>
      <c r="E34" s="85"/>
      <c r="F34" s="85"/>
      <c r="G34" s="85"/>
      <c r="H34" s="85"/>
      <c r="I34" s="85"/>
      <c r="J34" s="85"/>
      <c r="K34" s="85"/>
      <c r="L34" s="197"/>
      <c r="M34" s="197"/>
      <c r="N34" s="197"/>
      <c r="O34" s="196"/>
      <c r="P34" s="196"/>
      <c r="Q34" s="98"/>
    </row>
    <row r="35" spans="1:17" x14ac:dyDescent="0.35">
      <c r="A35" s="84"/>
      <c r="B35" s="85"/>
      <c r="C35" s="85"/>
      <c r="D35" s="85"/>
      <c r="E35" s="85"/>
      <c r="F35" s="85"/>
      <c r="G35" s="85"/>
      <c r="H35" s="85"/>
      <c r="I35" s="85"/>
      <c r="J35" s="85"/>
      <c r="K35" s="85"/>
      <c r="L35" s="197"/>
      <c r="M35" s="197"/>
      <c r="N35" s="197"/>
      <c r="O35" s="196"/>
      <c r="P35" s="196"/>
      <c r="Q35" s="98"/>
    </row>
    <row r="36" spans="1:17" x14ac:dyDescent="0.35">
      <c r="A36" s="84"/>
      <c r="B36" s="85"/>
      <c r="C36" s="85"/>
      <c r="D36" s="85"/>
      <c r="E36" s="85"/>
      <c r="F36" s="85"/>
      <c r="G36" s="85"/>
      <c r="H36" s="85"/>
      <c r="I36" s="85"/>
      <c r="J36" s="85"/>
      <c r="K36" s="85"/>
      <c r="L36" s="197"/>
      <c r="M36" s="197"/>
      <c r="N36" s="197"/>
      <c r="O36" s="196"/>
      <c r="P36" s="196"/>
      <c r="Q36" s="98"/>
    </row>
    <row r="37" spans="1:17" x14ac:dyDescent="0.35">
      <c r="A37" s="84"/>
      <c r="B37" s="85"/>
      <c r="C37" s="85"/>
      <c r="D37" s="85"/>
      <c r="E37" s="85"/>
      <c r="F37" s="85"/>
      <c r="G37" s="85"/>
      <c r="H37" s="85"/>
      <c r="I37" s="85"/>
      <c r="J37" s="85"/>
      <c r="K37" s="85"/>
      <c r="L37" s="197"/>
      <c r="M37" s="197"/>
      <c r="N37" s="197"/>
      <c r="O37" s="196"/>
      <c r="P37" s="196"/>
      <c r="Q37" s="98"/>
    </row>
    <row r="38" spans="1:17" x14ac:dyDescent="0.35">
      <c r="A38" s="84"/>
      <c r="B38" s="85"/>
      <c r="C38" s="85"/>
      <c r="D38" s="85"/>
      <c r="E38" s="85"/>
      <c r="F38" s="85"/>
      <c r="G38" s="85"/>
      <c r="H38" s="85"/>
      <c r="I38" s="85"/>
      <c r="J38" s="85"/>
      <c r="K38" s="85"/>
      <c r="L38" s="197"/>
      <c r="M38" s="197"/>
      <c r="N38" s="197"/>
      <c r="O38" s="196"/>
      <c r="P38" s="196"/>
      <c r="Q38" s="98"/>
    </row>
    <row r="39" spans="1:17" x14ac:dyDescent="0.35">
      <c r="A39" s="84"/>
      <c r="B39" s="85"/>
      <c r="C39" s="85"/>
      <c r="D39" s="85"/>
      <c r="E39" s="85"/>
      <c r="F39" s="85"/>
      <c r="G39" s="85"/>
      <c r="H39" s="85"/>
      <c r="I39" s="85"/>
      <c r="J39" s="85"/>
      <c r="K39" s="85"/>
      <c r="L39" s="197"/>
      <c r="M39" s="197"/>
      <c r="N39" s="197"/>
      <c r="O39" s="196"/>
      <c r="P39" s="196"/>
      <c r="Q39" s="98"/>
    </row>
    <row r="40" spans="1:17" x14ac:dyDescent="0.35">
      <c r="A40" s="84"/>
      <c r="B40" s="85"/>
      <c r="C40" s="85"/>
      <c r="D40" s="85"/>
      <c r="E40" s="85"/>
      <c r="F40" s="85"/>
      <c r="G40" s="85"/>
      <c r="H40" s="85"/>
      <c r="I40" s="85"/>
      <c r="J40" s="85"/>
      <c r="K40" s="85"/>
      <c r="L40" s="197"/>
      <c r="M40" s="197"/>
      <c r="N40" s="197"/>
      <c r="O40" s="196"/>
      <c r="P40" s="196"/>
      <c r="Q40" s="98"/>
    </row>
    <row r="41" spans="1:17" x14ac:dyDescent="0.35">
      <c r="A41" s="84"/>
      <c r="B41" s="85"/>
      <c r="C41" s="85"/>
      <c r="D41" s="85"/>
      <c r="E41" s="85"/>
      <c r="F41" s="85"/>
      <c r="G41" s="85"/>
      <c r="H41" s="85"/>
      <c r="I41" s="85"/>
      <c r="J41" s="85"/>
      <c r="K41" s="85"/>
      <c r="L41" s="197"/>
      <c r="M41" s="197"/>
      <c r="N41" s="197"/>
      <c r="O41" s="196"/>
      <c r="P41" s="196"/>
      <c r="Q41" s="98"/>
    </row>
    <row r="42" spans="1:17" x14ac:dyDescent="0.35">
      <c r="A42" s="84"/>
      <c r="B42" s="85"/>
      <c r="C42" s="85"/>
      <c r="D42" s="85"/>
      <c r="E42" s="85"/>
      <c r="F42" s="85"/>
      <c r="G42" s="85"/>
      <c r="H42" s="85"/>
      <c r="I42" s="85"/>
      <c r="J42" s="85"/>
      <c r="K42" s="85"/>
      <c r="L42" s="197"/>
      <c r="M42" s="197"/>
      <c r="N42" s="197"/>
      <c r="O42" s="196"/>
      <c r="P42" s="196"/>
      <c r="Q42" s="98"/>
    </row>
    <row r="43" spans="1:17" x14ac:dyDescent="0.35">
      <c r="A43" s="84"/>
      <c r="B43" s="85"/>
      <c r="C43" s="85"/>
      <c r="D43" s="85"/>
      <c r="E43" s="85"/>
      <c r="F43" s="85"/>
      <c r="G43" s="85"/>
      <c r="H43" s="85"/>
      <c r="I43" s="85"/>
      <c r="J43" s="85"/>
      <c r="K43" s="85"/>
      <c r="L43" s="197"/>
      <c r="M43" s="197"/>
      <c r="N43" s="197"/>
      <c r="O43" s="196"/>
      <c r="P43" s="196"/>
      <c r="Q43" s="98"/>
    </row>
    <row r="44" spans="1:17" x14ac:dyDescent="0.35">
      <c r="A44" s="84"/>
      <c r="B44" s="85"/>
      <c r="C44" s="85"/>
      <c r="D44" s="85"/>
      <c r="E44" s="85"/>
      <c r="F44" s="85"/>
      <c r="G44" s="85"/>
      <c r="H44" s="85"/>
      <c r="I44" s="85"/>
      <c r="J44" s="85"/>
      <c r="K44" s="85"/>
      <c r="L44" s="197"/>
      <c r="M44" s="197"/>
      <c r="N44" s="197"/>
      <c r="O44" s="196"/>
      <c r="P44" s="196"/>
      <c r="Q44" s="98"/>
    </row>
    <row r="45" spans="1:17" x14ac:dyDescent="0.35">
      <c r="A45" s="84"/>
      <c r="B45" s="85"/>
      <c r="C45" s="85"/>
      <c r="D45" s="85"/>
      <c r="E45" s="85"/>
      <c r="F45" s="85"/>
      <c r="G45" s="85"/>
      <c r="H45" s="85"/>
      <c r="I45" s="85"/>
      <c r="J45" s="85"/>
      <c r="K45" s="85"/>
      <c r="L45" s="197"/>
      <c r="M45" s="197"/>
      <c r="N45" s="197"/>
      <c r="O45" s="196"/>
      <c r="P45" s="196"/>
      <c r="Q45" s="98"/>
    </row>
    <row r="46" spans="1:17" x14ac:dyDescent="0.35">
      <c r="A46" s="84"/>
      <c r="B46" s="85"/>
      <c r="C46" s="85"/>
      <c r="D46" s="85"/>
      <c r="E46" s="85"/>
      <c r="F46" s="85"/>
      <c r="G46" s="85"/>
      <c r="H46" s="85"/>
      <c r="I46" s="85"/>
      <c r="J46" s="85"/>
      <c r="K46" s="85"/>
      <c r="L46" s="197"/>
      <c r="M46" s="197"/>
      <c r="N46" s="197"/>
      <c r="O46" s="196"/>
      <c r="P46" s="196"/>
      <c r="Q46" s="98"/>
    </row>
    <row r="47" spans="1:17" x14ac:dyDescent="0.35">
      <c r="A47" s="84"/>
      <c r="B47" s="85"/>
      <c r="C47" s="85"/>
      <c r="D47" s="85"/>
      <c r="E47" s="85"/>
      <c r="F47" s="85"/>
      <c r="G47" s="85"/>
      <c r="H47" s="85"/>
      <c r="I47" s="85"/>
      <c r="J47" s="85"/>
      <c r="K47" s="85"/>
      <c r="L47" s="197"/>
      <c r="M47" s="197"/>
      <c r="N47" s="197"/>
      <c r="O47" s="196"/>
      <c r="P47" s="196"/>
      <c r="Q47" s="98"/>
    </row>
    <row r="48" spans="1:17" x14ac:dyDescent="0.35">
      <c r="A48" s="84"/>
      <c r="B48" s="85"/>
      <c r="C48" s="85"/>
      <c r="D48" s="85"/>
      <c r="E48" s="85"/>
      <c r="F48" s="85"/>
      <c r="G48" s="85"/>
      <c r="H48" s="85"/>
      <c r="I48" s="85"/>
      <c r="J48" s="85"/>
      <c r="K48" s="85"/>
      <c r="L48" s="197"/>
      <c r="M48" s="197"/>
      <c r="N48" s="197"/>
      <c r="O48" s="196"/>
      <c r="P48" s="196"/>
      <c r="Q48" s="98"/>
    </row>
    <row r="49" spans="1:17" x14ac:dyDescent="0.35">
      <c r="A49" s="84"/>
      <c r="B49" s="85"/>
      <c r="C49" s="85"/>
      <c r="D49" s="85"/>
      <c r="E49" s="85"/>
      <c r="F49" s="85"/>
      <c r="G49" s="85"/>
      <c r="H49" s="85"/>
      <c r="I49" s="85"/>
      <c r="J49" s="85"/>
      <c r="K49" s="85"/>
      <c r="L49" s="197"/>
      <c r="M49" s="197"/>
      <c r="N49" s="197"/>
      <c r="O49" s="196"/>
      <c r="P49" s="196"/>
      <c r="Q49" s="98"/>
    </row>
    <row r="50" spans="1:17" x14ac:dyDescent="0.35">
      <c r="A50" s="199"/>
      <c r="B50" s="200"/>
      <c r="C50" s="200"/>
      <c r="D50" s="200"/>
      <c r="E50" s="200"/>
      <c r="F50" s="200"/>
      <c r="G50" s="200"/>
      <c r="H50" s="200"/>
      <c r="I50" s="200"/>
      <c r="J50" s="200"/>
      <c r="K50" s="200"/>
      <c r="L50" s="201"/>
      <c r="M50" s="201"/>
      <c r="N50" s="201"/>
      <c r="O50" s="199"/>
      <c r="P50" s="199"/>
      <c r="Q50" s="98"/>
    </row>
    <row r="51" spans="1:17" x14ac:dyDescent="0.35">
      <c r="A51" s="84"/>
      <c r="B51" s="85"/>
      <c r="C51" s="85"/>
      <c r="D51" s="85"/>
      <c r="E51" s="85"/>
      <c r="F51" s="85"/>
      <c r="G51" s="85"/>
      <c r="H51" s="85"/>
      <c r="I51" s="85"/>
      <c r="J51" s="85"/>
      <c r="K51" s="85"/>
      <c r="L51" s="197"/>
      <c r="M51" s="197"/>
      <c r="N51" s="197"/>
      <c r="O51" s="196"/>
      <c r="P51" s="196"/>
      <c r="Q51" s="98"/>
    </row>
    <row r="52" spans="1:17" x14ac:dyDescent="0.35">
      <c r="A52" s="84"/>
      <c r="B52" s="85"/>
      <c r="C52" s="85"/>
      <c r="D52" s="85"/>
      <c r="E52" s="85"/>
      <c r="F52" s="85"/>
      <c r="G52" s="85"/>
      <c r="H52" s="85"/>
      <c r="I52" s="85"/>
      <c r="J52" s="85"/>
      <c r="K52" s="85"/>
      <c r="L52" s="197"/>
      <c r="M52" s="197"/>
      <c r="N52" s="197"/>
      <c r="O52" s="196"/>
      <c r="P52" s="196"/>
      <c r="Q52" s="98"/>
    </row>
    <row r="53" spans="1:17" x14ac:dyDescent="0.35">
      <c r="A53" s="84"/>
      <c r="B53" s="85"/>
      <c r="C53" s="85"/>
      <c r="D53" s="85"/>
      <c r="E53" s="85"/>
      <c r="F53" s="85"/>
      <c r="G53" s="85"/>
      <c r="H53" s="85"/>
      <c r="I53" s="85"/>
      <c r="J53" s="85"/>
      <c r="K53" s="85"/>
      <c r="L53" s="197"/>
      <c r="M53" s="197"/>
      <c r="N53" s="197"/>
      <c r="O53" s="196"/>
      <c r="P53" s="196"/>
      <c r="Q53" s="98"/>
    </row>
    <row r="54" spans="1:17" x14ac:dyDescent="0.35">
      <c r="A54" s="84"/>
      <c r="B54" s="85"/>
      <c r="C54" s="85"/>
      <c r="D54" s="85"/>
      <c r="E54" s="85"/>
      <c r="F54" s="85"/>
      <c r="G54" s="85"/>
      <c r="H54" s="85"/>
      <c r="I54" s="85"/>
      <c r="J54" s="85"/>
      <c r="K54" s="85"/>
      <c r="L54" s="197"/>
      <c r="M54" s="197"/>
      <c r="N54" s="197"/>
      <c r="O54" s="196"/>
      <c r="P54" s="196"/>
      <c r="Q54" s="98"/>
    </row>
    <row r="55" spans="1:17" x14ac:dyDescent="0.35">
      <c r="A55" s="84"/>
      <c r="B55" s="85"/>
      <c r="C55" s="85"/>
      <c r="D55" s="85"/>
      <c r="E55" s="85"/>
      <c r="F55" s="85"/>
      <c r="G55" s="85"/>
      <c r="H55" s="85"/>
      <c r="I55" s="85"/>
      <c r="J55" s="85"/>
      <c r="K55" s="85"/>
      <c r="L55" s="197"/>
      <c r="M55" s="197"/>
      <c r="N55" s="197"/>
      <c r="O55" s="196"/>
      <c r="P55" s="196"/>
      <c r="Q55" s="98"/>
    </row>
    <row r="56" spans="1:17" x14ac:dyDescent="0.35">
      <c r="A56" s="84"/>
      <c r="B56" s="85"/>
      <c r="C56" s="85"/>
      <c r="D56" s="85"/>
      <c r="E56" s="85"/>
      <c r="F56" s="85"/>
      <c r="G56" s="85"/>
      <c r="H56" s="85"/>
      <c r="I56" s="85"/>
      <c r="J56" s="85"/>
      <c r="K56" s="85"/>
      <c r="L56" s="197"/>
      <c r="M56" s="197"/>
      <c r="N56" s="197"/>
      <c r="O56" s="196"/>
      <c r="P56" s="196"/>
      <c r="Q56" s="98"/>
    </row>
    <row r="57" spans="1:17" x14ac:dyDescent="0.35">
      <c r="A57" s="84"/>
      <c r="B57" s="85"/>
      <c r="C57" s="85"/>
      <c r="D57" s="85"/>
      <c r="E57" s="85"/>
      <c r="F57" s="85"/>
      <c r="G57" s="85"/>
      <c r="H57" s="85"/>
      <c r="I57" s="85"/>
      <c r="J57" s="85"/>
      <c r="K57" s="85"/>
      <c r="L57" s="197"/>
      <c r="M57" s="197"/>
      <c r="N57" s="197"/>
      <c r="O57" s="196"/>
      <c r="P57" s="196"/>
      <c r="Q57" s="98"/>
    </row>
    <row r="58" spans="1:17" x14ac:dyDescent="0.35">
      <c r="A58" s="84"/>
      <c r="B58" s="85"/>
      <c r="C58" s="85"/>
      <c r="D58" s="85"/>
      <c r="E58" s="85"/>
      <c r="F58" s="85"/>
      <c r="G58" s="85"/>
      <c r="H58" s="85"/>
      <c r="I58" s="85"/>
      <c r="J58" s="85"/>
      <c r="K58" s="85"/>
      <c r="L58" s="197"/>
      <c r="M58" s="197"/>
      <c r="N58" s="197"/>
      <c r="O58" s="196"/>
      <c r="P58" s="196"/>
      <c r="Q58" s="98"/>
    </row>
    <row r="59" spans="1:17" x14ac:dyDescent="0.35">
      <c r="A59" s="84"/>
      <c r="B59" s="85"/>
      <c r="C59" s="85"/>
      <c r="D59" s="85"/>
      <c r="E59" s="85"/>
      <c r="F59" s="85"/>
      <c r="G59" s="85"/>
      <c r="H59" s="85"/>
      <c r="I59" s="85"/>
      <c r="J59" s="85"/>
      <c r="K59" s="85"/>
      <c r="L59" s="197"/>
      <c r="M59" s="197"/>
      <c r="N59" s="197"/>
      <c r="O59" s="196"/>
      <c r="P59" s="196"/>
      <c r="Q59" s="98"/>
    </row>
    <row r="60" spans="1:17" x14ac:dyDescent="0.35">
      <c r="A60" s="84"/>
      <c r="B60" s="85"/>
      <c r="C60" s="85"/>
      <c r="D60" s="85"/>
      <c r="E60" s="85"/>
      <c r="F60" s="85"/>
      <c r="G60" s="85"/>
      <c r="H60" s="85"/>
      <c r="I60" s="85"/>
      <c r="J60" s="85"/>
      <c r="K60" s="85"/>
      <c r="L60" s="197"/>
      <c r="M60" s="197"/>
      <c r="N60" s="197"/>
      <c r="O60" s="196"/>
      <c r="P60" s="196"/>
      <c r="Q60" s="98"/>
    </row>
    <row r="61" spans="1:17" x14ac:dyDescent="0.35">
      <c r="A61" s="84"/>
      <c r="B61" s="85"/>
      <c r="C61" s="85"/>
      <c r="D61" s="85"/>
      <c r="E61" s="85"/>
      <c r="F61" s="85"/>
      <c r="G61" s="85"/>
      <c r="H61" s="85"/>
      <c r="I61" s="85"/>
      <c r="J61" s="85"/>
      <c r="K61" s="85"/>
      <c r="L61" s="197"/>
      <c r="M61" s="197"/>
      <c r="N61" s="197"/>
      <c r="O61" s="196"/>
      <c r="P61" s="196"/>
      <c r="Q61" s="98"/>
    </row>
    <row r="62" spans="1:17" x14ac:dyDescent="0.35">
      <c r="A62" s="84"/>
      <c r="B62" s="85"/>
      <c r="C62" s="85"/>
      <c r="D62" s="85"/>
      <c r="E62" s="85"/>
      <c r="F62" s="85"/>
      <c r="G62" s="85"/>
      <c r="H62" s="85"/>
      <c r="I62" s="85"/>
      <c r="J62" s="85"/>
      <c r="K62" s="85"/>
      <c r="L62" s="197"/>
      <c r="M62" s="197"/>
      <c r="N62" s="197"/>
      <c r="O62" s="196"/>
      <c r="P62" s="196"/>
      <c r="Q62" s="98"/>
    </row>
    <row r="63" spans="1:17" x14ac:dyDescent="0.35">
      <c r="A63" s="84"/>
      <c r="B63" s="85"/>
      <c r="C63" s="85"/>
      <c r="D63" s="85"/>
      <c r="E63" s="85"/>
      <c r="F63" s="85"/>
      <c r="G63" s="85"/>
      <c r="H63" s="85"/>
      <c r="I63" s="85"/>
      <c r="J63" s="85"/>
      <c r="K63" s="85"/>
      <c r="L63" s="197"/>
      <c r="M63" s="197"/>
      <c r="N63" s="197"/>
      <c r="O63" s="196"/>
      <c r="P63" s="196"/>
      <c r="Q63" s="98"/>
    </row>
    <row r="64" spans="1:17" x14ac:dyDescent="0.35">
      <c r="A64" s="84"/>
      <c r="B64" s="85"/>
      <c r="C64" s="85"/>
      <c r="D64" s="85"/>
      <c r="E64" s="85"/>
      <c r="F64" s="85"/>
      <c r="G64" s="85"/>
      <c r="H64" s="85"/>
      <c r="I64" s="85"/>
      <c r="J64" s="85"/>
      <c r="K64" s="85"/>
      <c r="L64" s="197"/>
      <c r="M64" s="197"/>
      <c r="N64" s="197"/>
      <c r="O64" s="196"/>
      <c r="P64" s="196"/>
      <c r="Q64" s="98"/>
    </row>
    <row r="65" spans="1:17" x14ac:dyDescent="0.35">
      <c r="A65" s="84"/>
      <c r="B65" s="85"/>
      <c r="C65" s="85"/>
      <c r="D65" s="85"/>
      <c r="E65" s="85"/>
      <c r="F65" s="85"/>
      <c r="G65" s="85"/>
      <c r="H65" s="85"/>
      <c r="I65" s="85"/>
      <c r="J65" s="85"/>
      <c r="K65" s="85"/>
      <c r="L65" s="197"/>
      <c r="M65" s="197"/>
      <c r="N65" s="197"/>
      <c r="O65" s="196"/>
      <c r="P65" s="196"/>
      <c r="Q65" s="98"/>
    </row>
    <row r="66" spans="1:17" x14ac:dyDescent="0.35">
      <c r="A66" s="84"/>
      <c r="B66" s="85"/>
      <c r="C66" s="85"/>
      <c r="D66" s="85"/>
      <c r="E66" s="85"/>
      <c r="F66" s="85"/>
      <c r="G66" s="85"/>
      <c r="H66" s="85"/>
      <c r="I66" s="85"/>
      <c r="J66" s="85"/>
      <c r="K66" s="85"/>
      <c r="L66" s="197"/>
      <c r="M66" s="197"/>
      <c r="N66" s="197"/>
      <c r="O66" s="196"/>
      <c r="P66" s="196"/>
      <c r="Q66" s="98"/>
    </row>
    <row r="67" spans="1:17" x14ac:dyDescent="0.35">
      <c r="A67" s="84"/>
      <c r="B67" s="85"/>
      <c r="C67" s="85"/>
      <c r="D67" s="85"/>
      <c r="E67" s="85"/>
      <c r="F67" s="85"/>
      <c r="G67" s="85"/>
      <c r="H67" s="85"/>
      <c r="I67" s="85"/>
      <c r="J67" s="85"/>
      <c r="K67" s="85"/>
      <c r="L67" s="197"/>
      <c r="M67" s="197"/>
      <c r="N67" s="197"/>
      <c r="O67" s="196"/>
      <c r="P67" s="196"/>
      <c r="Q67" s="98"/>
    </row>
    <row r="68" spans="1:17" x14ac:dyDescent="0.35">
      <c r="A68" s="84"/>
      <c r="B68" s="85"/>
      <c r="C68" s="85"/>
      <c r="D68" s="85"/>
      <c r="E68" s="85"/>
      <c r="F68" s="85"/>
      <c r="G68" s="85"/>
      <c r="H68" s="85"/>
      <c r="I68" s="85"/>
      <c r="J68" s="85"/>
      <c r="K68" s="85"/>
      <c r="L68" s="197"/>
      <c r="M68" s="197"/>
      <c r="N68" s="197"/>
      <c r="O68" s="196"/>
      <c r="P68" s="196"/>
      <c r="Q68" s="98"/>
    </row>
    <row r="69" spans="1:17" x14ac:dyDescent="0.35">
      <c r="A69" s="84"/>
      <c r="B69" s="85"/>
      <c r="C69" s="85"/>
      <c r="D69" s="85"/>
      <c r="E69" s="85"/>
      <c r="F69" s="85"/>
      <c r="G69" s="85"/>
      <c r="H69" s="85"/>
      <c r="I69" s="85"/>
      <c r="J69" s="85"/>
      <c r="K69" s="85"/>
      <c r="L69" s="197"/>
      <c r="M69" s="197"/>
      <c r="N69" s="197"/>
      <c r="O69" s="196"/>
      <c r="P69" s="196"/>
      <c r="Q69" s="98"/>
    </row>
    <row r="70" spans="1:17" x14ac:dyDescent="0.35">
      <c r="A70" s="84"/>
      <c r="B70" s="85"/>
      <c r="C70" s="85"/>
      <c r="D70" s="85"/>
      <c r="E70" s="85"/>
      <c r="F70" s="85"/>
      <c r="G70" s="85"/>
      <c r="H70" s="85"/>
      <c r="I70" s="85"/>
      <c r="J70" s="85"/>
      <c r="K70" s="85"/>
      <c r="L70" s="197"/>
      <c r="M70" s="197"/>
      <c r="N70" s="197"/>
      <c r="O70" s="196"/>
      <c r="P70" s="196"/>
      <c r="Q70" s="98"/>
    </row>
    <row r="71" spans="1:17" x14ac:dyDescent="0.35">
      <c r="A71" s="84"/>
      <c r="B71" s="85"/>
      <c r="C71" s="85"/>
      <c r="D71" s="85"/>
      <c r="E71" s="85"/>
      <c r="F71" s="85"/>
      <c r="G71" s="85"/>
      <c r="H71" s="85"/>
      <c r="I71" s="85"/>
      <c r="J71" s="85"/>
      <c r="K71" s="85"/>
      <c r="L71" s="197"/>
      <c r="M71" s="197"/>
      <c r="N71" s="197"/>
      <c r="O71" s="196"/>
      <c r="P71" s="196"/>
      <c r="Q71" s="98"/>
    </row>
    <row r="72" spans="1:17" x14ac:dyDescent="0.35">
      <c r="A72" s="84"/>
      <c r="B72" s="85"/>
      <c r="C72" s="85"/>
      <c r="D72" s="85"/>
      <c r="E72" s="85"/>
      <c r="F72" s="85"/>
      <c r="G72" s="85"/>
      <c r="H72" s="85"/>
      <c r="I72" s="85"/>
      <c r="J72" s="85"/>
      <c r="K72" s="85"/>
      <c r="L72" s="197"/>
      <c r="M72" s="197"/>
      <c r="N72" s="197"/>
      <c r="O72" s="196"/>
      <c r="P72" s="196"/>
      <c r="Q72" s="98"/>
    </row>
    <row r="73" spans="1:17" x14ac:dyDescent="0.35">
      <c r="A73" s="84"/>
      <c r="B73" s="85"/>
      <c r="C73" s="85"/>
      <c r="D73" s="85"/>
      <c r="E73" s="85"/>
      <c r="F73" s="85"/>
      <c r="G73" s="85"/>
      <c r="H73" s="85"/>
      <c r="I73" s="85"/>
      <c r="J73" s="85"/>
      <c r="K73" s="85"/>
      <c r="L73" s="197"/>
      <c r="M73" s="197"/>
      <c r="N73" s="197"/>
      <c r="O73" s="196"/>
      <c r="P73" s="196"/>
      <c r="Q73" s="98"/>
    </row>
    <row r="74" spans="1:17" x14ac:dyDescent="0.35">
      <c r="A74" s="84"/>
      <c r="B74" s="85"/>
      <c r="C74" s="85"/>
      <c r="D74" s="85"/>
      <c r="E74" s="85"/>
      <c r="F74" s="85"/>
      <c r="G74" s="85"/>
      <c r="H74" s="85"/>
      <c r="I74" s="85"/>
      <c r="J74" s="85"/>
      <c r="K74" s="85"/>
      <c r="L74" s="197"/>
      <c r="M74" s="197"/>
      <c r="N74" s="197"/>
      <c r="O74" s="196"/>
      <c r="P74" s="196"/>
      <c r="Q74" s="98"/>
    </row>
    <row r="75" spans="1:17" x14ac:dyDescent="0.35">
      <c r="A75" s="84"/>
      <c r="B75" s="85"/>
      <c r="C75" s="85"/>
      <c r="D75" s="85"/>
      <c r="E75" s="85"/>
      <c r="F75" s="85"/>
      <c r="G75" s="85"/>
      <c r="H75" s="85"/>
      <c r="I75" s="85"/>
      <c r="J75" s="85"/>
      <c r="K75" s="85"/>
      <c r="L75" s="197"/>
      <c r="M75" s="197"/>
      <c r="N75" s="197"/>
      <c r="O75" s="196"/>
      <c r="P75" s="196"/>
      <c r="Q75" s="98"/>
    </row>
    <row r="76" spans="1:17" x14ac:dyDescent="0.35">
      <c r="A76" s="84"/>
      <c r="B76" s="85"/>
      <c r="C76" s="85"/>
      <c r="D76" s="85"/>
      <c r="E76" s="85"/>
      <c r="F76" s="85"/>
      <c r="G76" s="85"/>
      <c r="H76" s="85"/>
      <c r="I76" s="85"/>
      <c r="J76" s="85"/>
      <c r="K76" s="85"/>
      <c r="L76" s="197"/>
      <c r="M76" s="197"/>
      <c r="N76" s="197"/>
      <c r="O76" s="196"/>
      <c r="P76" s="196"/>
      <c r="Q76" s="98"/>
    </row>
    <row r="77" spans="1:17" x14ac:dyDescent="0.35">
      <c r="A77" s="84"/>
      <c r="B77" s="85"/>
      <c r="C77" s="85"/>
      <c r="D77" s="85"/>
      <c r="E77" s="85"/>
      <c r="F77" s="85"/>
      <c r="G77" s="85"/>
      <c r="H77" s="85"/>
      <c r="I77" s="85"/>
      <c r="J77" s="85"/>
      <c r="K77" s="85"/>
      <c r="L77" s="197"/>
      <c r="M77" s="197"/>
      <c r="N77" s="197"/>
      <c r="O77" s="196"/>
      <c r="P77" s="196"/>
      <c r="Q77" s="98"/>
    </row>
    <row r="78" spans="1:17" x14ac:dyDescent="0.35">
      <c r="A78" s="84"/>
      <c r="B78" s="85"/>
      <c r="C78" s="85"/>
      <c r="D78" s="85"/>
      <c r="E78" s="85"/>
      <c r="F78" s="85"/>
      <c r="G78" s="85"/>
      <c r="H78" s="85"/>
      <c r="I78" s="85"/>
      <c r="J78" s="85"/>
      <c r="K78" s="85"/>
      <c r="L78" s="197"/>
      <c r="M78" s="197"/>
      <c r="N78" s="197"/>
      <c r="O78" s="196"/>
      <c r="P78" s="196"/>
      <c r="Q78" s="98"/>
    </row>
    <row r="79" spans="1:17" x14ac:dyDescent="0.35">
      <c r="A79" s="84"/>
      <c r="B79" s="85"/>
      <c r="C79" s="85"/>
      <c r="D79" s="85"/>
      <c r="E79" s="85"/>
      <c r="F79" s="85"/>
      <c r="G79" s="85"/>
      <c r="H79" s="85"/>
      <c r="I79" s="85"/>
      <c r="J79" s="85"/>
      <c r="K79" s="85"/>
      <c r="L79" s="197"/>
      <c r="M79" s="197"/>
      <c r="N79" s="197"/>
      <c r="O79" s="196"/>
      <c r="P79" s="196"/>
      <c r="Q79" s="98"/>
    </row>
    <row r="80" spans="1:17" x14ac:dyDescent="0.35">
      <c r="A80" s="84"/>
      <c r="B80" s="85"/>
      <c r="C80" s="85"/>
      <c r="D80" s="85"/>
      <c r="E80" s="85"/>
      <c r="F80" s="85"/>
      <c r="G80" s="85"/>
      <c r="H80" s="85"/>
      <c r="I80" s="85"/>
      <c r="J80" s="85"/>
      <c r="K80" s="85"/>
      <c r="L80" s="197"/>
      <c r="M80" s="197"/>
      <c r="N80" s="197"/>
      <c r="O80" s="196"/>
      <c r="P80" s="196"/>
      <c r="Q80" s="98"/>
    </row>
    <row r="81" spans="1:17" x14ac:dyDescent="0.35">
      <c r="A81" s="84"/>
      <c r="B81" s="85"/>
      <c r="C81" s="85"/>
      <c r="D81" s="85"/>
      <c r="E81" s="85"/>
      <c r="F81" s="85"/>
      <c r="G81" s="85"/>
      <c r="H81" s="85"/>
      <c r="I81" s="85"/>
      <c r="J81" s="85"/>
      <c r="K81" s="85"/>
      <c r="L81" s="197"/>
      <c r="M81" s="197"/>
      <c r="N81" s="197"/>
      <c r="O81" s="196"/>
      <c r="P81" s="196"/>
      <c r="Q81" s="98"/>
    </row>
    <row r="82" spans="1:17" x14ac:dyDescent="0.35">
      <c r="A82" s="84"/>
      <c r="B82" s="85"/>
      <c r="C82" s="85"/>
      <c r="D82" s="85"/>
      <c r="E82" s="85"/>
      <c r="F82" s="85"/>
      <c r="G82" s="85"/>
      <c r="H82" s="85"/>
      <c r="I82" s="85"/>
      <c r="J82" s="85"/>
      <c r="K82" s="85"/>
      <c r="L82" s="197"/>
      <c r="M82" s="197"/>
      <c r="N82" s="197"/>
      <c r="O82" s="196"/>
      <c r="P82" s="196"/>
      <c r="Q82" s="98"/>
    </row>
    <row r="83" spans="1:17" x14ac:dyDescent="0.35">
      <c r="A83" s="84"/>
      <c r="B83" s="85"/>
      <c r="C83" s="85"/>
      <c r="D83" s="85"/>
      <c r="E83" s="85"/>
      <c r="F83" s="85"/>
      <c r="G83" s="85"/>
      <c r="H83" s="85"/>
      <c r="I83" s="85"/>
      <c r="J83" s="85"/>
      <c r="K83" s="85"/>
      <c r="L83" s="197"/>
      <c r="M83" s="197"/>
      <c r="N83" s="197"/>
      <c r="O83" s="196"/>
      <c r="P83" s="196"/>
      <c r="Q83" s="98"/>
    </row>
    <row r="84" spans="1:17" x14ac:dyDescent="0.35">
      <c r="A84" s="84"/>
      <c r="B84" s="85"/>
      <c r="C84" s="85"/>
      <c r="D84" s="85"/>
      <c r="E84" s="85"/>
      <c r="F84" s="85"/>
      <c r="G84" s="85"/>
      <c r="H84" s="85"/>
      <c r="I84" s="85"/>
      <c r="J84" s="85"/>
      <c r="K84" s="85"/>
      <c r="L84" s="197"/>
      <c r="M84" s="197"/>
      <c r="N84" s="197"/>
      <c r="O84" s="196"/>
      <c r="P84" s="196"/>
      <c r="Q84" s="98"/>
    </row>
    <row r="85" spans="1:17" x14ac:dyDescent="0.35">
      <c r="A85" s="84"/>
      <c r="B85" s="85"/>
      <c r="C85" s="85"/>
      <c r="D85" s="85"/>
      <c r="E85" s="85"/>
      <c r="F85" s="85"/>
      <c r="G85" s="85"/>
      <c r="H85" s="85"/>
      <c r="I85" s="85"/>
      <c r="J85" s="85"/>
      <c r="K85" s="85"/>
      <c r="L85" s="197"/>
      <c r="M85" s="197"/>
      <c r="N85" s="197"/>
      <c r="O85" s="196"/>
      <c r="P85" s="196"/>
      <c r="Q85" s="98"/>
    </row>
    <row r="86" spans="1:17" x14ac:dyDescent="0.35">
      <c r="A86" s="84"/>
      <c r="B86" s="85"/>
      <c r="C86" s="85"/>
      <c r="D86" s="85"/>
      <c r="E86" s="85"/>
      <c r="F86" s="85"/>
      <c r="G86" s="85"/>
      <c r="H86" s="85"/>
      <c r="I86" s="85"/>
      <c r="J86" s="85"/>
      <c r="K86" s="85"/>
      <c r="L86" s="197"/>
      <c r="M86" s="197"/>
      <c r="N86" s="197"/>
      <c r="O86" s="196"/>
      <c r="P86" s="196"/>
      <c r="Q86" s="98"/>
    </row>
    <row r="87" spans="1:17" x14ac:dyDescent="0.35">
      <c r="A87" s="84"/>
      <c r="B87" s="85"/>
      <c r="C87" s="85"/>
      <c r="D87" s="85"/>
      <c r="E87" s="85"/>
      <c r="F87" s="85"/>
      <c r="G87" s="85"/>
      <c r="H87" s="85"/>
      <c r="I87" s="85"/>
      <c r="J87" s="85"/>
      <c r="K87" s="85"/>
      <c r="L87" s="197"/>
      <c r="M87" s="197"/>
      <c r="N87" s="197"/>
      <c r="O87" s="196"/>
      <c r="P87" s="196"/>
      <c r="Q87" s="98"/>
    </row>
    <row r="88" spans="1:17" x14ac:dyDescent="0.35">
      <c r="A88" s="84"/>
      <c r="B88" s="85"/>
      <c r="C88" s="85"/>
      <c r="D88" s="85"/>
      <c r="E88" s="85"/>
      <c r="F88" s="85"/>
      <c r="G88" s="85"/>
      <c r="H88" s="85"/>
      <c r="I88" s="85"/>
      <c r="J88" s="85"/>
      <c r="K88" s="85"/>
      <c r="L88" s="197"/>
      <c r="M88" s="197"/>
      <c r="N88" s="197"/>
      <c r="O88" s="196"/>
      <c r="P88" s="196"/>
      <c r="Q88" s="98"/>
    </row>
    <row r="89" spans="1:17" x14ac:dyDescent="0.35">
      <c r="A89" s="84"/>
      <c r="B89" s="85"/>
      <c r="C89" s="85"/>
      <c r="D89" s="85"/>
      <c r="E89" s="85"/>
      <c r="F89" s="85"/>
      <c r="G89" s="85"/>
      <c r="H89" s="85"/>
      <c r="I89" s="85"/>
      <c r="J89" s="85"/>
      <c r="K89" s="85"/>
      <c r="L89" s="197"/>
      <c r="M89" s="197"/>
      <c r="N89" s="197"/>
      <c r="O89" s="196"/>
      <c r="P89" s="196"/>
      <c r="Q89" s="98"/>
    </row>
    <row r="90" spans="1:17" x14ac:dyDescent="0.35">
      <c r="A90" s="84"/>
      <c r="B90" s="85"/>
      <c r="C90" s="85"/>
      <c r="D90" s="85"/>
      <c r="E90" s="85"/>
      <c r="F90" s="85"/>
      <c r="G90" s="85"/>
      <c r="H90" s="85"/>
      <c r="I90" s="85"/>
      <c r="J90" s="85"/>
      <c r="K90" s="85"/>
      <c r="L90" s="197"/>
      <c r="M90" s="197"/>
      <c r="N90" s="197"/>
      <c r="O90" s="196"/>
      <c r="P90" s="196"/>
      <c r="Q90" s="98"/>
    </row>
    <row r="91" spans="1:17" x14ac:dyDescent="0.35">
      <c r="A91" s="84"/>
      <c r="B91" s="85"/>
      <c r="C91" s="85"/>
      <c r="D91" s="85"/>
      <c r="E91" s="85"/>
      <c r="F91" s="85"/>
      <c r="G91" s="85"/>
      <c r="H91" s="85"/>
      <c r="I91" s="85"/>
      <c r="J91" s="85"/>
      <c r="K91" s="85"/>
      <c r="L91" s="197"/>
      <c r="M91" s="197"/>
      <c r="N91" s="197"/>
      <c r="O91" s="196"/>
      <c r="P91" s="196"/>
      <c r="Q91" s="98"/>
    </row>
    <row r="92" spans="1:17" x14ac:dyDescent="0.35">
      <c r="A92" s="84"/>
      <c r="B92" s="85"/>
      <c r="C92" s="85"/>
      <c r="D92" s="85"/>
      <c r="E92" s="85"/>
      <c r="F92" s="85"/>
      <c r="G92" s="85"/>
      <c r="H92" s="85"/>
      <c r="I92" s="85"/>
      <c r="J92" s="85"/>
      <c r="K92" s="85"/>
      <c r="L92" s="197"/>
      <c r="M92" s="197"/>
      <c r="N92" s="197"/>
      <c r="O92" s="196"/>
      <c r="P92" s="196"/>
      <c r="Q92" s="98"/>
    </row>
    <row r="93" spans="1:17" x14ac:dyDescent="0.35">
      <c r="A93" s="84"/>
      <c r="B93" s="85"/>
      <c r="C93" s="85"/>
      <c r="D93" s="85"/>
      <c r="E93" s="85"/>
      <c r="F93" s="85"/>
      <c r="G93" s="85"/>
      <c r="H93" s="85"/>
      <c r="I93" s="85"/>
      <c r="J93" s="85"/>
      <c r="K93" s="85"/>
      <c r="L93" s="197"/>
      <c r="M93" s="197"/>
      <c r="N93" s="197"/>
      <c r="O93" s="196"/>
      <c r="P93" s="196"/>
      <c r="Q93" s="98"/>
    </row>
    <row r="94" spans="1:17" x14ac:dyDescent="0.35">
      <c r="A94" s="84"/>
      <c r="B94" s="85"/>
      <c r="C94" s="85"/>
      <c r="D94" s="85"/>
      <c r="E94" s="85"/>
      <c r="F94" s="85"/>
      <c r="G94" s="85"/>
      <c r="H94" s="85"/>
      <c r="I94" s="85"/>
      <c r="J94" s="85"/>
      <c r="K94" s="85"/>
      <c r="L94" s="197"/>
      <c r="M94" s="197"/>
      <c r="N94" s="197"/>
      <c r="O94" s="196"/>
      <c r="P94" s="196"/>
      <c r="Q94" s="98"/>
    </row>
    <row r="95" spans="1:17" x14ac:dyDescent="0.35">
      <c r="A95" s="199"/>
      <c r="B95" s="200"/>
      <c r="C95" s="200"/>
      <c r="D95" s="200"/>
      <c r="E95" s="200"/>
      <c r="F95" s="200"/>
      <c r="G95" s="200"/>
      <c r="H95" s="200"/>
      <c r="I95" s="200"/>
      <c r="J95" s="200"/>
      <c r="K95" s="200"/>
      <c r="L95" s="201"/>
      <c r="M95" s="201"/>
      <c r="N95" s="201"/>
      <c r="O95" s="199"/>
      <c r="P95" s="199"/>
      <c r="Q95" s="98"/>
    </row>
    <row r="96" spans="1:17" x14ac:dyDescent="0.35">
      <c r="A96" s="84"/>
      <c r="B96" s="85"/>
      <c r="C96" s="85"/>
      <c r="D96" s="85"/>
      <c r="E96" s="85"/>
      <c r="F96" s="85"/>
      <c r="G96" s="85"/>
      <c r="H96" s="85"/>
      <c r="I96" s="85"/>
      <c r="J96" s="85"/>
      <c r="K96" s="85"/>
      <c r="L96" s="197"/>
      <c r="M96" s="197"/>
      <c r="N96" s="197"/>
      <c r="O96" s="196"/>
      <c r="P96" s="196"/>
      <c r="Q96" s="98"/>
    </row>
    <row r="97" spans="1:17" x14ac:dyDescent="0.35">
      <c r="A97" s="84"/>
      <c r="B97" s="85"/>
      <c r="C97" s="85"/>
      <c r="D97" s="85"/>
      <c r="E97" s="85"/>
      <c r="F97" s="85"/>
      <c r="G97" s="85"/>
      <c r="H97" s="85"/>
      <c r="I97" s="85"/>
      <c r="J97" s="85"/>
      <c r="K97" s="85"/>
      <c r="L97" s="197"/>
      <c r="M97" s="197"/>
      <c r="N97" s="197"/>
      <c r="O97" s="196"/>
      <c r="P97" s="196"/>
      <c r="Q97" s="98"/>
    </row>
    <row r="98" spans="1:17" x14ac:dyDescent="0.35">
      <c r="A98" s="84"/>
      <c r="B98" s="85"/>
      <c r="C98" s="85"/>
      <c r="D98" s="85"/>
      <c r="E98" s="85"/>
      <c r="F98" s="85"/>
      <c r="G98" s="85"/>
      <c r="H98" s="85"/>
      <c r="I98" s="85"/>
      <c r="J98" s="85"/>
      <c r="K98" s="85"/>
      <c r="L98" s="197"/>
      <c r="M98" s="197"/>
      <c r="N98" s="197"/>
      <c r="O98" s="196"/>
      <c r="P98" s="196"/>
      <c r="Q98" s="98"/>
    </row>
    <row r="99" spans="1:17" x14ac:dyDescent="0.35">
      <c r="A99" s="84"/>
      <c r="B99" s="85"/>
      <c r="C99" s="85"/>
      <c r="D99" s="85"/>
      <c r="E99" s="85"/>
      <c r="F99" s="85"/>
      <c r="G99" s="85"/>
      <c r="H99" s="85"/>
      <c r="I99" s="85"/>
      <c r="J99" s="85"/>
      <c r="K99" s="85"/>
      <c r="L99" s="197"/>
      <c r="M99" s="197"/>
      <c r="N99" s="197"/>
      <c r="O99" s="196"/>
      <c r="P99" s="196"/>
      <c r="Q99" s="98"/>
    </row>
    <row r="100" spans="1:17" x14ac:dyDescent="0.35">
      <c r="A100" s="84"/>
      <c r="B100" s="85"/>
      <c r="C100" s="85"/>
      <c r="D100" s="85"/>
      <c r="E100" s="85"/>
      <c r="F100" s="85"/>
      <c r="G100" s="85"/>
      <c r="H100" s="85"/>
      <c r="I100" s="85"/>
      <c r="J100" s="85"/>
      <c r="K100" s="85"/>
      <c r="L100" s="197"/>
      <c r="M100" s="197"/>
      <c r="N100" s="197"/>
      <c r="O100" s="196"/>
      <c r="P100" s="196"/>
      <c r="Q100" s="98"/>
    </row>
    <row r="101" spans="1:17" x14ac:dyDescent="0.35">
      <c r="A101" s="84"/>
      <c r="B101" s="85"/>
      <c r="C101" s="85"/>
      <c r="D101" s="85"/>
      <c r="E101" s="85"/>
      <c r="F101" s="85"/>
      <c r="G101" s="85"/>
      <c r="H101" s="85"/>
      <c r="I101" s="85"/>
      <c r="J101" s="85"/>
      <c r="K101" s="85"/>
      <c r="L101" s="197"/>
      <c r="M101" s="197"/>
      <c r="N101" s="197"/>
      <c r="O101" s="196"/>
      <c r="P101" s="196"/>
      <c r="Q101" s="98"/>
    </row>
    <row r="102" spans="1:17" x14ac:dyDescent="0.35">
      <c r="A102" s="84"/>
      <c r="B102" s="85"/>
      <c r="C102" s="85"/>
      <c r="D102" s="85"/>
      <c r="E102" s="85"/>
      <c r="F102" s="85"/>
      <c r="G102" s="85"/>
      <c r="H102" s="85"/>
      <c r="I102" s="85"/>
      <c r="J102" s="85"/>
      <c r="K102" s="85"/>
      <c r="L102" s="197"/>
      <c r="M102" s="197"/>
      <c r="N102" s="197"/>
      <c r="O102" s="196"/>
      <c r="P102" s="196"/>
      <c r="Q102" s="98"/>
    </row>
    <row r="103" spans="1:17" x14ac:dyDescent="0.35">
      <c r="A103" s="84"/>
      <c r="B103" s="85"/>
      <c r="C103" s="85"/>
      <c r="D103" s="85"/>
      <c r="E103" s="85"/>
      <c r="F103" s="85"/>
      <c r="G103" s="85"/>
      <c r="H103" s="85"/>
      <c r="I103" s="85"/>
      <c r="J103" s="85"/>
      <c r="K103" s="85"/>
      <c r="L103" s="197"/>
      <c r="M103" s="197"/>
      <c r="N103" s="197"/>
      <c r="O103" s="196"/>
      <c r="P103" s="196"/>
      <c r="Q103" s="98"/>
    </row>
    <row r="104" spans="1:17" x14ac:dyDescent="0.35">
      <c r="A104" s="84"/>
      <c r="B104" s="85"/>
      <c r="C104" s="85"/>
      <c r="D104" s="85"/>
      <c r="E104" s="85"/>
      <c r="F104" s="85"/>
      <c r="G104" s="85"/>
      <c r="H104" s="85"/>
      <c r="I104" s="85"/>
      <c r="J104" s="85"/>
      <c r="K104" s="85"/>
      <c r="L104" s="197"/>
      <c r="M104" s="197"/>
      <c r="N104" s="197"/>
      <c r="O104" s="196"/>
      <c r="P104" s="196"/>
      <c r="Q104" s="98"/>
    </row>
    <row r="105" spans="1:17" x14ac:dyDescent="0.35">
      <c r="A105" s="84"/>
      <c r="B105" s="85"/>
      <c r="C105" s="85"/>
      <c r="D105" s="85"/>
      <c r="E105" s="85"/>
      <c r="F105" s="85"/>
      <c r="G105" s="85"/>
      <c r="H105" s="85"/>
      <c r="I105" s="85"/>
      <c r="J105" s="85"/>
      <c r="K105" s="85"/>
      <c r="L105" s="197"/>
      <c r="M105" s="197"/>
      <c r="N105" s="197"/>
      <c r="O105" s="196"/>
      <c r="P105" s="196"/>
      <c r="Q105" s="98"/>
    </row>
    <row r="106" spans="1:17" x14ac:dyDescent="0.35">
      <c r="A106" s="84"/>
      <c r="B106" s="85"/>
      <c r="C106" s="85"/>
      <c r="D106" s="85"/>
      <c r="E106" s="85"/>
      <c r="F106" s="85"/>
      <c r="G106" s="85"/>
      <c r="H106" s="85"/>
      <c r="I106" s="85"/>
      <c r="J106" s="85"/>
      <c r="K106" s="85"/>
      <c r="L106" s="197"/>
      <c r="M106" s="197"/>
      <c r="N106" s="197"/>
      <c r="O106" s="196"/>
      <c r="P106" s="196"/>
      <c r="Q106" s="98"/>
    </row>
    <row r="107" spans="1:17" x14ac:dyDescent="0.35">
      <c r="A107" s="84"/>
      <c r="B107" s="85"/>
      <c r="C107" s="85"/>
      <c r="D107" s="85"/>
      <c r="E107" s="85"/>
      <c r="F107" s="85"/>
      <c r="G107" s="85"/>
      <c r="H107" s="85"/>
      <c r="I107" s="85"/>
      <c r="J107" s="85"/>
      <c r="K107" s="85"/>
      <c r="L107" s="197"/>
      <c r="M107" s="197"/>
      <c r="N107" s="197"/>
      <c r="O107" s="196"/>
      <c r="P107" s="196"/>
      <c r="Q107" s="98"/>
    </row>
    <row r="108" spans="1:17" x14ac:dyDescent="0.35">
      <c r="A108" s="84"/>
      <c r="B108" s="85"/>
      <c r="C108" s="85"/>
      <c r="D108" s="85"/>
      <c r="E108" s="85"/>
      <c r="F108" s="85"/>
      <c r="G108" s="85"/>
      <c r="H108" s="85"/>
      <c r="I108" s="85"/>
      <c r="J108" s="85"/>
      <c r="K108" s="85"/>
      <c r="L108" s="197"/>
      <c r="M108" s="197"/>
      <c r="N108" s="197"/>
      <c r="O108" s="196"/>
      <c r="P108" s="196"/>
      <c r="Q108" s="98"/>
    </row>
    <row r="109" spans="1:17" x14ac:dyDescent="0.35">
      <c r="A109" s="84"/>
      <c r="B109" s="85"/>
      <c r="C109" s="85"/>
      <c r="D109" s="85"/>
      <c r="E109" s="85"/>
      <c r="F109" s="85"/>
      <c r="G109" s="85"/>
      <c r="H109" s="85"/>
      <c r="I109" s="85"/>
      <c r="J109" s="85"/>
      <c r="K109" s="85"/>
      <c r="L109" s="197"/>
      <c r="M109" s="197"/>
      <c r="N109" s="197"/>
      <c r="O109" s="196"/>
      <c r="P109" s="196"/>
      <c r="Q109" s="98"/>
    </row>
    <row r="110" spans="1:17" x14ac:dyDescent="0.35">
      <c r="A110" s="84"/>
      <c r="B110" s="85"/>
      <c r="C110" s="85"/>
      <c r="D110" s="85"/>
      <c r="E110" s="85"/>
      <c r="F110" s="85"/>
      <c r="G110" s="85"/>
      <c r="H110" s="85"/>
      <c r="I110" s="85"/>
      <c r="J110" s="85"/>
      <c r="K110" s="85"/>
      <c r="L110" s="197"/>
      <c r="M110" s="197"/>
      <c r="N110" s="197"/>
      <c r="O110" s="196"/>
      <c r="P110" s="196"/>
      <c r="Q110" s="98"/>
    </row>
    <row r="111" spans="1:17" x14ac:dyDescent="0.35">
      <c r="A111" s="84"/>
      <c r="B111" s="85"/>
      <c r="C111" s="85"/>
      <c r="D111" s="85"/>
      <c r="E111" s="85"/>
      <c r="F111" s="85"/>
      <c r="G111" s="85"/>
      <c r="H111" s="85"/>
      <c r="I111" s="85"/>
      <c r="J111" s="85"/>
      <c r="K111" s="85"/>
      <c r="L111" s="197"/>
      <c r="M111" s="197"/>
      <c r="N111" s="197"/>
      <c r="O111" s="196"/>
      <c r="P111" s="196"/>
      <c r="Q111" s="98"/>
    </row>
    <row r="112" spans="1:17" x14ac:dyDescent="0.35">
      <c r="A112" s="84"/>
      <c r="B112" s="85"/>
      <c r="C112" s="85"/>
      <c r="D112" s="85"/>
      <c r="E112" s="85"/>
      <c r="F112" s="85"/>
      <c r="G112" s="85"/>
      <c r="H112" s="85"/>
      <c r="I112" s="85"/>
      <c r="J112" s="85"/>
      <c r="K112" s="85"/>
      <c r="L112" s="197"/>
      <c r="M112" s="197"/>
      <c r="N112" s="197"/>
      <c r="O112" s="196"/>
      <c r="P112" s="196"/>
      <c r="Q112" s="98"/>
    </row>
    <row r="113" spans="1:17" x14ac:dyDescent="0.35">
      <c r="A113" s="84"/>
      <c r="B113" s="85"/>
      <c r="C113" s="85"/>
      <c r="D113" s="85"/>
      <c r="E113" s="85"/>
      <c r="F113" s="85"/>
      <c r="G113" s="85"/>
      <c r="H113" s="85"/>
      <c r="I113" s="85"/>
      <c r="J113" s="85"/>
      <c r="K113" s="85"/>
      <c r="L113" s="197"/>
      <c r="M113" s="197"/>
      <c r="N113" s="197"/>
      <c r="O113" s="196"/>
      <c r="P113" s="196"/>
      <c r="Q113" s="98"/>
    </row>
    <row r="114" spans="1:17" x14ac:dyDescent="0.35">
      <c r="A114" s="84"/>
      <c r="B114" s="85"/>
      <c r="C114" s="85"/>
      <c r="D114" s="85"/>
      <c r="E114" s="85"/>
      <c r="F114" s="85"/>
      <c r="G114" s="85"/>
      <c r="H114" s="85"/>
      <c r="I114" s="85"/>
      <c r="J114" s="85"/>
      <c r="K114" s="85"/>
      <c r="L114" s="197"/>
      <c r="M114" s="197"/>
      <c r="N114" s="197"/>
      <c r="O114" s="196"/>
      <c r="P114" s="196"/>
      <c r="Q114" s="98"/>
    </row>
    <row r="115" spans="1:17" x14ac:dyDescent="0.35">
      <c r="A115" s="199"/>
      <c r="B115" s="200"/>
      <c r="C115" s="200"/>
      <c r="D115" s="200"/>
      <c r="E115" s="200"/>
      <c r="F115" s="200"/>
      <c r="G115" s="200"/>
      <c r="H115" s="200"/>
      <c r="I115" s="200"/>
      <c r="J115" s="200"/>
      <c r="K115" s="200"/>
      <c r="L115" s="201"/>
      <c r="M115" s="201"/>
      <c r="N115" s="201"/>
      <c r="O115" s="199"/>
      <c r="P115" s="199"/>
      <c r="Q115" s="98"/>
    </row>
    <row r="116" spans="1:17" x14ac:dyDescent="0.35">
      <c r="A116" s="84"/>
      <c r="B116" s="85"/>
      <c r="C116" s="85"/>
      <c r="D116" s="85"/>
      <c r="E116" s="85"/>
      <c r="F116" s="85"/>
      <c r="G116" s="85"/>
      <c r="H116" s="85"/>
      <c r="I116" s="85"/>
      <c r="J116" s="85"/>
      <c r="K116" s="85"/>
      <c r="L116" s="197"/>
      <c r="M116" s="197"/>
      <c r="N116" s="197"/>
      <c r="O116" s="196"/>
      <c r="P116" s="196"/>
      <c r="Q116" s="98"/>
    </row>
    <row r="117" spans="1:17" x14ac:dyDescent="0.35">
      <c r="A117" s="84"/>
      <c r="B117" s="85"/>
      <c r="C117" s="85"/>
      <c r="D117" s="85"/>
      <c r="E117" s="85"/>
      <c r="F117" s="85"/>
      <c r="G117" s="85"/>
      <c r="H117" s="85"/>
      <c r="I117" s="85"/>
      <c r="J117" s="85"/>
      <c r="K117" s="85"/>
      <c r="L117" s="197"/>
      <c r="M117" s="197"/>
      <c r="N117" s="197"/>
      <c r="O117" s="196"/>
      <c r="P117" s="196"/>
      <c r="Q117" s="98"/>
    </row>
    <row r="118" spans="1:17" x14ac:dyDescent="0.35">
      <c r="A118" s="84"/>
      <c r="B118" s="85"/>
      <c r="C118" s="85"/>
      <c r="D118" s="85"/>
      <c r="E118" s="85"/>
      <c r="F118" s="85"/>
      <c r="G118" s="85"/>
      <c r="H118" s="85"/>
      <c r="I118" s="85"/>
      <c r="J118" s="85"/>
      <c r="K118" s="85"/>
      <c r="L118" s="197"/>
      <c r="M118" s="197"/>
      <c r="N118" s="197"/>
      <c r="O118" s="196"/>
      <c r="P118" s="196"/>
      <c r="Q118" s="98"/>
    </row>
    <row r="119" spans="1:17" x14ac:dyDescent="0.35">
      <c r="A119" s="84"/>
      <c r="B119" s="85"/>
      <c r="C119" s="85"/>
      <c r="D119" s="85"/>
      <c r="E119" s="85"/>
      <c r="F119" s="85"/>
      <c r="G119" s="85"/>
      <c r="H119" s="85"/>
      <c r="I119" s="85"/>
      <c r="J119" s="85"/>
      <c r="K119" s="85"/>
      <c r="L119" s="197"/>
      <c r="M119" s="197"/>
      <c r="N119" s="197"/>
      <c r="O119" s="196"/>
      <c r="P119" s="196"/>
      <c r="Q119" s="98"/>
    </row>
    <row r="120" spans="1:17" x14ac:dyDescent="0.35">
      <c r="A120" s="84"/>
      <c r="B120" s="85"/>
      <c r="C120" s="85"/>
      <c r="D120" s="85"/>
      <c r="E120" s="85"/>
      <c r="F120" s="85"/>
      <c r="G120" s="85"/>
      <c r="H120" s="85"/>
      <c r="I120" s="85"/>
      <c r="J120" s="85"/>
      <c r="K120" s="85"/>
      <c r="L120" s="197"/>
      <c r="M120" s="197"/>
      <c r="N120" s="197"/>
      <c r="O120" s="196"/>
      <c r="P120" s="196"/>
      <c r="Q120" s="98"/>
    </row>
    <row r="121" spans="1:17" x14ac:dyDescent="0.35">
      <c r="A121" s="84"/>
      <c r="B121" s="85"/>
      <c r="C121" s="85"/>
      <c r="D121" s="85"/>
      <c r="E121" s="85"/>
      <c r="F121" s="85"/>
      <c r="G121" s="85"/>
      <c r="H121" s="85"/>
      <c r="I121" s="85"/>
      <c r="J121" s="85"/>
      <c r="K121" s="85"/>
      <c r="L121" s="197"/>
      <c r="M121" s="197"/>
      <c r="N121" s="197"/>
      <c r="O121" s="196"/>
      <c r="P121" s="196"/>
      <c r="Q121" s="98"/>
    </row>
    <row r="122" spans="1:17" x14ac:dyDescent="0.35">
      <c r="A122" s="84"/>
      <c r="B122" s="85"/>
      <c r="C122" s="85"/>
      <c r="D122" s="85"/>
      <c r="E122" s="85"/>
      <c r="F122" s="85"/>
      <c r="G122" s="85"/>
      <c r="H122" s="85"/>
      <c r="I122" s="85"/>
      <c r="J122" s="85"/>
      <c r="K122" s="85"/>
      <c r="L122" s="197"/>
      <c r="M122" s="197"/>
      <c r="N122" s="197"/>
      <c r="O122" s="196"/>
      <c r="P122" s="196"/>
      <c r="Q122" s="98"/>
    </row>
    <row r="123" spans="1:17" x14ac:dyDescent="0.35">
      <c r="A123" s="84"/>
      <c r="B123" s="85"/>
      <c r="C123" s="85"/>
      <c r="D123" s="85"/>
      <c r="E123" s="85"/>
      <c r="F123" s="85"/>
      <c r="G123" s="85"/>
      <c r="H123" s="85"/>
      <c r="I123" s="85"/>
      <c r="J123" s="85"/>
      <c r="K123" s="85"/>
      <c r="L123" s="197"/>
      <c r="M123" s="197"/>
      <c r="N123" s="197"/>
      <c r="O123" s="196"/>
      <c r="P123" s="196"/>
      <c r="Q123" s="98"/>
    </row>
    <row r="124" spans="1:17" x14ac:dyDescent="0.35">
      <c r="A124" s="84"/>
      <c r="B124" s="85"/>
      <c r="C124" s="85"/>
      <c r="D124" s="85"/>
      <c r="E124" s="85"/>
      <c r="F124" s="85"/>
      <c r="G124" s="85"/>
      <c r="H124" s="85"/>
      <c r="I124" s="85"/>
      <c r="J124" s="85"/>
      <c r="K124" s="85"/>
      <c r="L124" s="197"/>
      <c r="M124" s="197"/>
      <c r="N124" s="197"/>
      <c r="O124" s="196"/>
      <c r="P124" s="196"/>
      <c r="Q124" s="98"/>
    </row>
    <row r="125" spans="1:17" x14ac:dyDescent="0.35">
      <c r="A125" s="84"/>
      <c r="B125" s="85"/>
      <c r="C125" s="85"/>
      <c r="D125" s="85"/>
      <c r="E125" s="85"/>
      <c r="F125" s="85"/>
      <c r="G125" s="85"/>
      <c r="H125" s="85"/>
      <c r="I125" s="85"/>
      <c r="J125" s="85"/>
      <c r="K125" s="85"/>
      <c r="L125" s="197"/>
      <c r="M125" s="197"/>
      <c r="N125" s="197"/>
      <c r="O125" s="196"/>
      <c r="P125" s="196"/>
      <c r="Q125" s="98"/>
    </row>
    <row r="126" spans="1:17" x14ac:dyDescent="0.35">
      <c r="A126" s="84"/>
      <c r="B126" s="85"/>
      <c r="C126" s="85"/>
      <c r="D126" s="85"/>
      <c r="E126" s="85"/>
      <c r="F126" s="85"/>
      <c r="G126" s="85"/>
      <c r="H126" s="85"/>
      <c r="I126" s="85"/>
      <c r="J126" s="85"/>
      <c r="K126" s="85"/>
      <c r="L126" s="197"/>
      <c r="M126" s="197"/>
      <c r="N126" s="197"/>
      <c r="O126" s="196"/>
      <c r="P126" s="196"/>
      <c r="Q126" s="98"/>
    </row>
    <row r="127" spans="1:17" x14ac:dyDescent="0.35">
      <c r="A127" s="84"/>
      <c r="B127" s="85"/>
      <c r="C127" s="85"/>
      <c r="D127" s="85"/>
      <c r="E127" s="85"/>
      <c r="F127" s="85"/>
      <c r="G127" s="85"/>
      <c r="H127" s="85"/>
      <c r="I127" s="85"/>
      <c r="J127" s="85"/>
      <c r="K127" s="85"/>
      <c r="L127" s="197"/>
      <c r="M127" s="197"/>
      <c r="N127" s="197"/>
      <c r="O127" s="196"/>
      <c r="P127" s="196"/>
      <c r="Q127" s="98"/>
    </row>
    <row r="128" spans="1:17" x14ac:dyDescent="0.35">
      <c r="A128" s="84"/>
      <c r="B128" s="85"/>
      <c r="C128" s="85"/>
      <c r="D128" s="85"/>
      <c r="E128" s="85"/>
      <c r="F128" s="85"/>
      <c r="G128" s="85"/>
      <c r="H128" s="85"/>
      <c r="I128" s="85"/>
      <c r="J128" s="85"/>
      <c r="K128" s="85"/>
      <c r="L128" s="197"/>
      <c r="M128" s="197"/>
      <c r="N128" s="197"/>
      <c r="O128" s="196"/>
      <c r="P128" s="196"/>
      <c r="Q128" s="98"/>
    </row>
    <row r="129" spans="1:17" x14ac:dyDescent="0.35">
      <c r="A129" s="84"/>
      <c r="B129" s="85"/>
      <c r="C129" s="85"/>
      <c r="D129" s="85"/>
      <c r="E129" s="85"/>
      <c r="F129" s="85"/>
      <c r="G129" s="85"/>
      <c r="H129" s="85"/>
      <c r="I129" s="85"/>
      <c r="J129" s="85"/>
      <c r="K129" s="85"/>
      <c r="L129" s="197"/>
      <c r="M129" s="197"/>
      <c r="N129" s="197"/>
      <c r="O129" s="196"/>
      <c r="P129" s="196"/>
      <c r="Q129" s="98"/>
    </row>
    <row r="130" spans="1:17" x14ac:dyDescent="0.35">
      <c r="A130" s="84"/>
      <c r="B130" s="85"/>
      <c r="C130" s="85"/>
      <c r="D130" s="85"/>
      <c r="E130" s="85"/>
      <c r="F130" s="85"/>
      <c r="G130" s="85"/>
      <c r="H130" s="85"/>
      <c r="I130" s="85"/>
      <c r="J130" s="85"/>
      <c r="K130" s="85"/>
      <c r="L130" s="197"/>
      <c r="M130" s="197"/>
      <c r="N130" s="197"/>
      <c r="O130" s="196"/>
      <c r="P130" s="196"/>
      <c r="Q130" s="98"/>
    </row>
    <row r="131" spans="1:17" x14ac:dyDescent="0.35">
      <c r="A131" s="84"/>
      <c r="B131" s="85"/>
      <c r="C131" s="85"/>
      <c r="D131" s="85"/>
      <c r="E131" s="85"/>
      <c r="F131" s="85"/>
      <c r="G131" s="85"/>
      <c r="H131" s="85"/>
      <c r="I131" s="85"/>
      <c r="J131" s="85"/>
      <c r="K131" s="85"/>
      <c r="L131" s="197"/>
      <c r="M131" s="197"/>
      <c r="N131" s="197"/>
      <c r="O131" s="196"/>
      <c r="P131" s="196"/>
      <c r="Q131" s="98"/>
    </row>
    <row r="132" spans="1:17" x14ac:dyDescent="0.35">
      <c r="A132" s="84"/>
      <c r="B132" s="85"/>
      <c r="C132" s="85"/>
      <c r="D132" s="85"/>
      <c r="E132" s="85"/>
      <c r="F132" s="85"/>
      <c r="G132" s="85"/>
      <c r="H132" s="85"/>
      <c r="I132" s="85"/>
      <c r="J132" s="85"/>
      <c r="K132" s="85"/>
      <c r="L132" s="197"/>
      <c r="M132" s="197"/>
      <c r="N132" s="197"/>
      <c r="O132" s="196"/>
      <c r="P132" s="196"/>
      <c r="Q132" s="98"/>
    </row>
    <row r="133" spans="1:17" x14ac:dyDescent="0.35">
      <c r="A133" s="84"/>
      <c r="B133" s="85"/>
      <c r="C133" s="85"/>
      <c r="D133" s="85"/>
      <c r="E133" s="85"/>
      <c r="F133" s="85"/>
      <c r="G133" s="85"/>
      <c r="H133" s="85"/>
      <c r="I133" s="85"/>
      <c r="J133" s="85"/>
      <c r="K133" s="85"/>
      <c r="L133" s="197"/>
      <c r="M133" s="197"/>
      <c r="N133" s="197"/>
      <c r="O133" s="196"/>
      <c r="P133" s="196"/>
      <c r="Q133" s="98"/>
    </row>
    <row r="134" spans="1:17" x14ac:dyDescent="0.35">
      <c r="A134" s="84"/>
      <c r="B134" s="85"/>
      <c r="C134" s="85"/>
      <c r="D134" s="85"/>
      <c r="E134" s="85"/>
      <c r="F134" s="85"/>
      <c r="G134" s="85"/>
      <c r="H134" s="85"/>
      <c r="I134" s="85"/>
      <c r="J134" s="85"/>
      <c r="K134" s="85"/>
      <c r="L134" s="197"/>
      <c r="M134" s="197"/>
      <c r="N134" s="197"/>
      <c r="O134" s="196"/>
      <c r="P134" s="196"/>
      <c r="Q134" s="98"/>
    </row>
    <row r="135" spans="1:17" x14ac:dyDescent="0.35">
      <c r="A135" s="84"/>
      <c r="B135" s="85"/>
      <c r="C135" s="85"/>
      <c r="D135" s="85"/>
      <c r="E135" s="85"/>
      <c r="F135" s="85"/>
      <c r="G135" s="85"/>
      <c r="H135" s="85"/>
      <c r="I135" s="85"/>
      <c r="J135" s="85"/>
      <c r="K135" s="85"/>
      <c r="L135" s="197"/>
      <c r="M135" s="197"/>
      <c r="N135" s="197"/>
      <c r="O135" s="196"/>
      <c r="P135" s="196"/>
      <c r="Q135" s="98"/>
    </row>
    <row r="136" spans="1:17" x14ac:dyDescent="0.35">
      <c r="A136" s="199"/>
      <c r="B136" s="200"/>
      <c r="C136" s="200"/>
      <c r="D136" s="200"/>
      <c r="E136" s="200"/>
      <c r="F136" s="200"/>
      <c r="G136" s="200"/>
      <c r="H136" s="200"/>
      <c r="I136" s="200"/>
      <c r="J136" s="200"/>
      <c r="K136" s="200"/>
      <c r="L136" s="201"/>
      <c r="M136" s="201"/>
      <c r="N136" s="201"/>
      <c r="O136" s="199"/>
      <c r="P136" s="199"/>
      <c r="Q136" s="98"/>
    </row>
    <row r="137" spans="1:17" x14ac:dyDescent="0.35">
      <c r="A137" s="84"/>
      <c r="B137" s="85"/>
      <c r="C137" s="85"/>
      <c r="D137" s="85"/>
      <c r="E137" s="85"/>
      <c r="F137" s="85"/>
      <c r="G137" s="85"/>
      <c r="H137" s="85"/>
      <c r="I137" s="85"/>
      <c r="J137" s="85"/>
      <c r="K137" s="85"/>
      <c r="L137" s="197"/>
      <c r="M137" s="197"/>
      <c r="N137" s="197"/>
      <c r="O137" s="196"/>
      <c r="P137" s="196"/>
      <c r="Q137" s="98"/>
    </row>
    <row r="138" spans="1:17" x14ac:dyDescent="0.35">
      <c r="A138" s="84"/>
      <c r="B138" s="85"/>
      <c r="C138" s="85"/>
      <c r="D138" s="85"/>
      <c r="E138" s="85"/>
      <c r="F138" s="85"/>
      <c r="G138" s="85"/>
      <c r="H138" s="85"/>
      <c r="I138" s="85"/>
      <c r="J138" s="85"/>
      <c r="K138" s="85"/>
      <c r="L138" s="197"/>
      <c r="M138" s="197"/>
      <c r="N138" s="197"/>
      <c r="O138" s="196"/>
      <c r="P138" s="196"/>
      <c r="Q138" s="98"/>
    </row>
    <row r="139" spans="1:17" x14ac:dyDescent="0.35">
      <c r="A139" s="84"/>
      <c r="B139" s="85"/>
      <c r="C139" s="85"/>
      <c r="D139" s="85"/>
      <c r="E139" s="85"/>
      <c r="F139" s="85"/>
      <c r="G139" s="85"/>
      <c r="H139" s="85"/>
      <c r="I139" s="85"/>
      <c r="J139" s="85"/>
      <c r="K139" s="85"/>
      <c r="L139" s="197"/>
      <c r="M139" s="197"/>
      <c r="N139" s="197"/>
      <c r="O139" s="196"/>
      <c r="P139" s="196"/>
      <c r="Q139" s="98"/>
    </row>
    <row r="140" spans="1:17" x14ac:dyDescent="0.35">
      <c r="A140" s="84"/>
      <c r="B140" s="85"/>
      <c r="C140" s="85"/>
      <c r="D140" s="85"/>
      <c r="E140" s="85"/>
      <c r="F140" s="85"/>
      <c r="G140" s="85"/>
      <c r="H140" s="85"/>
      <c r="I140" s="85"/>
      <c r="J140" s="85"/>
      <c r="K140" s="85"/>
      <c r="L140" s="197"/>
      <c r="M140" s="197"/>
      <c r="N140" s="197"/>
      <c r="O140" s="196"/>
      <c r="P140" s="196"/>
      <c r="Q140" s="98"/>
    </row>
    <row r="141" spans="1:17" x14ac:dyDescent="0.35">
      <c r="A141" s="84"/>
      <c r="B141" s="85"/>
      <c r="C141" s="85"/>
      <c r="D141" s="85"/>
      <c r="E141" s="85"/>
      <c r="F141" s="85"/>
      <c r="G141" s="85"/>
      <c r="H141" s="85"/>
      <c r="I141" s="85"/>
      <c r="J141" s="85"/>
      <c r="K141" s="85"/>
      <c r="L141" s="197"/>
      <c r="M141" s="197"/>
      <c r="N141" s="197"/>
      <c r="O141" s="196"/>
      <c r="P141" s="196"/>
      <c r="Q141" s="98"/>
    </row>
    <row r="142" spans="1:17" x14ac:dyDescent="0.35">
      <c r="A142" s="84"/>
      <c r="B142" s="85"/>
      <c r="C142" s="85"/>
      <c r="D142" s="85"/>
      <c r="E142" s="85"/>
      <c r="F142" s="85"/>
      <c r="G142" s="85"/>
      <c r="H142" s="85"/>
      <c r="I142" s="85"/>
      <c r="J142" s="85"/>
      <c r="K142" s="85"/>
      <c r="L142" s="197"/>
      <c r="M142" s="197"/>
      <c r="N142" s="197"/>
      <c r="O142" s="196"/>
      <c r="P142" s="196"/>
      <c r="Q142" s="98"/>
    </row>
    <row r="143" spans="1:17" x14ac:dyDescent="0.35">
      <c r="A143" s="84"/>
      <c r="B143" s="85"/>
      <c r="C143" s="85"/>
      <c r="D143" s="85"/>
      <c r="E143" s="85"/>
      <c r="F143" s="85"/>
      <c r="G143" s="85"/>
      <c r="H143" s="85"/>
      <c r="I143" s="85"/>
      <c r="J143" s="85"/>
      <c r="K143" s="85"/>
      <c r="L143" s="197"/>
      <c r="M143" s="197"/>
      <c r="N143" s="197"/>
      <c r="O143" s="196"/>
      <c r="P143" s="196"/>
      <c r="Q143" s="98"/>
    </row>
    <row r="144" spans="1:17" x14ac:dyDescent="0.35">
      <c r="A144" s="84"/>
      <c r="B144" s="85"/>
      <c r="C144" s="85"/>
      <c r="D144" s="85"/>
      <c r="E144" s="85"/>
      <c r="F144" s="85"/>
      <c r="G144" s="85"/>
      <c r="H144" s="85"/>
      <c r="I144" s="85"/>
      <c r="J144" s="85"/>
      <c r="K144" s="85"/>
      <c r="L144" s="197"/>
      <c r="M144" s="197"/>
      <c r="N144" s="197"/>
      <c r="O144" s="196"/>
      <c r="P144" s="196"/>
      <c r="Q144" s="98"/>
    </row>
    <row r="145" spans="1:17" x14ac:dyDescent="0.35">
      <c r="A145" s="84"/>
      <c r="B145" s="85"/>
      <c r="C145" s="85"/>
      <c r="D145" s="85"/>
      <c r="E145" s="85"/>
      <c r="F145" s="85"/>
      <c r="G145" s="85"/>
      <c r="H145" s="85"/>
      <c r="I145" s="85"/>
      <c r="J145" s="85"/>
      <c r="K145" s="85"/>
      <c r="L145" s="197"/>
      <c r="M145" s="197"/>
      <c r="N145" s="197"/>
      <c r="O145" s="196"/>
      <c r="P145" s="196"/>
      <c r="Q145" s="98"/>
    </row>
    <row r="146" spans="1:17" x14ac:dyDescent="0.35">
      <c r="A146" s="84"/>
      <c r="B146" s="85"/>
      <c r="C146" s="85"/>
      <c r="D146" s="85"/>
      <c r="E146" s="85"/>
      <c r="F146" s="85"/>
      <c r="G146" s="85"/>
      <c r="H146" s="85"/>
      <c r="I146" s="85"/>
      <c r="J146" s="85"/>
      <c r="K146" s="85"/>
      <c r="L146" s="197"/>
      <c r="M146" s="197"/>
      <c r="N146" s="197"/>
      <c r="O146" s="196"/>
      <c r="P146" s="196"/>
      <c r="Q146" s="98"/>
    </row>
    <row r="147" spans="1:17" x14ac:dyDescent="0.35">
      <c r="A147" s="84"/>
      <c r="B147" s="85"/>
      <c r="C147" s="85"/>
      <c r="D147" s="85"/>
      <c r="E147" s="85"/>
      <c r="F147" s="85"/>
      <c r="G147" s="85"/>
      <c r="H147" s="85"/>
      <c r="I147" s="85"/>
      <c r="J147" s="85"/>
      <c r="K147" s="85"/>
      <c r="L147" s="197"/>
      <c r="M147" s="197"/>
      <c r="N147" s="197"/>
      <c r="O147" s="196"/>
      <c r="P147" s="196"/>
      <c r="Q147" s="98"/>
    </row>
    <row r="148" spans="1:17" x14ac:dyDescent="0.35">
      <c r="A148" s="84"/>
      <c r="B148" s="85"/>
      <c r="C148" s="85"/>
      <c r="D148" s="85"/>
      <c r="E148" s="85"/>
      <c r="F148" s="85"/>
      <c r="G148" s="85"/>
      <c r="H148" s="85"/>
      <c r="I148" s="85"/>
      <c r="J148" s="85"/>
      <c r="K148" s="85"/>
      <c r="L148" s="197"/>
      <c r="M148" s="197"/>
      <c r="N148" s="197"/>
      <c r="O148" s="196"/>
      <c r="P148" s="196"/>
      <c r="Q148" s="98"/>
    </row>
    <row r="149" spans="1:17" x14ac:dyDescent="0.35">
      <c r="A149" s="84"/>
      <c r="B149" s="85"/>
      <c r="C149" s="85"/>
      <c r="D149" s="85"/>
      <c r="E149" s="85"/>
      <c r="F149" s="85"/>
      <c r="G149" s="85"/>
      <c r="H149" s="85"/>
      <c r="I149" s="85"/>
      <c r="J149" s="85"/>
      <c r="K149" s="85"/>
      <c r="L149" s="197"/>
      <c r="M149" s="197"/>
      <c r="N149" s="197"/>
      <c r="O149" s="196"/>
      <c r="P149" s="196"/>
      <c r="Q149" s="98"/>
    </row>
    <row r="150" spans="1:17" x14ac:dyDescent="0.35">
      <c r="A150" s="84"/>
      <c r="B150" s="85"/>
      <c r="C150" s="85"/>
      <c r="D150" s="85"/>
      <c r="E150" s="85"/>
      <c r="F150" s="85"/>
      <c r="G150" s="85"/>
      <c r="H150" s="85"/>
      <c r="I150" s="85"/>
      <c r="J150" s="85"/>
      <c r="K150" s="85"/>
      <c r="L150" s="197"/>
      <c r="M150" s="197"/>
      <c r="N150" s="197"/>
      <c r="O150" s="196"/>
      <c r="P150" s="196"/>
      <c r="Q150" s="98"/>
    </row>
    <row r="151" spans="1:17" x14ac:dyDescent="0.35">
      <c r="A151" s="84"/>
      <c r="B151" s="85"/>
      <c r="C151" s="85"/>
      <c r="D151" s="85"/>
      <c r="E151" s="85"/>
      <c r="F151" s="85"/>
      <c r="G151" s="85"/>
      <c r="H151" s="85"/>
      <c r="I151" s="85"/>
      <c r="J151" s="85"/>
      <c r="K151" s="85"/>
      <c r="L151" s="197"/>
      <c r="M151" s="197"/>
      <c r="N151" s="197"/>
      <c r="O151" s="196"/>
      <c r="P151" s="196"/>
      <c r="Q151" s="98"/>
    </row>
    <row r="152" spans="1:17" x14ac:dyDescent="0.35">
      <c r="A152" s="84"/>
      <c r="B152" s="85"/>
      <c r="C152" s="85"/>
      <c r="D152" s="85"/>
      <c r="E152" s="85"/>
      <c r="F152" s="85"/>
      <c r="G152" s="85"/>
      <c r="H152" s="85"/>
      <c r="I152" s="85"/>
      <c r="J152" s="85"/>
      <c r="K152" s="85"/>
      <c r="L152" s="197"/>
      <c r="M152" s="197"/>
      <c r="N152" s="197"/>
      <c r="O152" s="196"/>
      <c r="P152" s="196"/>
      <c r="Q152" s="98"/>
    </row>
    <row r="153" spans="1:17" x14ac:dyDescent="0.35">
      <c r="A153" s="84"/>
      <c r="B153" s="85"/>
      <c r="C153" s="85"/>
      <c r="D153" s="85"/>
      <c r="E153" s="85"/>
      <c r="F153" s="85"/>
      <c r="G153" s="85"/>
      <c r="H153" s="85"/>
      <c r="I153" s="85"/>
      <c r="J153" s="85"/>
      <c r="K153" s="85"/>
      <c r="L153" s="197"/>
      <c r="M153" s="197"/>
      <c r="N153" s="197"/>
      <c r="O153" s="196"/>
      <c r="P153" s="196"/>
      <c r="Q153" s="98"/>
    </row>
    <row r="154" spans="1:17" x14ac:dyDescent="0.35">
      <c r="A154" s="84"/>
      <c r="B154" s="85"/>
      <c r="C154" s="85"/>
      <c r="D154" s="85"/>
      <c r="E154" s="85"/>
      <c r="F154" s="85"/>
      <c r="G154" s="85"/>
      <c r="H154" s="85"/>
      <c r="I154" s="85"/>
      <c r="J154" s="85"/>
      <c r="K154" s="85"/>
      <c r="L154" s="197"/>
      <c r="M154" s="197"/>
      <c r="N154" s="197"/>
      <c r="O154" s="196"/>
      <c r="P154" s="196"/>
      <c r="Q154" s="98"/>
    </row>
    <row r="155" spans="1:17" x14ac:dyDescent="0.35">
      <c r="A155" s="84"/>
      <c r="B155" s="85"/>
      <c r="C155" s="85"/>
      <c r="D155" s="85"/>
      <c r="E155" s="85"/>
      <c r="F155" s="85"/>
      <c r="G155" s="85"/>
      <c r="H155" s="85"/>
      <c r="I155" s="85"/>
      <c r="J155" s="85"/>
      <c r="K155" s="85"/>
      <c r="L155" s="197"/>
      <c r="M155" s="197"/>
      <c r="N155" s="197"/>
      <c r="O155" s="196"/>
      <c r="P155" s="196"/>
      <c r="Q155" s="98"/>
    </row>
    <row r="156" spans="1:17" x14ac:dyDescent="0.35">
      <c r="A156" s="84"/>
      <c r="B156" s="85"/>
      <c r="C156" s="85"/>
      <c r="D156" s="85"/>
      <c r="E156" s="85"/>
      <c r="F156" s="85"/>
      <c r="G156" s="85"/>
      <c r="H156" s="85"/>
      <c r="I156" s="85"/>
      <c r="J156" s="85"/>
      <c r="K156" s="85"/>
      <c r="L156" s="197"/>
      <c r="M156" s="197"/>
      <c r="N156" s="197"/>
      <c r="O156" s="196"/>
      <c r="P156" s="196"/>
      <c r="Q156" s="98"/>
    </row>
    <row r="157" spans="1:17" x14ac:dyDescent="0.35">
      <c r="A157" s="84"/>
      <c r="B157" s="85"/>
      <c r="C157" s="85"/>
      <c r="D157" s="85"/>
      <c r="E157" s="85"/>
      <c r="F157" s="85"/>
      <c r="G157" s="85"/>
      <c r="H157" s="85"/>
      <c r="I157" s="85"/>
      <c r="J157" s="85"/>
      <c r="K157" s="85"/>
      <c r="L157" s="197"/>
      <c r="M157" s="197"/>
      <c r="N157" s="197"/>
      <c r="O157" s="196"/>
      <c r="P157" s="196"/>
      <c r="Q157" s="98"/>
    </row>
    <row r="158" spans="1:17" x14ac:dyDescent="0.35">
      <c r="A158" s="84"/>
      <c r="B158" s="85"/>
      <c r="C158" s="85"/>
      <c r="D158" s="85"/>
      <c r="E158" s="85"/>
      <c r="F158" s="85"/>
      <c r="G158" s="85"/>
      <c r="H158" s="85"/>
      <c r="I158" s="85"/>
      <c r="J158" s="85"/>
      <c r="K158" s="85"/>
      <c r="L158" s="197"/>
      <c r="M158" s="197"/>
      <c r="N158" s="197"/>
      <c r="O158" s="196"/>
      <c r="P158" s="196"/>
      <c r="Q158" s="98"/>
    </row>
    <row r="159" spans="1:17" x14ac:dyDescent="0.35">
      <c r="A159" s="84"/>
      <c r="B159" s="85"/>
      <c r="C159" s="85"/>
      <c r="D159" s="85"/>
      <c r="E159" s="85"/>
      <c r="F159" s="85"/>
      <c r="G159" s="85"/>
      <c r="H159" s="85"/>
      <c r="I159" s="85"/>
      <c r="J159" s="85"/>
      <c r="K159" s="85"/>
      <c r="L159" s="197"/>
      <c r="M159" s="197"/>
      <c r="N159" s="197"/>
      <c r="O159" s="196"/>
      <c r="P159" s="196"/>
      <c r="Q159" s="98"/>
    </row>
    <row r="160" spans="1:17" x14ac:dyDescent="0.35">
      <c r="A160" s="84"/>
      <c r="B160" s="85"/>
      <c r="C160" s="85"/>
      <c r="D160" s="85"/>
      <c r="E160" s="85"/>
      <c r="F160" s="85"/>
      <c r="G160" s="85"/>
      <c r="H160" s="85"/>
      <c r="I160" s="85"/>
      <c r="J160" s="85"/>
      <c r="K160" s="85"/>
      <c r="L160" s="197"/>
      <c r="M160" s="197"/>
      <c r="N160" s="197"/>
      <c r="O160" s="196"/>
      <c r="P160" s="196"/>
      <c r="Q160" s="98"/>
    </row>
    <row r="161" spans="1:17" x14ac:dyDescent="0.35">
      <c r="A161" s="84"/>
      <c r="B161" s="85"/>
      <c r="C161" s="85"/>
      <c r="D161" s="85"/>
      <c r="E161" s="85"/>
      <c r="F161" s="85"/>
      <c r="G161" s="85"/>
      <c r="H161" s="85"/>
      <c r="I161" s="85"/>
      <c r="J161" s="85"/>
      <c r="K161" s="85"/>
      <c r="L161" s="197"/>
      <c r="M161" s="197"/>
      <c r="N161" s="197"/>
      <c r="O161" s="196"/>
      <c r="P161" s="196"/>
      <c r="Q161" s="98"/>
    </row>
    <row r="162" spans="1:17" x14ac:dyDescent="0.35">
      <c r="A162" s="84"/>
      <c r="B162" s="85"/>
      <c r="C162" s="85"/>
      <c r="D162" s="85"/>
      <c r="E162" s="85"/>
      <c r="F162" s="85"/>
      <c r="G162" s="85"/>
      <c r="H162" s="85"/>
      <c r="I162" s="85"/>
      <c r="J162" s="85"/>
      <c r="K162" s="85"/>
      <c r="L162" s="197"/>
      <c r="M162" s="197"/>
      <c r="N162" s="197"/>
      <c r="O162" s="196"/>
      <c r="P162" s="196"/>
      <c r="Q162" s="98"/>
    </row>
    <row r="163" spans="1:17" x14ac:dyDescent="0.35">
      <c r="A163" s="84"/>
      <c r="B163" s="85"/>
      <c r="C163" s="85"/>
      <c r="D163" s="85"/>
      <c r="E163" s="85"/>
      <c r="F163" s="85"/>
      <c r="G163" s="85"/>
      <c r="H163" s="85"/>
      <c r="I163" s="85"/>
      <c r="J163" s="85"/>
      <c r="K163" s="85"/>
      <c r="L163" s="197"/>
      <c r="M163" s="197"/>
      <c r="N163" s="197"/>
      <c r="O163" s="196"/>
      <c r="P163" s="196"/>
      <c r="Q163" s="98"/>
    </row>
    <row r="164" spans="1:17" x14ac:dyDescent="0.35">
      <c r="A164" s="84"/>
      <c r="B164" s="85"/>
      <c r="C164" s="85"/>
      <c r="D164" s="85"/>
      <c r="E164" s="85"/>
      <c r="F164" s="85"/>
      <c r="G164" s="85"/>
      <c r="H164" s="85"/>
      <c r="I164" s="85"/>
      <c r="J164" s="85"/>
      <c r="K164" s="85"/>
      <c r="L164" s="197"/>
      <c r="M164" s="197"/>
      <c r="N164" s="197"/>
      <c r="O164" s="196"/>
      <c r="P164" s="196"/>
      <c r="Q164" s="98"/>
    </row>
    <row r="165" spans="1:17" x14ac:dyDescent="0.35">
      <c r="A165" s="84"/>
      <c r="B165" s="85"/>
      <c r="C165" s="85"/>
      <c r="D165" s="85"/>
      <c r="E165" s="85"/>
      <c r="F165" s="85"/>
      <c r="G165" s="85"/>
      <c r="H165" s="85"/>
      <c r="I165" s="85"/>
      <c r="J165" s="85"/>
      <c r="K165" s="85"/>
      <c r="L165" s="197"/>
      <c r="M165" s="197"/>
      <c r="N165" s="197"/>
      <c r="O165" s="196"/>
      <c r="P165" s="196"/>
      <c r="Q165" s="98"/>
    </row>
    <row r="166" spans="1:17" x14ac:dyDescent="0.35">
      <c r="A166" s="84"/>
      <c r="B166" s="85"/>
      <c r="C166" s="85"/>
      <c r="D166" s="85"/>
      <c r="E166" s="85"/>
      <c r="F166" s="85"/>
      <c r="G166" s="85"/>
      <c r="H166" s="85"/>
      <c r="I166" s="85"/>
      <c r="J166" s="85"/>
      <c r="K166" s="85"/>
      <c r="L166" s="197"/>
      <c r="M166" s="197"/>
      <c r="N166" s="197"/>
      <c r="O166" s="196"/>
      <c r="P166" s="196"/>
      <c r="Q166" s="98"/>
    </row>
    <row r="167" spans="1:17" x14ac:dyDescent="0.35">
      <c r="A167" s="84"/>
      <c r="B167" s="85"/>
      <c r="C167" s="85"/>
      <c r="D167" s="85"/>
      <c r="E167" s="85"/>
      <c r="F167" s="85"/>
      <c r="G167" s="85"/>
      <c r="H167" s="85"/>
      <c r="I167" s="85"/>
      <c r="J167" s="85"/>
      <c r="K167" s="85"/>
      <c r="L167" s="197"/>
      <c r="M167" s="197"/>
      <c r="N167" s="197"/>
      <c r="O167" s="196"/>
      <c r="P167" s="196"/>
      <c r="Q167" s="98"/>
    </row>
    <row r="168" spans="1:17" x14ac:dyDescent="0.35">
      <c r="A168" s="84"/>
      <c r="B168" s="85"/>
      <c r="C168" s="85"/>
      <c r="D168" s="85"/>
      <c r="E168" s="85"/>
      <c r="F168" s="85"/>
      <c r="G168" s="85"/>
      <c r="H168" s="85"/>
      <c r="I168" s="85"/>
      <c r="J168" s="85"/>
      <c r="K168" s="85"/>
      <c r="L168" s="197"/>
      <c r="M168" s="197"/>
      <c r="N168" s="197"/>
      <c r="O168" s="196"/>
      <c r="P168" s="196"/>
      <c r="Q168" s="98"/>
    </row>
    <row r="169" spans="1:17" x14ac:dyDescent="0.35">
      <c r="A169" s="84"/>
      <c r="B169" s="85"/>
      <c r="C169" s="85"/>
      <c r="D169" s="85"/>
      <c r="E169" s="85"/>
      <c r="F169" s="85"/>
      <c r="G169" s="85"/>
      <c r="H169" s="85"/>
      <c r="I169" s="85"/>
      <c r="J169" s="85"/>
      <c r="K169" s="85"/>
      <c r="L169" s="197"/>
      <c r="M169" s="197"/>
      <c r="N169" s="197"/>
      <c r="O169" s="196"/>
      <c r="P169" s="196"/>
      <c r="Q169" s="98"/>
    </row>
    <row r="170" spans="1:17" x14ac:dyDescent="0.35">
      <c r="A170" s="84"/>
      <c r="B170" s="85"/>
      <c r="C170" s="85"/>
      <c r="D170" s="85"/>
      <c r="E170" s="85"/>
      <c r="F170" s="85"/>
      <c r="G170" s="85"/>
      <c r="H170" s="85"/>
      <c r="I170" s="85"/>
      <c r="J170" s="85"/>
      <c r="K170" s="85"/>
      <c r="L170" s="197"/>
      <c r="M170" s="197"/>
      <c r="N170" s="197"/>
      <c r="O170" s="196"/>
      <c r="P170" s="196"/>
      <c r="Q170" s="98"/>
    </row>
    <row r="171" spans="1:17" x14ac:dyDescent="0.35">
      <c r="A171" s="84"/>
      <c r="B171" s="85"/>
      <c r="C171" s="85"/>
      <c r="D171" s="85"/>
      <c r="E171" s="85"/>
      <c r="F171" s="85"/>
      <c r="G171" s="85"/>
      <c r="H171" s="85"/>
      <c r="I171" s="85"/>
      <c r="J171" s="85"/>
      <c r="K171" s="85"/>
      <c r="L171" s="197"/>
      <c r="M171" s="197"/>
      <c r="N171" s="197"/>
      <c r="O171" s="196"/>
      <c r="P171" s="196"/>
      <c r="Q171" s="98"/>
    </row>
    <row r="172" spans="1:17" x14ac:dyDescent="0.35">
      <c r="A172" s="84"/>
      <c r="B172" s="85"/>
      <c r="C172" s="85"/>
      <c r="D172" s="85"/>
      <c r="E172" s="85"/>
      <c r="F172" s="85"/>
      <c r="G172" s="85"/>
      <c r="H172" s="85"/>
      <c r="I172" s="85"/>
      <c r="J172" s="85"/>
      <c r="K172" s="85"/>
      <c r="L172" s="197"/>
      <c r="M172" s="197"/>
      <c r="N172" s="197"/>
      <c r="O172" s="196"/>
      <c r="P172" s="196"/>
      <c r="Q172" s="98"/>
    </row>
    <row r="173" spans="1:17" x14ac:dyDescent="0.35">
      <c r="A173" s="84"/>
      <c r="B173" s="85"/>
      <c r="C173" s="85"/>
      <c r="D173" s="85"/>
      <c r="E173" s="85"/>
      <c r="F173" s="85"/>
      <c r="G173" s="85"/>
      <c r="H173" s="85"/>
      <c r="I173" s="85"/>
      <c r="J173" s="85"/>
      <c r="K173" s="85"/>
      <c r="L173" s="197"/>
      <c r="M173" s="197"/>
      <c r="N173" s="197"/>
      <c r="O173" s="196"/>
      <c r="P173" s="196"/>
      <c r="Q173" s="98"/>
    </row>
    <row r="174" spans="1:17" x14ac:dyDescent="0.35">
      <c r="A174" s="84"/>
      <c r="B174" s="85"/>
      <c r="C174" s="85"/>
      <c r="D174" s="85"/>
      <c r="E174" s="85"/>
      <c r="F174" s="85"/>
      <c r="G174" s="85"/>
      <c r="H174" s="85"/>
      <c r="I174" s="85"/>
      <c r="J174" s="85"/>
      <c r="K174" s="85"/>
      <c r="L174" s="197"/>
      <c r="M174" s="197"/>
      <c r="N174" s="197"/>
      <c r="O174" s="196"/>
      <c r="P174" s="196"/>
      <c r="Q174" s="98"/>
    </row>
    <row r="175" spans="1:17" x14ac:dyDescent="0.35">
      <c r="A175" s="84"/>
      <c r="B175" s="85"/>
      <c r="C175" s="85"/>
      <c r="D175" s="85"/>
      <c r="E175" s="85"/>
      <c r="F175" s="85"/>
      <c r="G175" s="85"/>
      <c r="H175" s="85"/>
      <c r="I175" s="85"/>
      <c r="J175" s="85"/>
      <c r="K175" s="85"/>
      <c r="L175" s="197"/>
      <c r="M175" s="197"/>
      <c r="N175" s="197"/>
      <c r="O175" s="196"/>
      <c r="P175" s="196"/>
      <c r="Q175" s="98"/>
    </row>
    <row r="176" spans="1:17" x14ac:dyDescent="0.35">
      <c r="A176" s="84"/>
      <c r="B176" s="85"/>
      <c r="C176" s="85"/>
      <c r="D176" s="85"/>
      <c r="E176" s="85"/>
      <c r="F176" s="85"/>
      <c r="G176" s="85"/>
      <c r="H176" s="85"/>
      <c r="I176" s="85"/>
      <c r="J176" s="85"/>
      <c r="K176" s="85"/>
      <c r="L176" s="197"/>
      <c r="M176" s="197"/>
      <c r="N176" s="197"/>
      <c r="O176" s="196"/>
      <c r="P176" s="196"/>
      <c r="Q176" s="98"/>
    </row>
    <row r="177" spans="1:17" x14ac:dyDescent="0.35">
      <c r="A177" s="84"/>
      <c r="B177" s="85"/>
      <c r="C177" s="85"/>
      <c r="D177" s="85"/>
      <c r="E177" s="85"/>
      <c r="F177" s="85"/>
      <c r="G177" s="85"/>
      <c r="H177" s="85"/>
      <c r="I177" s="85"/>
      <c r="J177" s="85"/>
      <c r="K177" s="85"/>
      <c r="L177" s="197"/>
      <c r="M177" s="197"/>
      <c r="N177" s="197"/>
      <c r="O177" s="196"/>
      <c r="P177" s="196"/>
      <c r="Q177" s="98"/>
    </row>
    <row r="178" spans="1:17" x14ac:dyDescent="0.35">
      <c r="A178" s="202"/>
      <c r="B178" s="203"/>
      <c r="C178" s="203"/>
      <c r="D178" s="203"/>
      <c r="E178" s="203"/>
      <c r="F178" s="203"/>
      <c r="G178" s="203"/>
      <c r="H178" s="203"/>
      <c r="I178" s="203"/>
      <c r="J178" s="203"/>
      <c r="K178" s="203"/>
      <c r="L178" s="201"/>
      <c r="M178" s="201"/>
      <c r="N178" s="201"/>
      <c r="O178" s="199"/>
      <c r="P178" s="199"/>
      <c r="Q178" s="98"/>
    </row>
    <row r="179" spans="1:17" x14ac:dyDescent="0.35">
      <c r="A179" s="196"/>
      <c r="B179" s="85"/>
      <c r="C179" s="85"/>
      <c r="D179" s="85"/>
      <c r="E179" s="85"/>
      <c r="F179" s="85"/>
      <c r="G179" s="85"/>
      <c r="H179" s="85"/>
      <c r="I179" s="85"/>
      <c r="J179" s="85"/>
      <c r="K179" s="85"/>
      <c r="L179" s="197"/>
      <c r="M179" s="197"/>
      <c r="N179" s="197"/>
      <c r="O179" s="196"/>
      <c r="P179" s="196"/>
      <c r="Q179" s="98"/>
    </row>
    <row r="180" spans="1:17" x14ac:dyDescent="0.35">
      <c r="A180" s="84"/>
      <c r="B180" s="85"/>
      <c r="C180" s="85"/>
      <c r="D180" s="85"/>
      <c r="E180" s="85"/>
      <c r="F180" s="85"/>
      <c r="G180" s="85"/>
      <c r="H180" s="85"/>
      <c r="I180" s="85"/>
      <c r="J180" s="85"/>
      <c r="K180" s="85"/>
      <c r="L180" s="197"/>
      <c r="M180" s="197"/>
      <c r="N180" s="197"/>
      <c r="O180" s="196"/>
      <c r="P180" s="196"/>
      <c r="Q180" s="98"/>
    </row>
    <row r="181" spans="1:17" x14ac:dyDescent="0.35">
      <c r="A181" s="84"/>
      <c r="B181" s="85"/>
      <c r="C181" s="85"/>
      <c r="D181" s="85"/>
      <c r="E181" s="85"/>
      <c r="F181" s="85"/>
      <c r="G181" s="85"/>
      <c r="H181" s="85"/>
      <c r="I181" s="85"/>
      <c r="J181" s="85"/>
      <c r="K181" s="85"/>
      <c r="L181" s="197"/>
      <c r="M181" s="197"/>
      <c r="N181" s="197"/>
      <c r="O181" s="196"/>
      <c r="P181" s="196"/>
      <c r="Q181" s="98"/>
    </row>
    <row r="182" spans="1:17" x14ac:dyDescent="0.35">
      <c r="A182" s="84"/>
      <c r="B182" s="85"/>
      <c r="C182" s="85"/>
      <c r="D182" s="85"/>
      <c r="E182" s="85"/>
      <c r="F182" s="85"/>
      <c r="G182" s="85"/>
      <c r="H182" s="85"/>
      <c r="I182" s="85"/>
      <c r="J182" s="85"/>
      <c r="K182" s="85"/>
      <c r="L182" s="197"/>
      <c r="M182" s="197"/>
      <c r="N182" s="197"/>
      <c r="O182" s="196"/>
      <c r="P182" s="196"/>
      <c r="Q182" s="98"/>
    </row>
    <row r="183" spans="1:17" x14ac:dyDescent="0.35">
      <c r="A183" s="84"/>
      <c r="B183" s="85"/>
      <c r="C183" s="85"/>
      <c r="D183" s="85"/>
      <c r="E183" s="85"/>
      <c r="F183" s="85"/>
      <c r="G183" s="85"/>
      <c r="H183" s="85"/>
      <c r="I183" s="85"/>
      <c r="J183" s="85"/>
      <c r="K183" s="85"/>
      <c r="L183" s="197"/>
      <c r="M183" s="197"/>
      <c r="N183" s="197"/>
      <c r="O183" s="196"/>
      <c r="P183" s="196"/>
      <c r="Q183" s="98"/>
    </row>
    <row r="184" spans="1:17" x14ac:dyDescent="0.35">
      <c r="A184" s="84"/>
      <c r="B184" s="85"/>
      <c r="C184" s="85"/>
      <c r="D184" s="85"/>
      <c r="E184" s="85"/>
      <c r="F184" s="85"/>
      <c r="G184" s="85"/>
      <c r="H184" s="85"/>
      <c r="I184" s="85"/>
      <c r="J184" s="85"/>
      <c r="K184" s="85"/>
      <c r="L184" s="197"/>
      <c r="M184" s="197"/>
      <c r="N184" s="197"/>
      <c r="O184" s="196"/>
      <c r="P184" s="196"/>
      <c r="Q184" s="98"/>
    </row>
    <row r="185" spans="1:17" x14ac:dyDescent="0.35">
      <c r="A185" s="84"/>
      <c r="B185" s="85"/>
      <c r="C185" s="85"/>
      <c r="D185" s="85"/>
      <c r="E185" s="85"/>
      <c r="F185" s="85"/>
      <c r="G185" s="85"/>
      <c r="H185" s="85"/>
      <c r="I185" s="85"/>
      <c r="J185" s="85"/>
      <c r="K185" s="85"/>
      <c r="L185" s="197"/>
      <c r="M185" s="197"/>
      <c r="N185" s="197"/>
      <c r="O185" s="196"/>
      <c r="P185" s="196"/>
      <c r="Q185" s="98"/>
    </row>
    <row r="186" spans="1:17" x14ac:dyDescent="0.35">
      <c r="A186" s="84"/>
      <c r="B186" s="85"/>
      <c r="C186" s="85"/>
      <c r="D186" s="85"/>
      <c r="E186" s="85"/>
      <c r="F186" s="85"/>
      <c r="G186" s="85"/>
      <c r="H186" s="85"/>
      <c r="I186" s="85"/>
      <c r="J186" s="85"/>
      <c r="K186" s="85"/>
      <c r="L186" s="197"/>
      <c r="M186" s="197"/>
      <c r="N186" s="197"/>
      <c r="O186" s="196"/>
      <c r="P186" s="196"/>
      <c r="Q186" s="98"/>
    </row>
    <row r="187" spans="1:17" x14ac:dyDescent="0.35">
      <c r="A187" s="84"/>
      <c r="B187" s="85"/>
      <c r="C187" s="85"/>
      <c r="D187" s="85"/>
      <c r="E187" s="85"/>
      <c r="F187" s="85"/>
      <c r="G187" s="85"/>
      <c r="H187" s="85"/>
      <c r="I187" s="85"/>
      <c r="J187" s="85"/>
      <c r="K187" s="85"/>
      <c r="L187" s="197"/>
      <c r="M187" s="197"/>
      <c r="N187" s="197"/>
      <c r="O187" s="196"/>
      <c r="P187" s="196"/>
      <c r="Q187" s="98"/>
    </row>
    <row r="188" spans="1:17" x14ac:dyDescent="0.35">
      <c r="A188" s="84"/>
      <c r="B188" s="85"/>
      <c r="C188" s="85"/>
      <c r="D188" s="85"/>
      <c r="E188" s="85"/>
      <c r="F188" s="85"/>
      <c r="G188" s="85"/>
      <c r="H188" s="85"/>
      <c r="I188" s="85"/>
      <c r="J188" s="85"/>
      <c r="K188" s="85"/>
      <c r="L188" s="86"/>
      <c r="M188" s="86"/>
      <c r="N188" s="86"/>
      <c r="O188" s="84"/>
      <c r="P188" s="84"/>
      <c r="Q188" s="98"/>
    </row>
    <row r="189" spans="1:17" x14ac:dyDescent="0.35">
      <c r="A189" s="84"/>
      <c r="B189" s="85"/>
      <c r="C189" s="85"/>
      <c r="D189" s="85"/>
      <c r="E189" s="85"/>
      <c r="F189" s="85"/>
      <c r="G189" s="85"/>
      <c r="H189" s="85"/>
      <c r="I189" s="85"/>
      <c r="J189" s="85"/>
      <c r="K189" s="85"/>
      <c r="L189" s="86"/>
      <c r="M189" s="86"/>
      <c r="N189" s="86"/>
      <c r="O189" s="84"/>
      <c r="P189" s="84"/>
      <c r="Q189" s="98"/>
    </row>
    <row r="190" spans="1:17" x14ac:dyDescent="0.35">
      <c r="A190" s="84"/>
      <c r="B190" s="85"/>
      <c r="C190" s="85"/>
      <c r="D190" s="85"/>
      <c r="E190" s="85"/>
      <c r="F190" s="85"/>
      <c r="G190" s="85"/>
      <c r="H190" s="85"/>
      <c r="I190" s="85"/>
      <c r="J190" s="85"/>
      <c r="K190" s="85"/>
      <c r="L190" s="86"/>
      <c r="M190" s="86"/>
      <c r="N190" s="86"/>
      <c r="O190" s="84"/>
      <c r="P190" s="84"/>
      <c r="Q190" s="98"/>
    </row>
    <row r="191" spans="1:17" x14ac:dyDescent="0.35">
      <c r="A191" s="84" t="s">
        <v>401</v>
      </c>
      <c r="B191" s="85"/>
      <c r="C191" s="85"/>
      <c r="D191" s="85"/>
      <c r="E191" s="85"/>
      <c r="F191" s="85"/>
      <c r="G191" s="85"/>
      <c r="H191" s="85"/>
      <c r="I191" s="85"/>
      <c r="J191" s="85"/>
      <c r="K191" s="85"/>
      <c r="L191" s="86"/>
      <c r="M191" s="86"/>
      <c r="N191" s="86"/>
      <c r="O191" s="84"/>
      <c r="P191" s="84"/>
      <c r="Q191" s="98"/>
    </row>
    <row r="192" spans="1:17" x14ac:dyDescent="0.35">
      <c r="A192" s="84" t="s">
        <v>402</v>
      </c>
      <c r="B192" s="85"/>
      <c r="C192" s="85"/>
      <c r="D192" s="85"/>
      <c r="E192" s="85"/>
      <c r="F192" s="85"/>
      <c r="G192" s="85"/>
      <c r="H192" s="85"/>
      <c r="I192" s="85"/>
      <c r="J192" s="85"/>
      <c r="K192" s="85"/>
      <c r="L192" s="86"/>
      <c r="M192" s="86"/>
      <c r="N192" s="86"/>
      <c r="O192" s="84"/>
      <c r="P192" s="84"/>
      <c r="Q192" s="98"/>
    </row>
    <row r="193" spans="1:17" x14ac:dyDescent="0.35">
      <c r="A193" s="84" t="s">
        <v>403</v>
      </c>
      <c r="B193" s="85"/>
      <c r="C193" s="85"/>
      <c r="D193" s="85"/>
      <c r="E193" s="85"/>
      <c r="F193" s="85"/>
      <c r="G193" s="85"/>
      <c r="H193" s="85"/>
      <c r="I193" s="85"/>
      <c r="J193" s="85"/>
      <c r="K193" s="85"/>
      <c r="L193" s="86"/>
      <c r="M193" s="86"/>
      <c r="N193" s="86"/>
      <c r="O193" s="84"/>
      <c r="P193" s="84"/>
      <c r="Q193" s="98"/>
    </row>
    <row r="194" spans="1:17" x14ac:dyDescent="0.35">
      <c r="A194" s="84" t="s">
        <v>404</v>
      </c>
      <c r="B194" s="85"/>
      <c r="C194" s="85"/>
      <c r="D194" s="85"/>
      <c r="E194" s="85"/>
      <c r="F194" s="85"/>
      <c r="G194" s="85"/>
      <c r="H194" s="85"/>
      <c r="I194" s="85"/>
      <c r="J194" s="85"/>
      <c r="K194" s="85"/>
      <c r="L194" s="86"/>
      <c r="M194" s="86"/>
      <c r="N194" s="86"/>
      <c r="O194" s="84"/>
      <c r="P194" s="84"/>
      <c r="Q194" s="98"/>
    </row>
    <row r="195" spans="1:17" x14ac:dyDescent="0.35">
      <c r="A195" s="84" t="s">
        <v>405</v>
      </c>
      <c r="B195" s="85"/>
      <c r="C195" s="85"/>
      <c r="D195" s="85"/>
      <c r="E195" s="85"/>
      <c r="F195" s="85"/>
      <c r="G195" s="85"/>
      <c r="H195" s="85"/>
      <c r="I195" s="85"/>
      <c r="J195" s="85"/>
      <c r="K195" s="85"/>
      <c r="L195" s="86"/>
      <c r="M195" s="86"/>
      <c r="N195" s="86"/>
      <c r="O195" s="84"/>
      <c r="P195" s="84"/>
      <c r="Q195" s="98"/>
    </row>
    <row r="196" spans="1:17" x14ac:dyDescent="0.35">
      <c r="A196" s="84" t="s">
        <v>406</v>
      </c>
      <c r="B196" s="85"/>
      <c r="C196" s="85"/>
      <c r="D196" s="85"/>
      <c r="E196" s="85"/>
      <c r="F196" s="85"/>
      <c r="G196" s="85"/>
      <c r="H196" s="85"/>
      <c r="I196" s="85"/>
      <c r="J196" s="85"/>
      <c r="K196" s="85"/>
      <c r="L196" s="86"/>
      <c r="M196" s="86"/>
      <c r="N196" s="86"/>
      <c r="O196" s="84"/>
      <c r="P196" s="84"/>
      <c r="Q196" s="98"/>
    </row>
    <row r="197" spans="1:17" x14ac:dyDescent="0.35">
      <c r="A197" s="84" t="s">
        <v>407</v>
      </c>
      <c r="B197" s="85"/>
      <c r="C197" s="85"/>
      <c r="D197" s="85"/>
      <c r="E197" s="85"/>
      <c r="F197" s="85"/>
      <c r="G197" s="85"/>
      <c r="H197" s="85"/>
      <c r="I197" s="85"/>
      <c r="J197" s="85"/>
      <c r="K197" s="85"/>
      <c r="L197" s="86"/>
      <c r="M197" s="86"/>
      <c r="N197" s="86"/>
      <c r="O197" s="84"/>
      <c r="P197" s="84"/>
      <c r="Q197" s="98"/>
    </row>
    <row r="198" spans="1:17" x14ac:dyDescent="0.35">
      <c r="A198" s="84" t="s">
        <v>408</v>
      </c>
      <c r="B198" s="85"/>
      <c r="C198" s="85"/>
      <c r="D198" s="85"/>
      <c r="E198" s="85"/>
      <c r="F198" s="85"/>
      <c r="G198" s="85"/>
      <c r="H198" s="85"/>
      <c r="I198" s="85"/>
      <c r="J198" s="85"/>
      <c r="K198" s="85"/>
      <c r="L198" s="86"/>
      <c r="M198" s="86"/>
      <c r="N198" s="86"/>
      <c r="O198" s="84"/>
      <c r="P198" s="84"/>
      <c r="Q198" s="98"/>
    </row>
    <row r="199" spans="1:17" x14ac:dyDescent="0.35">
      <c r="A199" s="84"/>
      <c r="B199" s="85"/>
      <c r="C199" s="85"/>
      <c r="D199" s="85"/>
      <c r="E199" s="85"/>
      <c r="F199" s="85"/>
      <c r="G199" s="85"/>
      <c r="H199" s="85"/>
      <c r="I199" s="85"/>
      <c r="J199" s="85"/>
      <c r="K199" s="85"/>
      <c r="L199" s="86"/>
      <c r="M199" s="86"/>
      <c r="N199" s="86"/>
      <c r="O199" s="84"/>
      <c r="P199" s="84"/>
      <c r="Q199" s="191"/>
    </row>
    <row r="200" spans="1:17" x14ac:dyDescent="0.35">
      <c r="A200" s="84"/>
      <c r="B200" s="85"/>
      <c r="C200" s="85"/>
      <c r="D200" s="85"/>
      <c r="E200" s="85"/>
      <c r="F200" s="85"/>
      <c r="G200" s="85"/>
      <c r="H200" s="85"/>
      <c r="I200" s="85"/>
      <c r="J200" s="85"/>
      <c r="K200" s="85"/>
      <c r="L200" s="86"/>
      <c r="M200" s="86"/>
      <c r="N200" s="86"/>
      <c r="O200" s="84"/>
      <c r="P200" s="84"/>
      <c r="Q200" s="191"/>
    </row>
    <row r="201" spans="1:17" x14ac:dyDescent="0.35">
      <c r="A201" s="84"/>
      <c r="B201" s="85"/>
      <c r="C201" s="85"/>
      <c r="D201" s="85"/>
      <c r="E201" s="85"/>
      <c r="F201" s="85"/>
      <c r="G201" s="85"/>
      <c r="H201" s="85"/>
      <c r="I201" s="85"/>
      <c r="J201" s="85"/>
      <c r="K201" s="85"/>
      <c r="L201" s="86"/>
      <c r="M201" s="86"/>
      <c r="N201" s="86"/>
      <c r="O201" s="84"/>
      <c r="P201" s="84"/>
      <c r="Q201" s="191"/>
    </row>
    <row r="202" spans="1:17" x14ac:dyDescent="0.35">
      <c r="A202" s="84"/>
      <c r="B202" s="85"/>
      <c r="C202" s="85"/>
      <c r="D202" s="85"/>
      <c r="E202" s="85"/>
      <c r="F202" s="85"/>
      <c r="G202" s="85"/>
      <c r="H202" s="85"/>
      <c r="I202" s="85"/>
      <c r="J202" s="85"/>
      <c r="K202" s="85"/>
      <c r="L202" s="86"/>
      <c r="M202" s="86"/>
      <c r="N202" s="86"/>
      <c r="O202" s="84"/>
      <c r="P202" s="84"/>
      <c r="Q202" s="191"/>
    </row>
    <row r="203" spans="1:17" x14ac:dyDescent="0.35">
      <c r="A203" s="84"/>
      <c r="B203" s="85"/>
      <c r="C203" s="85"/>
      <c r="D203" s="85"/>
      <c r="E203" s="85"/>
      <c r="F203" s="85"/>
      <c r="G203" s="85"/>
      <c r="H203" s="85"/>
      <c r="I203" s="85"/>
      <c r="J203" s="85"/>
      <c r="K203" s="85"/>
      <c r="L203" s="86"/>
      <c r="M203" s="86"/>
      <c r="N203" s="86"/>
      <c r="O203" s="84"/>
      <c r="P203" s="84"/>
      <c r="Q203" s="191"/>
    </row>
    <row r="204" spans="1:17" x14ac:dyDescent="0.35">
      <c r="A204" s="84"/>
      <c r="B204" s="85"/>
      <c r="C204" s="85"/>
      <c r="D204" s="85"/>
      <c r="E204" s="85"/>
      <c r="F204" s="85"/>
      <c r="G204" s="85"/>
      <c r="H204" s="85"/>
      <c r="I204" s="85"/>
      <c r="J204" s="85"/>
      <c r="K204" s="85"/>
      <c r="L204" s="86"/>
      <c r="M204" s="86"/>
      <c r="N204" s="86"/>
      <c r="O204" s="84"/>
      <c r="P204" s="84"/>
      <c r="Q204" s="191"/>
    </row>
    <row r="205" spans="1:17" x14ac:dyDescent="0.35">
      <c r="A205" s="190"/>
      <c r="B205" s="190"/>
      <c r="C205" s="190"/>
      <c r="D205" s="190"/>
      <c r="E205" s="190"/>
      <c r="F205" s="190"/>
      <c r="G205" s="190"/>
      <c r="H205" s="190"/>
      <c r="I205" s="190"/>
      <c r="J205" s="190"/>
      <c r="K205" s="190"/>
      <c r="L205" s="190"/>
      <c r="M205" s="190"/>
      <c r="N205" s="190"/>
      <c r="O205" s="190"/>
      <c r="P205" s="190"/>
      <c r="Q205" s="191"/>
    </row>
    <row r="206" spans="1:17" x14ac:dyDescent="0.35">
      <c r="A206" s="190"/>
      <c r="B206" s="190"/>
      <c r="C206" s="190"/>
      <c r="D206" s="190"/>
      <c r="E206" s="190"/>
      <c r="F206" s="190"/>
      <c r="G206" s="190"/>
      <c r="H206" s="190"/>
      <c r="I206" s="190"/>
      <c r="J206" s="190"/>
      <c r="K206" s="190"/>
      <c r="L206" s="190"/>
      <c r="M206" s="190"/>
      <c r="N206" s="190"/>
      <c r="O206" s="190"/>
      <c r="P206" s="190"/>
      <c r="Q206" s="191"/>
    </row>
    <row r="207" spans="1:17" x14ac:dyDescent="0.35">
      <c r="A207" s="190"/>
      <c r="B207" s="190"/>
      <c r="C207" s="190"/>
      <c r="D207" s="190"/>
      <c r="E207" s="190"/>
      <c r="F207" s="190"/>
      <c r="G207" s="190"/>
      <c r="H207" s="190"/>
      <c r="I207" s="190"/>
      <c r="J207" s="190"/>
      <c r="K207" s="190"/>
      <c r="L207" s="190"/>
      <c r="M207" s="190"/>
      <c r="N207" s="190"/>
      <c r="O207" s="190"/>
      <c r="P207" s="190"/>
      <c r="Q207" s="191"/>
    </row>
    <row r="208" spans="1:17" x14ac:dyDescent="0.35">
      <c r="A208" s="190"/>
      <c r="B208" s="190"/>
      <c r="C208" s="190"/>
      <c r="D208" s="190"/>
      <c r="E208" s="190"/>
      <c r="F208" s="190"/>
      <c r="G208" s="190"/>
      <c r="H208" s="190"/>
      <c r="I208" s="190"/>
      <c r="J208" s="190"/>
      <c r="K208" s="190"/>
      <c r="L208" s="190"/>
      <c r="M208" s="190"/>
      <c r="N208" s="190"/>
      <c r="O208" s="190"/>
      <c r="P208" s="190"/>
      <c r="Q208" s="191"/>
    </row>
    <row r="209" spans="1:17" x14ac:dyDescent="0.35">
      <c r="A209" s="137"/>
      <c r="B209" s="137"/>
      <c r="C209" s="137"/>
      <c r="D209" s="137"/>
      <c r="E209" s="137"/>
      <c r="F209" s="137"/>
      <c r="G209" s="137"/>
      <c r="H209" s="137"/>
      <c r="I209" s="137"/>
      <c r="J209" s="137"/>
      <c r="K209" s="137"/>
      <c r="L209" s="137"/>
      <c r="M209" s="137"/>
      <c r="N209" s="137"/>
      <c r="O209" s="137"/>
      <c r="P209" s="137"/>
      <c r="Q209" s="191"/>
    </row>
    <row r="210" spans="1:17" x14ac:dyDescent="0.35">
      <c r="A210" s="137"/>
      <c r="B210" s="137"/>
      <c r="C210" s="137"/>
      <c r="D210" s="137"/>
      <c r="E210" s="137"/>
      <c r="F210" s="137"/>
      <c r="G210" s="137"/>
      <c r="H210" s="137"/>
      <c r="I210" s="137"/>
      <c r="J210" s="137"/>
      <c r="K210" s="137"/>
      <c r="L210" s="137"/>
      <c r="M210" s="137"/>
      <c r="N210" s="137"/>
      <c r="O210" s="137"/>
      <c r="P210" s="137"/>
      <c r="Q210" s="191"/>
    </row>
    <row r="211" spans="1:17" x14ac:dyDescent="0.35">
      <c r="A211" s="137"/>
      <c r="B211" s="137"/>
      <c r="C211" s="137"/>
      <c r="D211" s="137"/>
      <c r="E211" s="137"/>
      <c r="F211" s="137"/>
      <c r="G211" s="137"/>
      <c r="H211" s="137"/>
      <c r="I211" s="137"/>
      <c r="J211" s="137"/>
      <c r="K211" s="137"/>
      <c r="L211" s="137"/>
      <c r="M211" s="137"/>
      <c r="N211" s="137"/>
      <c r="O211" s="137"/>
      <c r="P211" s="137"/>
      <c r="Q211" s="191"/>
    </row>
    <row r="212" spans="1:17" x14ac:dyDescent="0.35">
      <c r="A212" s="137"/>
      <c r="B212" s="137"/>
      <c r="C212" s="137"/>
      <c r="D212" s="137"/>
      <c r="E212" s="137"/>
      <c r="F212" s="137"/>
      <c r="G212" s="137"/>
      <c r="H212" s="137"/>
      <c r="I212" s="137"/>
      <c r="J212" s="137"/>
      <c r="K212" s="137"/>
      <c r="L212" s="137"/>
      <c r="M212" s="137"/>
      <c r="N212" s="137"/>
      <c r="O212" s="137"/>
      <c r="P212" s="137"/>
      <c r="Q212" s="191"/>
    </row>
    <row r="213" spans="1:17" x14ac:dyDescent="0.35">
      <c r="A213" s="137"/>
      <c r="B213" s="137"/>
      <c r="C213" s="137"/>
      <c r="D213" s="137"/>
      <c r="E213" s="137"/>
      <c r="F213" s="137"/>
      <c r="G213" s="137"/>
      <c r="H213" s="137"/>
      <c r="I213" s="137"/>
      <c r="J213" s="137"/>
      <c r="K213" s="137"/>
      <c r="L213" s="137"/>
      <c r="M213" s="137"/>
      <c r="N213" s="137"/>
      <c r="O213" s="137"/>
      <c r="P213" s="137"/>
      <c r="Q213" s="191"/>
    </row>
    <row r="214" spans="1:17" x14ac:dyDescent="0.35">
      <c r="A214" s="98"/>
      <c r="B214" s="98"/>
      <c r="C214" s="98"/>
      <c r="D214" s="98"/>
      <c r="E214" s="98"/>
      <c r="F214" s="98"/>
      <c r="G214" s="98"/>
      <c r="H214" s="98"/>
      <c r="I214" s="98"/>
      <c r="J214" s="98"/>
      <c r="K214" s="98"/>
      <c r="L214" s="98"/>
      <c r="M214" s="98"/>
      <c r="N214" s="98"/>
      <c r="O214" s="98"/>
      <c r="P214" s="98"/>
      <c r="Q214" s="191"/>
    </row>
    <row r="215" spans="1:17" x14ac:dyDescent="0.35">
      <c r="A215" s="191"/>
      <c r="B215" s="191"/>
      <c r="C215" s="191"/>
      <c r="D215" s="191"/>
      <c r="E215" s="191"/>
      <c r="F215" s="191"/>
      <c r="G215" s="191"/>
      <c r="H215" s="191"/>
      <c r="I215" s="191"/>
      <c r="J215" s="191"/>
      <c r="K215" s="191"/>
      <c r="L215" s="191"/>
      <c r="M215" s="191"/>
      <c r="N215" s="191"/>
      <c r="O215" s="191"/>
      <c r="P215" s="191"/>
      <c r="Q215" s="191"/>
    </row>
    <row r="216" spans="1:17" x14ac:dyDescent="0.35">
      <c r="A216" s="191"/>
      <c r="B216" s="191"/>
      <c r="C216" s="191"/>
      <c r="D216" s="191"/>
      <c r="E216" s="191"/>
      <c r="F216" s="191"/>
      <c r="G216" s="191"/>
      <c r="H216" s="191"/>
      <c r="I216" s="191"/>
      <c r="J216" s="191"/>
      <c r="K216" s="191"/>
      <c r="L216" s="191"/>
      <c r="M216" s="191"/>
      <c r="N216" s="191"/>
      <c r="O216" s="191"/>
      <c r="P216" s="191"/>
      <c r="Q216" s="191"/>
    </row>
    <row r="217" spans="1:17" x14ac:dyDescent="0.35">
      <c r="A217" s="191"/>
      <c r="B217" s="191"/>
      <c r="C217" s="191"/>
      <c r="D217" s="191"/>
      <c r="E217" s="191"/>
      <c r="F217" s="191"/>
      <c r="G217" s="191"/>
      <c r="H217" s="191"/>
      <c r="I217" s="191"/>
      <c r="J217" s="191"/>
      <c r="K217" s="191"/>
      <c r="L217" s="191"/>
      <c r="M217" s="191"/>
      <c r="N217" s="191"/>
      <c r="O217" s="191"/>
      <c r="P217" s="191"/>
      <c r="Q217" s="191"/>
    </row>
    <row r="218" spans="1:17" x14ac:dyDescent="0.35">
      <c r="A218" s="191"/>
      <c r="B218" s="191"/>
      <c r="C218" s="191"/>
      <c r="D218" s="191"/>
      <c r="E218" s="191"/>
      <c r="F218" s="191"/>
      <c r="G218" s="191"/>
      <c r="H218" s="191"/>
      <c r="I218" s="191"/>
      <c r="J218" s="191"/>
      <c r="K218" s="191"/>
      <c r="L218" s="191"/>
      <c r="M218" s="191"/>
      <c r="N218" s="191"/>
      <c r="O218" s="191"/>
      <c r="P218" s="191"/>
      <c r="Q218" s="191"/>
    </row>
    <row r="219" spans="1:17" x14ac:dyDescent="0.35">
      <c r="A219" s="191"/>
      <c r="B219" s="191"/>
      <c r="C219" s="191"/>
      <c r="D219" s="191"/>
      <c r="E219" s="191"/>
      <c r="F219" s="191"/>
      <c r="G219" s="191"/>
      <c r="H219" s="191"/>
      <c r="I219" s="191"/>
      <c r="J219" s="191"/>
      <c r="K219" s="191"/>
      <c r="L219" s="191"/>
      <c r="M219" s="191"/>
      <c r="N219" s="191"/>
      <c r="O219" s="191"/>
      <c r="P219" s="191"/>
      <c r="Q219" s="191"/>
    </row>
    <row r="220" spans="1:17" x14ac:dyDescent="0.35">
      <c r="A220" s="191"/>
      <c r="B220" s="191"/>
      <c r="C220" s="191"/>
      <c r="D220" s="191"/>
      <c r="E220" s="191"/>
      <c r="F220" s="191"/>
      <c r="G220" s="191"/>
      <c r="H220" s="191"/>
      <c r="I220" s="191"/>
      <c r="J220" s="191"/>
      <c r="K220" s="191"/>
      <c r="L220" s="191"/>
      <c r="M220" s="191"/>
      <c r="N220" s="191"/>
      <c r="O220" s="191"/>
      <c r="P220" s="191"/>
      <c r="Q220" s="191"/>
    </row>
    <row r="221" spans="1:17" x14ac:dyDescent="0.35">
      <c r="A221" s="191"/>
      <c r="B221" s="191"/>
      <c r="C221" s="191"/>
      <c r="D221" s="191"/>
      <c r="E221" s="191"/>
      <c r="F221" s="191"/>
      <c r="G221" s="191"/>
      <c r="H221" s="191"/>
      <c r="I221" s="191"/>
      <c r="J221" s="191"/>
      <c r="K221" s="191"/>
      <c r="L221" s="191"/>
      <c r="M221" s="191"/>
      <c r="N221" s="191"/>
      <c r="O221" s="191"/>
      <c r="P221" s="191"/>
      <c r="Q221" s="191"/>
    </row>
    <row r="222" spans="1:17" x14ac:dyDescent="0.35">
      <c r="A222" s="191"/>
      <c r="B222" s="191"/>
      <c r="C222" s="191"/>
      <c r="D222" s="191"/>
      <c r="E222" s="191"/>
      <c r="F222" s="191"/>
      <c r="G222" s="191"/>
      <c r="H222" s="191"/>
      <c r="I222" s="191"/>
      <c r="J222" s="191"/>
      <c r="K222" s="191"/>
      <c r="L222" s="191"/>
      <c r="M222" s="191"/>
      <c r="N222" s="191"/>
      <c r="O222" s="191"/>
      <c r="P222" s="191"/>
      <c r="Q222" s="191"/>
    </row>
    <row r="223" spans="1:17" x14ac:dyDescent="0.35">
      <c r="A223" s="191"/>
      <c r="B223" s="191"/>
      <c r="C223" s="191"/>
      <c r="D223" s="191"/>
      <c r="E223" s="191"/>
      <c r="F223" s="191"/>
      <c r="G223" s="191"/>
      <c r="H223" s="191"/>
      <c r="I223" s="191"/>
      <c r="J223" s="191"/>
      <c r="K223" s="191"/>
      <c r="L223" s="191"/>
      <c r="M223" s="191"/>
      <c r="N223" s="191"/>
      <c r="O223" s="191"/>
      <c r="P223" s="191"/>
      <c r="Q223" s="191"/>
    </row>
    <row r="224" spans="1:17" x14ac:dyDescent="0.35">
      <c r="A224" s="191"/>
      <c r="B224" s="191"/>
      <c r="C224" s="191"/>
      <c r="D224" s="191"/>
      <c r="E224" s="191"/>
      <c r="F224" s="191"/>
      <c r="G224" s="191"/>
      <c r="H224" s="191"/>
      <c r="I224" s="191"/>
      <c r="J224" s="191"/>
      <c r="K224" s="191"/>
      <c r="L224" s="191"/>
      <c r="M224" s="191"/>
      <c r="N224" s="191"/>
      <c r="O224" s="191"/>
      <c r="P224" s="191"/>
      <c r="Q224" s="191"/>
    </row>
    <row r="225" spans="1:17" x14ac:dyDescent="0.35">
      <c r="A225" s="191"/>
      <c r="B225" s="191"/>
      <c r="C225" s="191"/>
      <c r="D225" s="191"/>
      <c r="E225" s="191"/>
      <c r="F225" s="191"/>
      <c r="G225" s="191"/>
      <c r="H225" s="191"/>
      <c r="I225" s="191"/>
      <c r="J225" s="191"/>
      <c r="K225" s="191"/>
      <c r="L225" s="191"/>
      <c r="M225" s="191"/>
      <c r="N225" s="191"/>
      <c r="O225" s="191"/>
      <c r="P225" s="191"/>
      <c r="Q225" s="191"/>
    </row>
    <row r="226" spans="1:17" x14ac:dyDescent="0.35">
      <c r="A226" s="191"/>
      <c r="B226" s="191"/>
      <c r="C226" s="191"/>
      <c r="D226" s="191"/>
      <c r="E226" s="191"/>
      <c r="F226" s="191"/>
      <c r="G226" s="191"/>
      <c r="H226" s="191"/>
      <c r="I226" s="191"/>
      <c r="J226" s="191"/>
      <c r="K226" s="191"/>
      <c r="L226" s="191"/>
      <c r="M226" s="191"/>
      <c r="N226" s="191"/>
      <c r="O226" s="191"/>
      <c r="P226" s="191"/>
      <c r="Q226" s="191"/>
    </row>
    <row r="227" spans="1:17" x14ac:dyDescent="0.35">
      <c r="A227" s="191"/>
      <c r="B227" s="191"/>
      <c r="C227" s="191"/>
      <c r="D227" s="191"/>
      <c r="E227" s="191"/>
      <c r="F227" s="191"/>
      <c r="G227" s="191"/>
      <c r="H227" s="191"/>
      <c r="I227" s="191"/>
      <c r="J227" s="191"/>
      <c r="K227" s="191"/>
      <c r="L227" s="191"/>
      <c r="M227" s="191"/>
      <c r="N227" s="191"/>
      <c r="O227" s="191"/>
      <c r="P227" s="191"/>
      <c r="Q227" s="191"/>
    </row>
    <row r="228" spans="1:17" x14ac:dyDescent="0.35">
      <c r="A228" s="191"/>
      <c r="B228" s="191"/>
      <c r="C228" s="191"/>
      <c r="D228" s="191"/>
      <c r="E228" s="191"/>
      <c r="F228" s="191"/>
      <c r="G228" s="191"/>
      <c r="H228" s="191"/>
      <c r="I228" s="191"/>
      <c r="J228" s="191"/>
      <c r="K228" s="191"/>
      <c r="L228" s="191"/>
      <c r="M228" s="191"/>
      <c r="N228" s="191"/>
      <c r="O228" s="191"/>
      <c r="P228" s="191"/>
      <c r="Q228" s="191"/>
    </row>
    <row r="229" spans="1:17" x14ac:dyDescent="0.35">
      <c r="A229" s="191"/>
      <c r="B229" s="191"/>
      <c r="C229" s="191"/>
      <c r="D229" s="191"/>
      <c r="E229" s="191"/>
      <c r="F229" s="191"/>
      <c r="G229" s="191"/>
      <c r="H229" s="191"/>
      <c r="I229" s="191"/>
      <c r="J229" s="191"/>
      <c r="K229" s="191"/>
      <c r="L229" s="191"/>
      <c r="M229" s="191"/>
      <c r="N229" s="191"/>
      <c r="O229" s="191"/>
      <c r="P229" s="191"/>
      <c r="Q229" s="191"/>
    </row>
    <row r="230" spans="1:17" x14ac:dyDescent="0.35">
      <c r="A230" s="191"/>
      <c r="B230" s="191"/>
      <c r="C230" s="191"/>
      <c r="D230" s="191"/>
      <c r="E230" s="191"/>
      <c r="F230" s="191"/>
      <c r="G230" s="191"/>
      <c r="H230" s="191"/>
      <c r="I230" s="191"/>
      <c r="J230" s="191"/>
      <c r="K230" s="191"/>
      <c r="L230" s="191"/>
      <c r="M230" s="191"/>
      <c r="N230" s="191"/>
      <c r="O230" s="191"/>
      <c r="P230" s="191"/>
      <c r="Q230" s="191"/>
    </row>
    <row r="231" spans="1:17" x14ac:dyDescent="0.35">
      <c r="A231" s="191"/>
      <c r="B231" s="191"/>
      <c r="C231" s="191"/>
      <c r="D231" s="191"/>
      <c r="E231" s="191"/>
      <c r="F231" s="191"/>
      <c r="G231" s="191"/>
      <c r="H231" s="191"/>
      <c r="I231" s="191"/>
      <c r="J231" s="191"/>
      <c r="K231" s="191"/>
      <c r="L231" s="191"/>
      <c r="M231" s="191"/>
      <c r="N231" s="191"/>
      <c r="O231" s="191"/>
      <c r="P231" s="191"/>
      <c r="Q231" s="191"/>
    </row>
    <row r="232" spans="1:17" x14ac:dyDescent="0.35">
      <c r="A232" s="191"/>
      <c r="B232" s="191"/>
      <c r="C232" s="191"/>
      <c r="D232" s="191"/>
      <c r="E232" s="191"/>
      <c r="F232" s="191"/>
      <c r="G232" s="191"/>
      <c r="H232" s="191"/>
      <c r="I232" s="191"/>
      <c r="J232" s="191"/>
      <c r="K232" s="191"/>
      <c r="L232" s="191"/>
      <c r="M232" s="191"/>
      <c r="N232" s="191"/>
      <c r="O232" s="191"/>
      <c r="P232" s="191"/>
      <c r="Q232" s="191"/>
    </row>
    <row r="233" spans="1:17" x14ac:dyDescent="0.35">
      <c r="A233" s="191"/>
      <c r="B233" s="191"/>
      <c r="C233" s="191"/>
      <c r="D233" s="191"/>
      <c r="E233" s="191"/>
      <c r="F233" s="191"/>
      <c r="G233" s="191"/>
      <c r="H233" s="191"/>
      <c r="I233" s="191"/>
      <c r="J233" s="191"/>
      <c r="K233" s="191"/>
      <c r="L233" s="191"/>
      <c r="M233" s="191"/>
      <c r="N233" s="191"/>
      <c r="O233" s="191"/>
      <c r="P233" s="191"/>
      <c r="Q233" s="191"/>
    </row>
    <row r="234" spans="1:17" x14ac:dyDescent="0.35">
      <c r="A234" s="191"/>
      <c r="B234" s="191"/>
      <c r="C234" s="191"/>
      <c r="D234" s="191"/>
      <c r="E234" s="191"/>
      <c r="F234" s="191"/>
      <c r="G234" s="191"/>
      <c r="H234" s="191"/>
      <c r="I234" s="191"/>
      <c r="J234" s="191"/>
      <c r="K234" s="191"/>
      <c r="L234" s="191"/>
      <c r="M234" s="191"/>
      <c r="N234" s="191"/>
      <c r="O234" s="191"/>
      <c r="P234" s="191"/>
      <c r="Q234" s="191"/>
    </row>
    <row r="235" spans="1:17" x14ac:dyDescent="0.35">
      <c r="A235" s="191"/>
      <c r="B235" s="191"/>
      <c r="C235" s="191"/>
      <c r="D235" s="191"/>
      <c r="E235" s="191"/>
      <c r="F235" s="191"/>
      <c r="G235" s="191"/>
      <c r="H235" s="191"/>
      <c r="I235" s="191"/>
      <c r="J235" s="191"/>
      <c r="K235" s="191"/>
      <c r="L235" s="191"/>
      <c r="M235" s="191"/>
      <c r="N235" s="191"/>
      <c r="O235" s="191"/>
      <c r="P235" s="191"/>
      <c r="Q235" s="191"/>
    </row>
    <row r="236" spans="1:17" x14ac:dyDescent="0.35">
      <c r="A236" s="191"/>
      <c r="B236" s="191"/>
      <c r="C236" s="191"/>
      <c r="D236" s="191"/>
      <c r="E236" s="191"/>
      <c r="F236" s="191"/>
      <c r="G236" s="191"/>
      <c r="H236" s="191"/>
      <c r="I236" s="191"/>
      <c r="J236" s="191"/>
      <c r="K236" s="191"/>
      <c r="L236" s="191"/>
      <c r="M236" s="191"/>
      <c r="N236" s="191"/>
      <c r="O236" s="191"/>
      <c r="P236" s="191"/>
      <c r="Q236" s="191"/>
    </row>
    <row r="237" spans="1:17" x14ac:dyDescent="0.35">
      <c r="A237" s="191"/>
      <c r="B237" s="191"/>
      <c r="C237" s="191"/>
      <c r="D237" s="191"/>
      <c r="E237" s="191"/>
      <c r="F237" s="191"/>
      <c r="G237" s="191"/>
      <c r="H237" s="191"/>
      <c r="I237" s="191"/>
      <c r="J237" s="191"/>
      <c r="K237" s="191"/>
      <c r="L237" s="191"/>
      <c r="M237" s="191"/>
      <c r="N237" s="191"/>
      <c r="O237" s="191"/>
      <c r="P237" s="191"/>
      <c r="Q237" s="191"/>
    </row>
    <row r="238" spans="1:17" x14ac:dyDescent="0.35">
      <c r="A238" s="191"/>
      <c r="B238" s="191"/>
      <c r="C238" s="191"/>
      <c r="D238" s="191"/>
      <c r="E238" s="191"/>
      <c r="F238" s="191"/>
      <c r="G238" s="191"/>
      <c r="H238" s="191"/>
      <c r="I238" s="191"/>
      <c r="J238" s="191"/>
      <c r="K238" s="191"/>
      <c r="L238" s="191"/>
      <c r="M238" s="191"/>
      <c r="N238" s="191"/>
      <c r="O238" s="191"/>
      <c r="P238" s="191"/>
      <c r="Q238" s="191"/>
    </row>
    <row r="239" spans="1:17" x14ac:dyDescent="0.35">
      <c r="A239" s="191"/>
      <c r="B239" s="191"/>
      <c r="C239" s="191"/>
      <c r="D239" s="191"/>
      <c r="E239" s="191"/>
      <c r="F239" s="191"/>
      <c r="G239" s="191"/>
      <c r="H239" s="191"/>
      <c r="I239" s="191"/>
      <c r="J239" s="191"/>
      <c r="K239" s="191"/>
      <c r="L239" s="191"/>
      <c r="M239" s="191"/>
      <c r="N239" s="191"/>
      <c r="O239" s="191"/>
      <c r="P239" s="191"/>
      <c r="Q239" s="191"/>
    </row>
    <row r="240" spans="1:17" x14ac:dyDescent="0.35">
      <c r="A240" s="191"/>
      <c r="B240" s="191"/>
      <c r="C240" s="191"/>
      <c r="D240" s="191"/>
      <c r="E240" s="191"/>
      <c r="F240" s="191"/>
      <c r="G240" s="191"/>
      <c r="H240" s="191"/>
      <c r="I240" s="191"/>
      <c r="J240" s="191"/>
      <c r="K240" s="191"/>
      <c r="L240" s="191"/>
      <c r="M240" s="191"/>
      <c r="N240" s="191"/>
      <c r="O240" s="191"/>
      <c r="P240" s="191"/>
      <c r="Q240" s="191"/>
    </row>
    <row r="241" spans="1:17" x14ac:dyDescent="0.35">
      <c r="A241" s="191"/>
      <c r="B241" s="191"/>
      <c r="C241" s="191"/>
      <c r="D241" s="191"/>
      <c r="E241" s="191"/>
      <c r="F241" s="191"/>
      <c r="G241" s="191"/>
      <c r="H241" s="191"/>
      <c r="I241" s="191"/>
      <c r="J241" s="191"/>
      <c r="K241" s="191"/>
      <c r="L241" s="191"/>
      <c r="M241" s="191"/>
      <c r="N241" s="191"/>
      <c r="O241" s="191"/>
      <c r="P241" s="191"/>
      <c r="Q241" s="191"/>
    </row>
    <row r="242" spans="1:17" x14ac:dyDescent="0.35">
      <c r="A242" s="191"/>
      <c r="B242" s="191"/>
      <c r="C242" s="191"/>
      <c r="D242" s="191"/>
      <c r="E242" s="191"/>
      <c r="F242" s="191"/>
      <c r="G242" s="191"/>
      <c r="H242" s="191"/>
      <c r="I242" s="191"/>
      <c r="J242" s="191"/>
      <c r="K242" s="191"/>
      <c r="L242" s="191"/>
      <c r="M242" s="191"/>
      <c r="N242" s="191"/>
      <c r="O242" s="191"/>
      <c r="P242" s="191"/>
      <c r="Q242" s="191"/>
    </row>
    <row r="243" spans="1:17" x14ac:dyDescent="0.35">
      <c r="A243" s="191"/>
      <c r="B243" s="191"/>
      <c r="C243" s="191"/>
      <c r="D243" s="191"/>
      <c r="E243" s="191"/>
      <c r="F243" s="191"/>
      <c r="G243" s="191"/>
      <c r="H243" s="191"/>
      <c r="I243" s="191"/>
      <c r="J243" s="191"/>
      <c r="K243" s="191"/>
      <c r="L243" s="191"/>
      <c r="M243" s="191"/>
      <c r="N243" s="191"/>
      <c r="O243" s="191"/>
      <c r="P243" s="191"/>
      <c r="Q243" s="191"/>
    </row>
    <row r="244" spans="1:17" x14ac:dyDescent="0.35">
      <c r="A244" s="191"/>
      <c r="B244" s="191"/>
      <c r="C244" s="191"/>
      <c r="D244" s="191"/>
      <c r="E244" s="191"/>
      <c r="F244" s="191"/>
      <c r="G244" s="191"/>
      <c r="H244" s="191"/>
      <c r="I244" s="191"/>
      <c r="J244" s="191"/>
      <c r="K244" s="191"/>
      <c r="L244" s="191"/>
      <c r="M244" s="191"/>
      <c r="N244" s="191"/>
      <c r="O244" s="191"/>
      <c r="P244" s="191"/>
      <c r="Q244" s="191"/>
    </row>
    <row r="245" spans="1:17" x14ac:dyDescent="0.35">
      <c r="A245" s="191"/>
      <c r="B245" s="191"/>
      <c r="C245" s="191"/>
      <c r="D245" s="191"/>
      <c r="E245" s="191"/>
      <c r="F245" s="191"/>
      <c r="G245" s="191"/>
      <c r="H245" s="191"/>
      <c r="I245" s="191"/>
      <c r="J245" s="191"/>
      <c r="K245" s="191"/>
      <c r="L245" s="191"/>
      <c r="M245" s="191"/>
      <c r="N245" s="191"/>
      <c r="O245" s="191"/>
      <c r="P245" s="191"/>
      <c r="Q245" s="191"/>
    </row>
    <row r="246" spans="1:17" x14ac:dyDescent="0.35">
      <c r="A246" s="191"/>
      <c r="B246" s="191"/>
      <c r="C246" s="191"/>
      <c r="D246" s="191"/>
      <c r="E246" s="191"/>
      <c r="F246" s="191"/>
      <c r="G246" s="191"/>
      <c r="H246" s="191"/>
      <c r="I246" s="191"/>
      <c r="J246" s="191"/>
      <c r="K246" s="191"/>
      <c r="L246" s="191"/>
      <c r="M246" s="191"/>
      <c r="N246" s="191"/>
      <c r="O246" s="191"/>
      <c r="P246" s="191"/>
      <c r="Q246" s="191"/>
    </row>
    <row r="247" spans="1:17" x14ac:dyDescent="0.35">
      <c r="A247" s="191"/>
      <c r="B247" s="191"/>
      <c r="C247" s="191"/>
      <c r="D247" s="191"/>
      <c r="E247" s="191"/>
      <c r="F247" s="191"/>
      <c r="G247" s="191"/>
      <c r="H247" s="191"/>
      <c r="I247" s="191"/>
      <c r="J247" s="191"/>
      <c r="K247" s="191"/>
      <c r="L247" s="191"/>
      <c r="M247" s="191"/>
      <c r="N247" s="191"/>
      <c r="O247" s="191"/>
      <c r="P247" s="191"/>
      <c r="Q247" s="191"/>
    </row>
    <row r="248" spans="1:17" x14ac:dyDescent="0.35">
      <c r="A248" s="191"/>
      <c r="B248" s="191"/>
      <c r="C248" s="191"/>
      <c r="D248" s="191"/>
      <c r="E248" s="191"/>
      <c r="F248" s="191"/>
      <c r="G248" s="191"/>
      <c r="H248" s="191"/>
      <c r="I248" s="191"/>
      <c r="J248" s="191"/>
      <c r="K248" s="191"/>
      <c r="L248" s="191"/>
      <c r="M248" s="191"/>
      <c r="N248" s="191"/>
      <c r="O248" s="191"/>
      <c r="P248" s="191"/>
      <c r="Q248" s="191"/>
    </row>
    <row r="249" spans="1:17" x14ac:dyDescent="0.35">
      <c r="A249" s="191"/>
      <c r="B249" s="191"/>
      <c r="C249" s="191"/>
      <c r="D249" s="191"/>
      <c r="E249" s="191"/>
      <c r="F249" s="191"/>
      <c r="G249" s="191"/>
      <c r="H249" s="191"/>
      <c r="I249" s="191"/>
      <c r="J249" s="191"/>
      <c r="K249" s="191"/>
      <c r="L249" s="191"/>
      <c r="M249" s="191"/>
      <c r="N249" s="191"/>
      <c r="O249" s="191"/>
      <c r="P249" s="191"/>
      <c r="Q249" s="191"/>
    </row>
    <row r="250" spans="1:17" x14ac:dyDescent="0.35">
      <c r="A250" s="191"/>
      <c r="B250" s="191"/>
      <c r="C250" s="191"/>
      <c r="D250" s="191"/>
      <c r="E250" s="191"/>
      <c r="F250" s="191"/>
      <c r="G250" s="191"/>
      <c r="H250" s="191"/>
      <c r="I250" s="191"/>
      <c r="J250" s="191"/>
      <c r="K250" s="191"/>
      <c r="L250" s="191"/>
      <c r="M250" s="191"/>
      <c r="N250" s="191"/>
      <c r="O250" s="191"/>
      <c r="P250" s="191"/>
      <c r="Q250" s="191"/>
    </row>
    <row r="251" spans="1:17" x14ac:dyDescent="0.35">
      <c r="A251" s="191"/>
      <c r="B251" s="191"/>
      <c r="C251" s="191"/>
      <c r="D251" s="191"/>
      <c r="E251" s="191"/>
      <c r="F251" s="191"/>
      <c r="G251" s="191"/>
      <c r="H251" s="191"/>
      <c r="I251" s="191"/>
      <c r="J251" s="191"/>
      <c r="K251" s="191"/>
      <c r="L251" s="191"/>
      <c r="M251" s="191"/>
      <c r="N251" s="191"/>
      <c r="O251" s="191"/>
      <c r="P251" s="191"/>
      <c r="Q251" s="191"/>
    </row>
    <row r="252" spans="1:17" x14ac:dyDescent="0.35">
      <c r="A252" s="191"/>
      <c r="B252" s="191"/>
      <c r="C252" s="191"/>
      <c r="D252" s="191"/>
      <c r="E252" s="191"/>
      <c r="F252" s="191"/>
      <c r="G252" s="191"/>
      <c r="H252" s="191"/>
      <c r="I252" s="191"/>
      <c r="J252" s="191"/>
      <c r="K252" s="191"/>
      <c r="L252" s="191"/>
      <c r="M252" s="191"/>
      <c r="N252" s="191"/>
      <c r="O252" s="191"/>
      <c r="P252" s="191"/>
      <c r="Q252" s="191"/>
    </row>
    <row r="253" spans="1:17" x14ac:dyDescent="0.35">
      <c r="A253" s="191"/>
      <c r="B253" s="191"/>
      <c r="C253" s="191"/>
      <c r="D253" s="191"/>
      <c r="E253" s="191"/>
      <c r="F253" s="191"/>
      <c r="G253" s="191"/>
      <c r="H253" s="191"/>
      <c r="I253" s="191"/>
      <c r="J253" s="191"/>
      <c r="K253" s="191"/>
      <c r="L253" s="191"/>
      <c r="M253" s="191"/>
      <c r="N253" s="191"/>
      <c r="O253" s="191"/>
      <c r="P253" s="191"/>
      <c r="Q253" s="191"/>
    </row>
    <row r="254" spans="1:17" x14ac:dyDescent="0.35">
      <c r="A254" s="191"/>
      <c r="B254" s="191"/>
      <c r="C254" s="191"/>
      <c r="D254" s="191"/>
      <c r="E254" s="191"/>
      <c r="F254" s="191"/>
      <c r="G254" s="191"/>
      <c r="H254" s="191"/>
      <c r="I254" s="191"/>
      <c r="J254" s="191"/>
      <c r="K254" s="191"/>
      <c r="L254" s="191"/>
      <c r="M254" s="191"/>
      <c r="N254" s="191"/>
      <c r="O254" s="191"/>
      <c r="P254" s="191"/>
      <c r="Q254" s="191"/>
    </row>
    <row r="255" spans="1:17" x14ac:dyDescent="0.35">
      <c r="A255" s="191"/>
      <c r="B255" s="191"/>
      <c r="C255" s="191"/>
      <c r="D255" s="191"/>
      <c r="E255" s="191"/>
      <c r="F255" s="191"/>
      <c r="G255" s="191"/>
      <c r="H255" s="191"/>
      <c r="I255" s="191"/>
      <c r="J255" s="191"/>
      <c r="K255" s="191"/>
      <c r="L255" s="191"/>
      <c r="M255" s="191"/>
      <c r="N255" s="191"/>
      <c r="O255" s="191"/>
      <c r="P255" s="191"/>
      <c r="Q255" s="191"/>
    </row>
    <row r="256" spans="1:17" x14ac:dyDescent="0.35">
      <c r="A256" s="191"/>
      <c r="B256" s="191"/>
      <c r="C256" s="191"/>
      <c r="D256" s="191"/>
      <c r="E256" s="191"/>
      <c r="F256" s="191"/>
      <c r="G256" s="191"/>
      <c r="H256" s="191"/>
      <c r="I256" s="191"/>
      <c r="J256" s="191"/>
      <c r="K256" s="191"/>
      <c r="L256" s="191"/>
      <c r="M256" s="191"/>
      <c r="N256" s="191"/>
      <c r="O256" s="191"/>
      <c r="P256" s="191"/>
      <c r="Q256" s="191"/>
    </row>
    <row r="257" spans="1:17" x14ac:dyDescent="0.35">
      <c r="A257" s="191"/>
      <c r="B257" s="191"/>
      <c r="C257" s="191"/>
      <c r="D257" s="191"/>
      <c r="E257" s="191"/>
      <c r="F257" s="191"/>
      <c r="G257" s="191"/>
      <c r="H257" s="191"/>
      <c r="I257" s="191"/>
      <c r="J257" s="191"/>
      <c r="K257" s="191"/>
      <c r="L257" s="191"/>
      <c r="M257" s="191"/>
      <c r="N257" s="191"/>
      <c r="O257" s="191"/>
      <c r="P257" s="191"/>
      <c r="Q257" s="191"/>
    </row>
    <row r="258" spans="1:17" x14ac:dyDescent="0.35">
      <c r="A258" s="191"/>
      <c r="B258" s="191"/>
      <c r="C258" s="191"/>
      <c r="D258" s="191"/>
      <c r="E258" s="191"/>
      <c r="F258" s="191"/>
      <c r="G258" s="191"/>
      <c r="H258" s="191"/>
      <c r="I258" s="191"/>
      <c r="J258" s="191"/>
      <c r="K258" s="191"/>
      <c r="L258" s="191"/>
      <c r="M258" s="191"/>
      <c r="N258" s="191"/>
      <c r="O258" s="191"/>
      <c r="P258" s="191"/>
      <c r="Q258" s="191"/>
    </row>
    <row r="259" spans="1:17" x14ac:dyDescent="0.35">
      <c r="A259" s="191"/>
      <c r="B259" s="191"/>
      <c r="C259" s="191"/>
      <c r="D259" s="191"/>
      <c r="E259" s="191"/>
      <c r="F259" s="191"/>
      <c r="G259" s="191"/>
      <c r="H259" s="191"/>
      <c r="I259" s="191"/>
      <c r="J259" s="191"/>
      <c r="K259" s="191"/>
      <c r="L259" s="191"/>
      <c r="M259" s="191"/>
      <c r="N259" s="191"/>
      <c r="O259" s="191"/>
      <c r="P259" s="191"/>
      <c r="Q259" s="191"/>
    </row>
    <row r="260" spans="1:17" x14ac:dyDescent="0.35">
      <c r="A260" s="191"/>
      <c r="B260" s="191"/>
      <c r="C260" s="191"/>
      <c r="D260" s="191"/>
      <c r="E260" s="191"/>
      <c r="F260" s="191"/>
      <c r="G260" s="191"/>
      <c r="H260" s="191"/>
      <c r="I260" s="191"/>
      <c r="J260" s="191"/>
      <c r="K260" s="191"/>
      <c r="L260" s="191"/>
      <c r="M260" s="191"/>
      <c r="N260" s="191"/>
      <c r="O260" s="191"/>
      <c r="P260" s="191"/>
      <c r="Q260" s="191"/>
    </row>
    <row r="261" spans="1:17" x14ac:dyDescent="0.35">
      <c r="A261" s="191"/>
      <c r="B261" s="191"/>
      <c r="C261" s="191"/>
      <c r="D261" s="191"/>
      <c r="E261" s="191"/>
      <c r="F261" s="191"/>
      <c r="G261" s="191"/>
      <c r="H261" s="191"/>
      <c r="I261" s="191"/>
      <c r="J261" s="191"/>
      <c r="K261" s="191"/>
      <c r="L261" s="191"/>
      <c r="M261" s="191"/>
      <c r="N261" s="191"/>
      <c r="O261" s="191"/>
      <c r="P261" s="191"/>
      <c r="Q261" s="191"/>
    </row>
    <row r="262" spans="1:17" x14ac:dyDescent="0.35">
      <c r="A262" s="191"/>
      <c r="B262" s="191"/>
      <c r="C262" s="191"/>
      <c r="D262" s="191"/>
      <c r="E262" s="191"/>
      <c r="F262" s="191"/>
      <c r="G262" s="191"/>
      <c r="H262" s="191"/>
      <c r="I262" s="191"/>
      <c r="J262" s="191"/>
      <c r="K262" s="191"/>
      <c r="L262" s="191"/>
      <c r="M262" s="191"/>
      <c r="N262" s="191"/>
      <c r="O262" s="191"/>
      <c r="P262" s="191"/>
      <c r="Q262" s="191"/>
    </row>
    <row r="263" spans="1:17" x14ac:dyDescent="0.35">
      <c r="A263" s="191"/>
      <c r="B263" s="191"/>
      <c r="C263" s="191"/>
      <c r="D263" s="191"/>
      <c r="E263" s="191"/>
      <c r="F263" s="191"/>
      <c r="G263" s="191"/>
      <c r="H263" s="191"/>
      <c r="I263" s="191"/>
      <c r="J263" s="191"/>
      <c r="K263" s="191"/>
      <c r="L263" s="191"/>
      <c r="M263" s="191"/>
      <c r="N263" s="191"/>
      <c r="O263" s="191"/>
      <c r="P263" s="191"/>
      <c r="Q263" s="191"/>
    </row>
    <row r="264" spans="1:17" x14ac:dyDescent="0.35">
      <c r="A264" s="191"/>
      <c r="B264" s="191"/>
      <c r="C264" s="191"/>
      <c r="D264" s="191"/>
      <c r="E264" s="191"/>
      <c r="F264" s="191"/>
      <c r="G264" s="191"/>
      <c r="H264" s="191"/>
      <c r="I264" s="191"/>
      <c r="J264" s="191"/>
      <c r="K264" s="191"/>
      <c r="L264" s="191"/>
      <c r="M264" s="191"/>
      <c r="N264" s="191"/>
      <c r="O264" s="191"/>
      <c r="P264" s="191"/>
      <c r="Q264" s="191"/>
    </row>
    <row r="265" spans="1:17" x14ac:dyDescent="0.35">
      <c r="A265" s="191"/>
      <c r="B265" s="191"/>
      <c r="C265" s="191"/>
      <c r="D265" s="191"/>
      <c r="E265" s="191"/>
      <c r="F265" s="191"/>
      <c r="G265" s="191"/>
      <c r="H265" s="191"/>
      <c r="I265" s="191"/>
      <c r="J265" s="191"/>
      <c r="K265" s="191"/>
      <c r="L265" s="191"/>
      <c r="M265" s="191"/>
      <c r="N265" s="191"/>
      <c r="O265" s="191"/>
      <c r="P265" s="191"/>
      <c r="Q265" s="191"/>
    </row>
    <row r="266" spans="1:17" x14ac:dyDescent="0.35">
      <c r="A266" s="191"/>
      <c r="B266" s="191"/>
      <c r="C266" s="191"/>
      <c r="D266" s="191"/>
      <c r="E266" s="191"/>
      <c r="F266" s="191"/>
      <c r="G266" s="191"/>
      <c r="H266" s="191"/>
      <c r="I266" s="191"/>
      <c r="J266" s="191"/>
      <c r="K266" s="191"/>
      <c r="L266" s="191"/>
      <c r="M266" s="191"/>
      <c r="N266" s="191"/>
      <c r="O266" s="191"/>
      <c r="P266" s="191"/>
      <c r="Q266" s="191"/>
    </row>
    <row r="267" spans="1:17" x14ac:dyDescent="0.35">
      <c r="A267" s="191"/>
      <c r="B267" s="191"/>
      <c r="C267" s="191"/>
      <c r="D267" s="191"/>
      <c r="E267" s="191"/>
      <c r="F267" s="191"/>
      <c r="G267" s="191"/>
      <c r="H267" s="191"/>
      <c r="I267" s="191"/>
      <c r="J267" s="191"/>
      <c r="K267" s="191"/>
      <c r="L267" s="191"/>
      <c r="M267" s="191"/>
      <c r="N267" s="191"/>
      <c r="O267" s="191"/>
      <c r="P267" s="191"/>
      <c r="Q267" s="191"/>
    </row>
    <row r="268" spans="1:17" x14ac:dyDescent="0.35">
      <c r="A268" s="191"/>
      <c r="B268" s="191"/>
      <c r="C268" s="191"/>
      <c r="D268" s="191"/>
      <c r="E268" s="191"/>
      <c r="F268" s="191"/>
      <c r="G268" s="191"/>
      <c r="H268" s="191"/>
      <c r="I268" s="191"/>
      <c r="J268" s="191"/>
      <c r="K268" s="191"/>
      <c r="L268" s="191"/>
      <c r="M268" s="191"/>
      <c r="N268" s="191"/>
      <c r="O268" s="191"/>
      <c r="P268" s="191"/>
      <c r="Q268" s="191"/>
    </row>
    <row r="269" spans="1:17" x14ac:dyDescent="0.35">
      <c r="A269" s="191"/>
      <c r="B269" s="191"/>
      <c r="C269" s="191"/>
      <c r="D269" s="191"/>
      <c r="E269" s="191"/>
      <c r="F269" s="191"/>
      <c r="G269" s="191"/>
      <c r="H269" s="191"/>
      <c r="I269" s="191"/>
      <c r="J269" s="191"/>
      <c r="K269" s="191"/>
      <c r="L269" s="191"/>
      <c r="M269" s="191"/>
      <c r="N269" s="191"/>
      <c r="O269" s="191"/>
      <c r="P269" s="191"/>
      <c r="Q269" s="191"/>
    </row>
    <row r="270" spans="1:17" x14ac:dyDescent="0.35">
      <c r="A270" s="191"/>
      <c r="B270" s="191"/>
      <c r="C270" s="191"/>
      <c r="D270" s="191"/>
      <c r="E270" s="191"/>
      <c r="F270" s="191"/>
      <c r="G270" s="191"/>
      <c r="H270" s="191"/>
      <c r="I270" s="191"/>
      <c r="J270" s="191"/>
      <c r="K270" s="191"/>
      <c r="L270" s="191"/>
      <c r="M270" s="191"/>
      <c r="N270" s="191"/>
      <c r="O270" s="191"/>
      <c r="P270" s="191"/>
      <c r="Q270" s="191"/>
    </row>
    <row r="271" spans="1:17" x14ac:dyDescent="0.35">
      <c r="A271" s="191"/>
      <c r="B271" s="191"/>
      <c r="C271" s="191"/>
      <c r="D271" s="191"/>
      <c r="E271" s="191"/>
      <c r="F271" s="191"/>
      <c r="G271" s="191"/>
      <c r="H271" s="191"/>
      <c r="I271" s="191"/>
      <c r="J271" s="191"/>
      <c r="K271" s="191"/>
      <c r="L271" s="191"/>
      <c r="M271" s="191"/>
      <c r="N271" s="191"/>
      <c r="O271" s="191"/>
      <c r="P271" s="191"/>
      <c r="Q271" s="191"/>
    </row>
    <row r="272" spans="1:17" x14ac:dyDescent="0.35">
      <c r="A272" s="191"/>
      <c r="B272" s="191"/>
      <c r="C272" s="191"/>
      <c r="D272" s="191"/>
      <c r="E272" s="191"/>
      <c r="F272" s="191"/>
      <c r="G272" s="191"/>
      <c r="H272" s="191"/>
      <c r="I272" s="191"/>
      <c r="J272" s="191"/>
      <c r="K272" s="191"/>
      <c r="L272" s="191"/>
      <c r="M272" s="191"/>
      <c r="N272" s="191"/>
      <c r="O272" s="191"/>
      <c r="P272" s="191"/>
      <c r="Q272" s="191"/>
    </row>
    <row r="273" spans="1:17" x14ac:dyDescent="0.35">
      <c r="A273" s="191"/>
      <c r="B273" s="191"/>
      <c r="C273" s="191"/>
      <c r="D273" s="191"/>
      <c r="E273" s="191"/>
      <c r="F273" s="191"/>
      <c r="G273" s="191"/>
      <c r="H273" s="191"/>
      <c r="I273" s="191"/>
      <c r="J273" s="191"/>
      <c r="K273" s="191"/>
      <c r="L273" s="191"/>
      <c r="M273" s="191"/>
      <c r="N273" s="191"/>
      <c r="O273" s="191"/>
      <c r="P273" s="191"/>
      <c r="Q273" s="191"/>
    </row>
    <row r="274" spans="1:17" x14ac:dyDescent="0.35">
      <c r="A274" s="191"/>
      <c r="B274" s="191"/>
      <c r="C274" s="191"/>
      <c r="D274" s="191"/>
      <c r="E274" s="191"/>
      <c r="F274" s="191"/>
      <c r="G274" s="191"/>
      <c r="H274" s="191"/>
      <c r="I274" s="191"/>
      <c r="J274" s="191"/>
      <c r="K274" s="191"/>
      <c r="L274" s="191"/>
      <c r="M274" s="191"/>
      <c r="N274" s="191"/>
      <c r="O274" s="191"/>
      <c r="P274" s="191"/>
      <c r="Q274" s="191"/>
    </row>
    <row r="275" spans="1:17" x14ac:dyDescent="0.35">
      <c r="A275" s="191"/>
      <c r="B275" s="191"/>
      <c r="C275" s="191"/>
      <c r="D275" s="191"/>
      <c r="E275" s="191"/>
      <c r="F275" s="191"/>
      <c r="G275" s="191"/>
      <c r="H275" s="191"/>
      <c r="I275" s="191"/>
      <c r="J275" s="191"/>
      <c r="K275" s="191"/>
      <c r="L275" s="191"/>
      <c r="M275" s="191"/>
      <c r="N275" s="191"/>
      <c r="O275" s="191"/>
      <c r="P275" s="191"/>
      <c r="Q275" s="191"/>
    </row>
    <row r="276" spans="1:17" x14ac:dyDescent="0.35">
      <c r="A276" s="191"/>
      <c r="B276" s="191"/>
      <c r="C276" s="191"/>
      <c r="D276" s="191"/>
      <c r="E276" s="191"/>
      <c r="F276" s="191"/>
      <c r="G276" s="191"/>
      <c r="H276" s="191"/>
      <c r="I276" s="191"/>
      <c r="J276" s="191"/>
      <c r="K276" s="191"/>
      <c r="L276" s="191"/>
      <c r="M276" s="191"/>
      <c r="N276" s="191"/>
      <c r="O276" s="191"/>
      <c r="P276" s="191"/>
      <c r="Q276" s="191"/>
    </row>
    <row r="277" spans="1:17" x14ac:dyDescent="0.35">
      <c r="A277" s="191"/>
      <c r="B277" s="191"/>
      <c r="C277" s="191"/>
      <c r="D277" s="191"/>
      <c r="E277" s="191"/>
      <c r="F277" s="191"/>
      <c r="G277" s="191"/>
      <c r="H277" s="191"/>
      <c r="I277" s="191"/>
      <c r="J277" s="191"/>
      <c r="K277" s="191"/>
      <c r="L277" s="191"/>
      <c r="M277" s="191"/>
      <c r="N277" s="191"/>
      <c r="O277" s="191"/>
      <c r="P277" s="191"/>
      <c r="Q277" s="191"/>
    </row>
    <row r="278" spans="1:17" x14ac:dyDescent="0.35">
      <c r="A278" s="191"/>
      <c r="B278" s="191"/>
      <c r="C278" s="191"/>
      <c r="D278" s="191"/>
      <c r="E278" s="191"/>
      <c r="F278" s="191"/>
      <c r="G278" s="191"/>
      <c r="H278" s="191"/>
      <c r="I278" s="191"/>
      <c r="J278" s="191"/>
      <c r="K278" s="191"/>
      <c r="L278" s="191"/>
      <c r="M278" s="191"/>
      <c r="N278" s="191"/>
      <c r="O278" s="191"/>
      <c r="P278" s="191"/>
      <c r="Q278" s="191"/>
    </row>
    <row r="279" spans="1:17" x14ac:dyDescent="0.35">
      <c r="A279" s="191"/>
      <c r="B279" s="191"/>
      <c r="C279" s="191"/>
      <c r="D279" s="191"/>
      <c r="E279" s="191"/>
      <c r="F279" s="191"/>
      <c r="G279" s="191"/>
      <c r="H279" s="191"/>
      <c r="I279" s="191"/>
      <c r="J279" s="191"/>
      <c r="K279" s="191"/>
      <c r="L279" s="191"/>
      <c r="M279" s="191"/>
      <c r="N279" s="191"/>
      <c r="O279" s="191"/>
      <c r="P279" s="191"/>
      <c r="Q279" s="191"/>
    </row>
    <row r="280" spans="1:17" x14ac:dyDescent="0.35">
      <c r="A280" s="191"/>
      <c r="B280" s="191"/>
      <c r="C280" s="191"/>
      <c r="D280" s="191"/>
      <c r="E280" s="191"/>
      <c r="F280" s="191"/>
      <c r="G280" s="191"/>
      <c r="H280" s="191"/>
      <c r="I280" s="191"/>
      <c r="J280" s="191"/>
      <c r="K280" s="191"/>
      <c r="L280" s="191"/>
      <c r="M280" s="191"/>
      <c r="N280" s="191"/>
      <c r="O280" s="191"/>
      <c r="P280" s="191"/>
      <c r="Q280" s="191"/>
    </row>
    <row r="281" spans="1:17" x14ac:dyDescent="0.35">
      <c r="A281" s="191"/>
      <c r="B281" s="191"/>
      <c r="C281" s="191"/>
      <c r="D281" s="191"/>
      <c r="E281" s="191"/>
      <c r="F281" s="191"/>
      <c r="G281" s="191"/>
      <c r="H281" s="191"/>
      <c r="I281" s="191"/>
      <c r="J281" s="191"/>
      <c r="K281" s="191"/>
      <c r="L281" s="191"/>
      <c r="M281" s="191"/>
      <c r="N281" s="191"/>
      <c r="O281" s="191"/>
      <c r="P281" s="191"/>
      <c r="Q281" s="191"/>
    </row>
    <row r="282" spans="1:17" x14ac:dyDescent="0.35">
      <c r="A282" s="191"/>
      <c r="B282" s="191"/>
      <c r="C282" s="191"/>
      <c r="D282" s="191"/>
      <c r="E282" s="191"/>
      <c r="F282" s="191"/>
      <c r="G282" s="191"/>
      <c r="H282" s="191"/>
      <c r="I282" s="191"/>
      <c r="J282" s="191"/>
      <c r="K282" s="191"/>
      <c r="L282" s="191"/>
      <c r="M282" s="191"/>
      <c r="N282" s="191"/>
      <c r="O282" s="191"/>
      <c r="P282" s="191"/>
      <c r="Q282" s="191"/>
    </row>
    <row r="283" spans="1:17" x14ac:dyDescent="0.35">
      <c r="A283" s="191"/>
      <c r="B283" s="191"/>
      <c r="C283" s="191"/>
      <c r="D283" s="191"/>
      <c r="E283" s="191"/>
      <c r="F283" s="191"/>
      <c r="G283" s="191"/>
      <c r="H283" s="191"/>
      <c r="I283" s="191"/>
      <c r="J283" s="191"/>
      <c r="K283" s="191"/>
      <c r="L283" s="191"/>
      <c r="M283" s="191"/>
      <c r="N283" s="191"/>
      <c r="O283" s="191"/>
      <c r="P283" s="191"/>
      <c r="Q283" s="191"/>
    </row>
    <row r="284" spans="1:17" x14ac:dyDescent="0.35">
      <c r="A284" s="191"/>
      <c r="B284" s="191"/>
      <c r="C284" s="191"/>
      <c r="D284" s="191"/>
      <c r="E284" s="191"/>
      <c r="F284" s="191"/>
      <c r="G284" s="191"/>
      <c r="H284" s="191"/>
      <c r="I284" s="191"/>
      <c r="J284" s="191"/>
      <c r="K284" s="191"/>
      <c r="L284" s="191"/>
      <c r="M284" s="191"/>
      <c r="N284" s="191"/>
      <c r="O284" s="191"/>
      <c r="P284" s="191"/>
      <c r="Q284" s="191"/>
    </row>
    <row r="285" spans="1:17" x14ac:dyDescent="0.35">
      <c r="A285" s="191"/>
      <c r="B285" s="191"/>
      <c r="C285" s="191"/>
      <c r="D285" s="191"/>
      <c r="E285" s="191"/>
      <c r="F285" s="191"/>
      <c r="G285" s="191"/>
      <c r="H285" s="191"/>
      <c r="I285" s="191"/>
      <c r="J285" s="191"/>
      <c r="K285" s="191"/>
      <c r="L285" s="191"/>
      <c r="M285" s="191"/>
      <c r="N285" s="191"/>
      <c r="O285" s="191"/>
      <c r="P285" s="191"/>
      <c r="Q285" s="191"/>
    </row>
    <row r="286" spans="1:17" x14ac:dyDescent="0.35">
      <c r="A286" s="191"/>
      <c r="B286" s="191"/>
      <c r="C286" s="191"/>
      <c r="D286" s="191"/>
      <c r="E286" s="191"/>
      <c r="F286" s="191"/>
      <c r="G286" s="191"/>
      <c r="H286" s="191"/>
      <c r="I286" s="191"/>
      <c r="J286" s="191"/>
      <c r="K286" s="191"/>
      <c r="L286" s="191"/>
      <c r="M286" s="191"/>
      <c r="N286" s="191"/>
      <c r="O286" s="191"/>
      <c r="P286" s="191"/>
      <c r="Q286" s="191"/>
    </row>
    <row r="287" spans="1:17" x14ac:dyDescent="0.35">
      <c r="A287" s="191"/>
      <c r="B287" s="191"/>
      <c r="C287" s="191"/>
      <c r="D287" s="191"/>
      <c r="E287" s="191"/>
      <c r="F287" s="191"/>
      <c r="G287" s="191"/>
      <c r="H287" s="191"/>
      <c r="I287" s="191"/>
      <c r="J287" s="191"/>
      <c r="K287" s="191"/>
      <c r="L287" s="191"/>
      <c r="M287" s="191"/>
      <c r="N287" s="191"/>
      <c r="O287" s="191"/>
      <c r="P287" s="191"/>
      <c r="Q287" s="191"/>
    </row>
    <row r="288" spans="1:17" x14ac:dyDescent="0.35">
      <c r="A288" s="191"/>
      <c r="B288" s="191"/>
      <c r="C288" s="191"/>
      <c r="D288" s="191"/>
      <c r="E288" s="191"/>
      <c r="F288" s="191"/>
      <c r="G288" s="191"/>
      <c r="H288" s="191"/>
      <c r="I288" s="191"/>
      <c r="J288" s="191"/>
      <c r="K288" s="191"/>
      <c r="L288" s="191"/>
      <c r="M288" s="191"/>
      <c r="N288" s="191"/>
      <c r="O288" s="191"/>
      <c r="P288" s="191"/>
      <c r="Q288" s="191"/>
    </row>
    <row r="289" spans="1:17" x14ac:dyDescent="0.35">
      <c r="A289" s="191"/>
      <c r="B289" s="191"/>
      <c r="C289" s="191"/>
      <c r="D289" s="191"/>
      <c r="E289" s="191"/>
      <c r="F289" s="191"/>
      <c r="G289" s="191"/>
      <c r="H289" s="191"/>
      <c r="I289" s="191"/>
      <c r="J289" s="191"/>
      <c r="K289" s="191"/>
      <c r="L289" s="191"/>
      <c r="M289" s="191"/>
      <c r="N289" s="191"/>
      <c r="O289" s="191"/>
      <c r="P289" s="191"/>
      <c r="Q289" s="191"/>
    </row>
    <row r="290" spans="1:17" x14ac:dyDescent="0.35">
      <c r="A290" s="191"/>
      <c r="B290" s="191"/>
      <c r="C290" s="191"/>
      <c r="D290" s="191"/>
      <c r="E290" s="191"/>
      <c r="F290" s="191"/>
      <c r="G290" s="191"/>
      <c r="H290" s="191"/>
      <c r="I290" s="191"/>
      <c r="J290" s="191"/>
      <c r="K290" s="191"/>
      <c r="L290" s="191"/>
      <c r="M290" s="191"/>
      <c r="N290" s="191"/>
      <c r="O290" s="191"/>
      <c r="P290" s="191"/>
      <c r="Q290" s="191"/>
    </row>
    <row r="291" spans="1:17" x14ac:dyDescent="0.35">
      <c r="A291" s="191"/>
      <c r="B291" s="191"/>
      <c r="C291" s="191"/>
      <c r="D291" s="191"/>
      <c r="E291" s="191"/>
      <c r="F291" s="191"/>
      <c r="G291" s="191"/>
      <c r="H291" s="191"/>
      <c r="I291" s="191"/>
      <c r="J291" s="191"/>
      <c r="K291" s="191"/>
      <c r="L291" s="191"/>
      <c r="M291" s="191"/>
      <c r="N291" s="191"/>
      <c r="O291" s="191"/>
      <c r="P291" s="191"/>
      <c r="Q291" s="191"/>
    </row>
    <row r="292" spans="1:17" x14ac:dyDescent="0.35">
      <c r="A292" s="191"/>
      <c r="B292" s="191"/>
      <c r="C292" s="191"/>
      <c r="D292" s="191"/>
      <c r="E292" s="191"/>
      <c r="F292" s="191"/>
      <c r="G292" s="191"/>
      <c r="H292" s="191"/>
      <c r="I292" s="191"/>
      <c r="J292" s="191"/>
      <c r="K292" s="191"/>
      <c r="L292" s="191"/>
      <c r="M292" s="191"/>
      <c r="N292" s="191"/>
      <c r="O292" s="191"/>
      <c r="P292" s="191"/>
      <c r="Q292" s="191"/>
    </row>
    <row r="293" spans="1:17" x14ac:dyDescent="0.35">
      <c r="A293" s="191"/>
      <c r="B293" s="191"/>
      <c r="C293" s="191"/>
      <c r="D293" s="191"/>
      <c r="E293" s="191"/>
      <c r="F293" s="191"/>
      <c r="G293" s="191"/>
      <c r="H293" s="191"/>
      <c r="I293" s="191"/>
      <c r="J293" s="191"/>
      <c r="K293" s="191"/>
      <c r="L293" s="191"/>
      <c r="M293" s="191"/>
      <c r="N293" s="191"/>
      <c r="O293" s="191"/>
      <c r="P293" s="191"/>
      <c r="Q293" s="191"/>
    </row>
    <row r="294" spans="1:17" x14ac:dyDescent="0.35">
      <c r="A294" s="191"/>
      <c r="B294" s="191"/>
      <c r="C294" s="191"/>
      <c r="D294" s="191"/>
      <c r="E294" s="191"/>
      <c r="F294" s="191"/>
      <c r="G294" s="191"/>
      <c r="H294" s="191"/>
      <c r="I294" s="191"/>
      <c r="J294" s="191"/>
      <c r="K294" s="191"/>
      <c r="L294" s="191"/>
      <c r="M294" s="191"/>
      <c r="N294" s="191"/>
      <c r="O294" s="191"/>
      <c r="P294" s="191"/>
      <c r="Q294" s="191"/>
    </row>
    <row r="295" spans="1:17" x14ac:dyDescent="0.35">
      <c r="A295" s="191"/>
      <c r="B295" s="191"/>
      <c r="C295" s="191"/>
      <c r="D295" s="191"/>
      <c r="E295" s="191"/>
      <c r="F295" s="191"/>
      <c r="G295" s="191"/>
      <c r="H295" s="191"/>
      <c r="I295" s="191"/>
      <c r="J295" s="191"/>
      <c r="K295" s="191"/>
      <c r="L295" s="191"/>
      <c r="M295" s="191"/>
      <c r="N295" s="191"/>
      <c r="O295" s="191"/>
      <c r="P295" s="191"/>
      <c r="Q295" s="191"/>
    </row>
    <row r="296" spans="1:17" x14ac:dyDescent="0.35">
      <c r="A296" s="191"/>
      <c r="B296" s="191"/>
      <c r="C296" s="191"/>
      <c r="D296" s="191"/>
      <c r="E296" s="191"/>
      <c r="F296" s="191"/>
      <c r="G296" s="191"/>
      <c r="H296" s="191"/>
      <c r="I296" s="191"/>
      <c r="J296" s="191"/>
      <c r="K296" s="191"/>
      <c r="L296" s="191"/>
      <c r="M296" s="191"/>
      <c r="N296" s="191"/>
      <c r="O296" s="191"/>
      <c r="P296" s="191"/>
      <c r="Q296" s="191"/>
    </row>
    <row r="297" spans="1:17" x14ac:dyDescent="0.35">
      <c r="A297" s="191"/>
      <c r="B297" s="191"/>
      <c r="C297" s="191"/>
      <c r="D297" s="191"/>
      <c r="E297" s="191"/>
      <c r="F297" s="191"/>
      <c r="G297" s="191"/>
      <c r="H297" s="191"/>
      <c r="I297" s="191"/>
      <c r="J297" s="191"/>
      <c r="K297" s="191"/>
      <c r="L297" s="191"/>
      <c r="M297" s="191"/>
      <c r="N297" s="191"/>
      <c r="O297" s="191"/>
      <c r="P297" s="191"/>
      <c r="Q297" s="191"/>
    </row>
    <row r="298" spans="1:17" x14ac:dyDescent="0.35">
      <c r="A298" s="191"/>
      <c r="B298" s="191"/>
      <c r="C298" s="191"/>
      <c r="D298" s="191"/>
      <c r="E298" s="191"/>
      <c r="F298" s="191"/>
      <c r="G298" s="191"/>
      <c r="H298" s="191"/>
      <c r="I298" s="191"/>
      <c r="J298" s="191"/>
      <c r="K298" s="191"/>
      <c r="L298" s="191"/>
      <c r="M298" s="191"/>
      <c r="N298" s="191"/>
      <c r="O298" s="191"/>
      <c r="P298" s="191"/>
      <c r="Q298" s="191"/>
    </row>
    <row r="299" spans="1:17" x14ac:dyDescent="0.35">
      <c r="A299" s="191"/>
      <c r="B299" s="191"/>
      <c r="C299" s="191"/>
      <c r="D299" s="191"/>
      <c r="E299" s="191"/>
      <c r="F299" s="191"/>
      <c r="G299" s="191"/>
      <c r="H299" s="191"/>
      <c r="I299" s="191"/>
      <c r="J299" s="191"/>
      <c r="K299" s="191"/>
      <c r="L299" s="191"/>
      <c r="M299" s="191"/>
      <c r="N299" s="191"/>
      <c r="O299" s="191"/>
      <c r="P299" s="191"/>
      <c r="Q299" s="191"/>
    </row>
    <row r="300" spans="1:17" x14ac:dyDescent="0.35">
      <c r="A300" s="191"/>
      <c r="B300" s="191"/>
      <c r="C300" s="191"/>
      <c r="D300" s="191"/>
      <c r="E300" s="191"/>
      <c r="F300" s="191"/>
      <c r="G300" s="191"/>
      <c r="H300" s="191"/>
      <c r="I300" s="191"/>
      <c r="J300" s="191"/>
      <c r="K300" s="191"/>
      <c r="L300" s="191"/>
      <c r="M300" s="191"/>
      <c r="N300" s="191"/>
      <c r="O300" s="191"/>
      <c r="P300" s="191"/>
      <c r="Q300" s="191"/>
    </row>
    <row r="301" spans="1:17" x14ac:dyDescent="0.35">
      <c r="A301" s="191"/>
      <c r="B301" s="191"/>
      <c r="C301" s="191"/>
      <c r="D301" s="191"/>
      <c r="E301" s="191"/>
      <c r="F301" s="191"/>
      <c r="G301" s="191"/>
      <c r="H301" s="191"/>
      <c r="I301" s="191"/>
      <c r="J301" s="191"/>
      <c r="K301" s="191"/>
      <c r="L301" s="191"/>
      <c r="M301" s="191"/>
      <c r="N301" s="191"/>
      <c r="O301" s="191"/>
      <c r="P301" s="191"/>
      <c r="Q301" s="191"/>
    </row>
    <row r="302" spans="1:17" x14ac:dyDescent="0.35">
      <c r="A302" s="191"/>
      <c r="B302" s="191"/>
      <c r="C302" s="191"/>
      <c r="D302" s="191"/>
      <c r="E302" s="191"/>
      <c r="F302" s="191"/>
      <c r="G302" s="191"/>
      <c r="H302" s="191"/>
      <c r="I302" s="191"/>
      <c r="J302" s="191"/>
      <c r="K302" s="191"/>
      <c r="L302" s="191"/>
      <c r="M302" s="191"/>
      <c r="N302" s="191"/>
      <c r="O302" s="191"/>
      <c r="P302" s="191"/>
      <c r="Q302" s="191"/>
    </row>
    <row r="303" spans="1:17" x14ac:dyDescent="0.35">
      <c r="A303" s="191"/>
      <c r="B303" s="191"/>
      <c r="C303" s="191"/>
      <c r="D303" s="191"/>
      <c r="E303" s="191"/>
      <c r="F303" s="191"/>
      <c r="G303" s="191"/>
      <c r="H303" s="191"/>
      <c r="I303" s="191"/>
      <c r="J303" s="191"/>
      <c r="K303" s="191"/>
      <c r="L303" s="191"/>
      <c r="M303" s="191"/>
      <c r="N303" s="191"/>
      <c r="O303" s="191"/>
      <c r="P303" s="191"/>
      <c r="Q303" s="191"/>
    </row>
    <row r="304" spans="1:17" x14ac:dyDescent="0.35">
      <c r="A304" s="191"/>
      <c r="B304" s="191"/>
      <c r="C304" s="191"/>
      <c r="D304" s="191"/>
      <c r="E304" s="191"/>
      <c r="F304" s="191"/>
      <c r="G304" s="191"/>
      <c r="H304" s="191"/>
      <c r="I304" s="191"/>
      <c r="J304" s="191"/>
      <c r="K304" s="191"/>
      <c r="L304" s="191"/>
      <c r="M304" s="191"/>
      <c r="N304" s="191"/>
      <c r="O304" s="191"/>
      <c r="P304" s="191"/>
      <c r="Q304" s="191"/>
    </row>
    <row r="305" spans="1:17" x14ac:dyDescent="0.35">
      <c r="A305" s="191"/>
      <c r="B305" s="191"/>
      <c r="C305" s="191"/>
      <c r="D305" s="191"/>
      <c r="E305" s="191"/>
      <c r="F305" s="191"/>
      <c r="G305" s="191"/>
      <c r="H305" s="191"/>
      <c r="I305" s="191"/>
      <c r="J305" s="191"/>
      <c r="K305" s="191"/>
      <c r="L305" s="191"/>
      <c r="M305" s="191"/>
      <c r="N305" s="191"/>
      <c r="O305" s="191"/>
      <c r="P305" s="191"/>
      <c r="Q305" s="191"/>
    </row>
    <row r="306" spans="1:17" x14ac:dyDescent="0.35">
      <c r="A306" s="191"/>
      <c r="B306" s="191"/>
      <c r="C306" s="191"/>
      <c r="D306" s="191"/>
      <c r="E306" s="191"/>
      <c r="F306" s="191"/>
      <c r="G306" s="191"/>
      <c r="H306" s="191"/>
      <c r="I306" s="191"/>
      <c r="J306" s="191"/>
      <c r="K306" s="191"/>
      <c r="L306" s="191"/>
      <c r="M306" s="191"/>
      <c r="N306" s="191"/>
      <c r="O306" s="191"/>
      <c r="P306" s="191"/>
      <c r="Q306" s="191"/>
    </row>
    <row r="307" spans="1:17" x14ac:dyDescent="0.35">
      <c r="A307" s="191"/>
      <c r="B307" s="191"/>
      <c r="C307" s="191"/>
      <c r="D307" s="191"/>
      <c r="E307" s="191"/>
      <c r="F307" s="191"/>
      <c r="G307" s="191"/>
      <c r="H307" s="191"/>
      <c r="I307" s="191"/>
      <c r="J307" s="191"/>
      <c r="K307" s="191"/>
      <c r="L307" s="191"/>
      <c r="M307" s="191"/>
      <c r="N307" s="191"/>
      <c r="O307" s="191"/>
      <c r="P307" s="191"/>
      <c r="Q307" s="191"/>
    </row>
    <row r="308" spans="1:17" x14ac:dyDescent="0.35">
      <c r="A308" s="191"/>
      <c r="B308" s="191"/>
      <c r="C308" s="191"/>
      <c r="D308" s="191"/>
      <c r="E308" s="191"/>
      <c r="F308" s="191"/>
      <c r="G308" s="191"/>
      <c r="H308" s="191"/>
      <c r="I308" s="191"/>
      <c r="J308" s="191"/>
      <c r="K308" s="191"/>
      <c r="L308" s="191"/>
      <c r="M308" s="191"/>
      <c r="N308" s="191"/>
      <c r="O308" s="191"/>
      <c r="P308" s="191"/>
      <c r="Q308" s="191"/>
    </row>
    <row r="309" spans="1:17" x14ac:dyDescent="0.35">
      <c r="A309" s="191"/>
      <c r="B309" s="191"/>
      <c r="C309" s="191"/>
      <c r="D309" s="191"/>
      <c r="E309" s="191"/>
      <c r="F309" s="191"/>
      <c r="G309" s="191"/>
      <c r="H309" s="191"/>
      <c r="I309" s="191"/>
      <c r="J309" s="191"/>
      <c r="K309" s="191"/>
      <c r="L309" s="191"/>
      <c r="M309" s="191"/>
      <c r="N309" s="191"/>
      <c r="O309" s="191"/>
      <c r="P309" s="191"/>
      <c r="Q309" s="191"/>
    </row>
    <row r="310" spans="1:17" x14ac:dyDescent="0.35">
      <c r="A310" s="191"/>
      <c r="B310" s="191"/>
      <c r="C310" s="191"/>
      <c r="D310" s="191"/>
      <c r="E310" s="191"/>
      <c r="F310" s="191"/>
      <c r="G310" s="191"/>
      <c r="H310" s="191"/>
      <c r="I310" s="191"/>
      <c r="J310" s="191"/>
      <c r="K310" s="191"/>
      <c r="L310" s="191"/>
      <c r="M310" s="191"/>
      <c r="N310" s="191"/>
      <c r="O310" s="191"/>
      <c r="P310" s="191"/>
      <c r="Q310" s="191"/>
    </row>
    <row r="311" spans="1:17" x14ac:dyDescent="0.35">
      <c r="A311" s="191"/>
      <c r="B311" s="191"/>
      <c r="C311" s="191"/>
      <c r="D311" s="191"/>
      <c r="E311" s="191"/>
      <c r="F311" s="191"/>
      <c r="G311" s="191"/>
      <c r="H311" s="191"/>
      <c r="I311" s="191"/>
      <c r="J311" s="191"/>
      <c r="K311" s="191"/>
      <c r="L311" s="191"/>
      <c r="M311" s="191"/>
      <c r="N311" s="191"/>
      <c r="O311" s="191"/>
      <c r="P311" s="191"/>
      <c r="Q311" s="191"/>
    </row>
    <row r="312" spans="1:17" x14ac:dyDescent="0.35">
      <c r="A312" s="191"/>
      <c r="B312" s="191"/>
      <c r="C312" s="191"/>
      <c r="D312" s="191"/>
      <c r="E312" s="191"/>
      <c r="F312" s="191"/>
      <c r="G312" s="191"/>
      <c r="H312" s="191"/>
      <c r="I312" s="191"/>
      <c r="J312" s="191"/>
      <c r="K312" s="191"/>
      <c r="L312" s="191"/>
      <c r="M312" s="191"/>
      <c r="N312" s="191"/>
      <c r="O312" s="191"/>
      <c r="P312" s="191"/>
      <c r="Q312" s="191"/>
    </row>
    <row r="313" spans="1:17" x14ac:dyDescent="0.35">
      <c r="A313" s="191"/>
      <c r="B313" s="191"/>
      <c r="C313" s="191"/>
      <c r="D313" s="191"/>
      <c r="E313" s="191"/>
      <c r="F313" s="191"/>
      <c r="G313" s="191"/>
      <c r="H313" s="191"/>
      <c r="I313" s="191"/>
      <c r="J313" s="191"/>
      <c r="K313" s="191"/>
      <c r="L313" s="191"/>
      <c r="M313" s="191"/>
      <c r="N313" s="191"/>
      <c r="O313" s="191"/>
      <c r="P313" s="191"/>
      <c r="Q313" s="191"/>
    </row>
    <row r="314" spans="1:17" x14ac:dyDescent="0.35">
      <c r="A314" s="191"/>
      <c r="B314" s="191"/>
      <c r="C314" s="191"/>
      <c r="D314" s="191"/>
      <c r="E314" s="191"/>
      <c r="F314" s="191"/>
      <c r="G314" s="191"/>
      <c r="H314" s="191"/>
      <c r="I314" s="191"/>
      <c r="J314" s="191"/>
      <c r="K314" s="191"/>
      <c r="L314" s="191"/>
      <c r="M314" s="191"/>
      <c r="N314" s="191"/>
      <c r="O314" s="191"/>
      <c r="P314" s="191"/>
      <c r="Q314" s="191"/>
    </row>
    <row r="315" spans="1:17" x14ac:dyDescent="0.35">
      <c r="A315" s="191"/>
      <c r="B315" s="191"/>
      <c r="C315" s="191"/>
      <c r="D315" s="191"/>
      <c r="E315" s="191"/>
      <c r="F315" s="191"/>
      <c r="G315" s="191"/>
      <c r="H315" s="191"/>
      <c r="I315" s="191"/>
      <c r="J315" s="191"/>
      <c r="K315" s="191"/>
      <c r="L315" s="191"/>
      <c r="M315" s="191"/>
      <c r="N315" s="191"/>
      <c r="O315" s="191"/>
      <c r="P315" s="191"/>
      <c r="Q315" s="191"/>
    </row>
    <row r="316" spans="1:17" x14ac:dyDescent="0.35">
      <c r="A316" s="191"/>
      <c r="B316" s="191"/>
      <c r="C316" s="191"/>
      <c r="D316" s="191"/>
      <c r="E316" s="191"/>
      <c r="F316" s="191"/>
      <c r="G316" s="191"/>
      <c r="H316" s="191"/>
      <c r="I316" s="191"/>
      <c r="J316" s="191"/>
      <c r="K316" s="191"/>
      <c r="L316" s="191"/>
      <c r="M316" s="191"/>
      <c r="N316" s="191"/>
      <c r="O316" s="191"/>
      <c r="P316" s="191"/>
      <c r="Q316" s="191"/>
    </row>
    <row r="317" spans="1:17" x14ac:dyDescent="0.35">
      <c r="A317" s="191"/>
      <c r="B317" s="191"/>
      <c r="C317" s="191"/>
      <c r="D317" s="191"/>
      <c r="E317" s="191"/>
      <c r="F317" s="191"/>
      <c r="G317" s="191"/>
      <c r="H317" s="191"/>
      <c r="I317" s="191"/>
      <c r="J317" s="191"/>
      <c r="K317" s="191"/>
      <c r="L317" s="191"/>
      <c r="M317" s="191"/>
      <c r="N317" s="191"/>
      <c r="O317" s="191"/>
      <c r="P317" s="191"/>
      <c r="Q317" s="191"/>
    </row>
    <row r="318" spans="1:17" x14ac:dyDescent="0.35">
      <c r="A318" s="191"/>
      <c r="B318" s="191"/>
      <c r="C318" s="191"/>
      <c r="D318" s="191"/>
      <c r="E318" s="191"/>
      <c r="F318" s="191"/>
      <c r="G318" s="191"/>
      <c r="H318" s="191"/>
      <c r="I318" s="191"/>
      <c r="J318" s="191"/>
      <c r="K318" s="191"/>
      <c r="L318" s="191"/>
      <c r="M318" s="191"/>
      <c r="N318" s="191"/>
      <c r="O318" s="191"/>
      <c r="P318" s="191"/>
      <c r="Q318" s="191"/>
    </row>
    <row r="319" spans="1:17" x14ac:dyDescent="0.35">
      <c r="A319" s="191"/>
      <c r="B319" s="191"/>
      <c r="C319" s="191"/>
      <c r="D319" s="191"/>
      <c r="E319" s="191"/>
      <c r="F319" s="191"/>
      <c r="G319" s="191"/>
      <c r="H319" s="191"/>
      <c r="I319" s="191"/>
      <c r="J319" s="191"/>
      <c r="K319" s="191"/>
      <c r="L319" s="191"/>
      <c r="M319" s="191"/>
      <c r="N319" s="191"/>
      <c r="O319" s="191"/>
      <c r="P319" s="191"/>
      <c r="Q319" s="191"/>
    </row>
    <row r="320" spans="1:17" x14ac:dyDescent="0.35">
      <c r="A320" s="191"/>
      <c r="B320" s="191"/>
      <c r="C320" s="191"/>
      <c r="D320" s="191"/>
      <c r="E320" s="191"/>
      <c r="F320" s="191"/>
      <c r="G320" s="191"/>
      <c r="H320" s="191"/>
      <c r="I320" s="191"/>
      <c r="J320" s="191"/>
      <c r="K320" s="191"/>
      <c r="L320" s="191"/>
      <c r="M320" s="191"/>
      <c r="N320" s="191"/>
      <c r="O320" s="191"/>
      <c r="P320" s="191"/>
      <c r="Q320" s="191"/>
    </row>
    <row r="321" spans="1:17" x14ac:dyDescent="0.35">
      <c r="A321" s="191"/>
      <c r="B321" s="191"/>
      <c r="C321" s="191"/>
      <c r="D321" s="191"/>
      <c r="E321" s="191"/>
      <c r="F321" s="191"/>
      <c r="G321" s="191"/>
      <c r="H321" s="191"/>
      <c r="I321" s="191"/>
      <c r="J321" s="191"/>
      <c r="K321" s="191"/>
      <c r="L321" s="191"/>
      <c r="M321" s="191"/>
      <c r="N321" s="191"/>
      <c r="O321" s="191"/>
      <c r="P321" s="191"/>
      <c r="Q321" s="191"/>
    </row>
    <row r="322" spans="1:17" x14ac:dyDescent="0.35">
      <c r="A322" s="191"/>
      <c r="B322" s="191"/>
      <c r="C322" s="191"/>
      <c r="D322" s="191"/>
      <c r="E322" s="191"/>
      <c r="F322" s="191"/>
      <c r="G322" s="191"/>
      <c r="H322" s="191"/>
      <c r="I322" s="191"/>
      <c r="J322" s="191"/>
      <c r="K322" s="191"/>
      <c r="L322" s="191"/>
      <c r="M322" s="191"/>
      <c r="N322" s="191"/>
      <c r="O322" s="191"/>
      <c r="P322" s="191"/>
      <c r="Q322" s="191"/>
    </row>
    <row r="323" spans="1:17" x14ac:dyDescent="0.35">
      <c r="A323" s="191"/>
      <c r="B323" s="191"/>
      <c r="C323" s="191"/>
      <c r="D323" s="191"/>
      <c r="E323" s="191"/>
      <c r="F323" s="191"/>
      <c r="G323" s="191"/>
      <c r="H323" s="191"/>
      <c r="I323" s="191"/>
      <c r="J323" s="191"/>
      <c r="K323" s="191"/>
      <c r="L323" s="191"/>
      <c r="M323" s="191"/>
      <c r="N323" s="191"/>
      <c r="O323" s="191"/>
      <c r="P323" s="191"/>
      <c r="Q323" s="191"/>
    </row>
    <row r="324" spans="1:17" x14ac:dyDescent="0.35">
      <c r="A324" s="191"/>
      <c r="B324" s="191"/>
      <c r="C324" s="191"/>
      <c r="D324" s="191"/>
      <c r="E324" s="191"/>
      <c r="F324" s="191"/>
      <c r="G324" s="191"/>
      <c r="H324" s="191"/>
      <c r="I324" s="191"/>
      <c r="J324" s="191"/>
      <c r="K324" s="191"/>
      <c r="L324" s="191"/>
      <c r="M324" s="191"/>
      <c r="N324" s="191"/>
      <c r="O324" s="191"/>
      <c r="P324" s="191"/>
      <c r="Q324" s="191"/>
    </row>
    <row r="325" spans="1:17" x14ac:dyDescent="0.35">
      <c r="A325" s="191"/>
      <c r="B325" s="191"/>
      <c r="C325" s="191"/>
      <c r="D325" s="191"/>
      <c r="E325" s="191"/>
      <c r="F325" s="191"/>
      <c r="G325" s="191"/>
      <c r="H325" s="191"/>
      <c r="I325" s="191"/>
      <c r="J325" s="191"/>
      <c r="K325" s="191"/>
      <c r="L325" s="191"/>
      <c r="M325" s="191"/>
      <c r="N325" s="191"/>
      <c r="O325" s="191"/>
      <c r="P325" s="191"/>
      <c r="Q325" s="191"/>
    </row>
    <row r="326" spans="1:17" x14ac:dyDescent="0.35">
      <c r="A326" s="191"/>
      <c r="B326" s="191"/>
      <c r="C326" s="191"/>
      <c r="D326" s="191"/>
      <c r="E326" s="191"/>
      <c r="F326" s="191"/>
      <c r="G326" s="191"/>
      <c r="H326" s="191"/>
      <c r="I326" s="191"/>
      <c r="J326" s="191"/>
      <c r="K326" s="191"/>
      <c r="L326" s="191"/>
      <c r="M326" s="191"/>
      <c r="N326" s="191"/>
      <c r="O326" s="191"/>
      <c r="P326" s="191"/>
      <c r="Q326" s="191"/>
    </row>
    <row r="327" spans="1:17" x14ac:dyDescent="0.35">
      <c r="A327" s="191"/>
      <c r="B327" s="191"/>
      <c r="C327" s="191"/>
      <c r="D327" s="191"/>
      <c r="E327" s="191"/>
      <c r="F327" s="191"/>
      <c r="G327" s="191"/>
      <c r="H327" s="191"/>
      <c r="I327" s="191"/>
      <c r="J327" s="191"/>
      <c r="K327" s="191"/>
      <c r="L327" s="191"/>
      <c r="M327" s="191"/>
      <c r="N327" s="191"/>
      <c r="O327" s="191"/>
      <c r="P327" s="191"/>
      <c r="Q327" s="191"/>
    </row>
    <row r="328" spans="1:17" x14ac:dyDescent="0.35">
      <c r="A328" s="191"/>
      <c r="B328" s="191"/>
      <c r="C328" s="191"/>
      <c r="D328" s="191"/>
      <c r="E328" s="191"/>
      <c r="F328" s="191"/>
      <c r="G328" s="191"/>
      <c r="H328" s="191"/>
      <c r="I328" s="191"/>
      <c r="J328" s="191"/>
      <c r="K328" s="191"/>
      <c r="L328" s="191"/>
      <c r="M328" s="191"/>
      <c r="N328" s="191"/>
      <c r="O328" s="191"/>
      <c r="P328" s="191"/>
      <c r="Q328" s="191"/>
    </row>
    <row r="329" spans="1:17" x14ac:dyDescent="0.35">
      <c r="A329" s="191"/>
      <c r="B329" s="191"/>
      <c r="C329" s="191"/>
      <c r="D329" s="191"/>
      <c r="E329" s="191"/>
      <c r="F329" s="191"/>
      <c r="G329" s="191"/>
      <c r="H329" s="191"/>
      <c r="I329" s="191"/>
      <c r="J329" s="191"/>
      <c r="K329" s="191"/>
      <c r="L329" s="191"/>
      <c r="M329" s="191"/>
      <c r="N329" s="191"/>
      <c r="O329" s="191"/>
      <c r="P329" s="191"/>
      <c r="Q329" s="191"/>
    </row>
    <row r="330" spans="1:17" x14ac:dyDescent="0.35">
      <c r="A330" s="191"/>
      <c r="B330" s="191"/>
      <c r="C330" s="191"/>
      <c r="D330" s="191"/>
      <c r="E330" s="191"/>
      <c r="F330" s="191"/>
      <c r="G330" s="191"/>
      <c r="H330" s="191"/>
      <c r="I330" s="191"/>
      <c r="J330" s="191"/>
      <c r="K330" s="191"/>
      <c r="L330" s="191"/>
      <c r="M330" s="191"/>
      <c r="N330" s="191"/>
      <c r="O330" s="191"/>
      <c r="P330" s="191"/>
      <c r="Q330" s="191"/>
    </row>
    <row r="331" spans="1:17" x14ac:dyDescent="0.35">
      <c r="A331" s="191"/>
      <c r="B331" s="191"/>
      <c r="C331" s="191"/>
      <c r="D331" s="191"/>
      <c r="E331" s="191"/>
      <c r="F331" s="191"/>
      <c r="G331" s="191"/>
      <c r="H331" s="191"/>
      <c r="I331" s="191"/>
      <c r="J331" s="191"/>
      <c r="K331" s="191"/>
      <c r="L331" s="191"/>
      <c r="M331" s="191"/>
      <c r="N331" s="191"/>
      <c r="O331" s="191"/>
      <c r="P331" s="191"/>
      <c r="Q331" s="191"/>
    </row>
    <row r="332" spans="1:17" x14ac:dyDescent="0.35">
      <c r="A332" s="191"/>
      <c r="B332" s="191"/>
      <c r="C332" s="191"/>
      <c r="D332" s="191"/>
      <c r="E332" s="191"/>
      <c r="F332" s="191"/>
      <c r="G332" s="191"/>
      <c r="H332" s="191"/>
      <c r="I332" s="191"/>
      <c r="J332" s="191"/>
      <c r="K332" s="191"/>
      <c r="L332" s="191"/>
      <c r="M332" s="191"/>
      <c r="N332" s="191"/>
      <c r="O332" s="191"/>
      <c r="P332" s="191"/>
      <c r="Q332" s="191"/>
    </row>
    <row r="333" spans="1:17" x14ac:dyDescent="0.35">
      <c r="A333" s="191"/>
      <c r="B333" s="191"/>
      <c r="C333" s="191"/>
      <c r="D333" s="191"/>
      <c r="E333" s="191"/>
      <c r="F333" s="191"/>
      <c r="G333" s="191"/>
      <c r="H333" s="191"/>
      <c r="I333" s="191"/>
      <c r="J333" s="191"/>
      <c r="K333" s="191"/>
      <c r="L333" s="191"/>
      <c r="M333" s="191"/>
      <c r="N333" s="191"/>
      <c r="O333" s="191"/>
      <c r="P333" s="191"/>
      <c r="Q333" s="191"/>
    </row>
    <row r="334" spans="1:17" x14ac:dyDescent="0.35">
      <c r="A334" s="191"/>
      <c r="B334" s="191"/>
      <c r="C334" s="191"/>
      <c r="D334" s="191"/>
      <c r="E334" s="191"/>
      <c r="F334" s="191"/>
      <c r="G334" s="191"/>
      <c r="H334" s="191"/>
      <c r="I334" s="191"/>
      <c r="J334" s="191"/>
      <c r="K334" s="191"/>
      <c r="L334" s="191"/>
      <c r="M334" s="191"/>
      <c r="N334" s="191"/>
      <c r="O334" s="191"/>
      <c r="P334" s="191"/>
      <c r="Q334" s="191"/>
    </row>
    <row r="335" spans="1:17" x14ac:dyDescent="0.35">
      <c r="A335" s="191"/>
      <c r="B335" s="191"/>
      <c r="C335" s="191"/>
      <c r="D335" s="191"/>
      <c r="E335" s="191"/>
      <c r="F335" s="191"/>
      <c r="G335" s="191"/>
      <c r="H335" s="191"/>
      <c r="I335" s="191"/>
      <c r="J335" s="191"/>
      <c r="K335" s="191"/>
      <c r="L335" s="191"/>
      <c r="M335" s="191"/>
      <c r="N335" s="191"/>
      <c r="O335" s="191"/>
      <c r="P335" s="191"/>
      <c r="Q335" s="191"/>
    </row>
    <row r="336" spans="1:17" x14ac:dyDescent="0.35">
      <c r="A336" s="191"/>
      <c r="B336" s="191"/>
      <c r="C336" s="191"/>
      <c r="D336" s="191"/>
      <c r="E336" s="191"/>
      <c r="F336" s="191"/>
      <c r="G336" s="191"/>
      <c r="H336" s="191"/>
      <c r="I336" s="191"/>
      <c r="J336" s="191"/>
      <c r="K336" s="191"/>
      <c r="L336" s="191"/>
      <c r="M336" s="191"/>
      <c r="N336" s="191"/>
      <c r="O336" s="191"/>
      <c r="P336" s="191"/>
      <c r="Q336" s="191"/>
    </row>
    <row r="337" spans="1:17" x14ac:dyDescent="0.35">
      <c r="A337" s="191"/>
      <c r="B337" s="191"/>
      <c r="C337" s="191"/>
      <c r="D337" s="191"/>
      <c r="E337" s="191"/>
      <c r="F337" s="191"/>
      <c r="G337" s="191"/>
      <c r="H337" s="191"/>
      <c r="I337" s="191"/>
      <c r="J337" s="191"/>
      <c r="K337" s="191"/>
      <c r="L337" s="191"/>
      <c r="M337" s="191"/>
      <c r="N337" s="191"/>
      <c r="O337" s="191"/>
      <c r="P337" s="191"/>
      <c r="Q337" s="191"/>
    </row>
    <row r="338" spans="1:17" x14ac:dyDescent="0.35">
      <c r="A338" s="191"/>
      <c r="B338" s="191"/>
      <c r="C338" s="191"/>
      <c r="D338" s="191"/>
      <c r="E338" s="191"/>
      <c r="F338" s="191"/>
      <c r="G338" s="191"/>
      <c r="H338" s="191"/>
      <c r="I338" s="191"/>
      <c r="J338" s="191"/>
      <c r="K338" s="191"/>
      <c r="L338" s="191"/>
      <c r="M338" s="191"/>
      <c r="N338" s="191"/>
      <c r="O338" s="191"/>
      <c r="P338" s="191"/>
      <c r="Q338" s="191"/>
    </row>
    <row r="339" spans="1:17" x14ac:dyDescent="0.35">
      <c r="A339" s="191"/>
      <c r="B339" s="191"/>
      <c r="C339" s="191"/>
      <c r="D339" s="191"/>
      <c r="E339" s="191"/>
      <c r="F339" s="191"/>
      <c r="G339" s="191"/>
      <c r="H339" s="191"/>
      <c r="I339" s="191"/>
      <c r="J339" s="191"/>
      <c r="K339" s="191"/>
      <c r="L339" s="191"/>
      <c r="M339" s="191"/>
      <c r="N339" s="191"/>
      <c r="O339" s="191"/>
      <c r="P339" s="191"/>
      <c r="Q339" s="191"/>
    </row>
    <row r="340" spans="1:17" x14ac:dyDescent="0.35">
      <c r="A340" s="191"/>
      <c r="B340" s="191"/>
      <c r="C340" s="191"/>
      <c r="D340" s="191"/>
      <c r="E340" s="191"/>
      <c r="F340" s="191"/>
      <c r="G340" s="191"/>
      <c r="H340" s="191"/>
      <c r="I340" s="191"/>
      <c r="J340" s="191"/>
      <c r="K340" s="191"/>
      <c r="L340" s="191"/>
      <c r="M340" s="191"/>
      <c r="N340" s="191"/>
      <c r="O340" s="191"/>
      <c r="P340" s="191"/>
      <c r="Q340" s="191"/>
    </row>
    <row r="341" spans="1:17" x14ac:dyDescent="0.35">
      <c r="A341" s="191"/>
      <c r="B341" s="191"/>
      <c r="C341" s="191"/>
      <c r="D341" s="191"/>
      <c r="E341" s="191"/>
      <c r="F341" s="191"/>
      <c r="G341" s="191"/>
      <c r="H341" s="191"/>
      <c r="I341" s="191"/>
      <c r="J341" s="191"/>
      <c r="K341" s="191"/>
      <c r="L341" s="191"/>
      <c r="M341" s="191"/>
      <c r="N341" s="191"/>
      <c r="O341" s="191"/>
      <c r="P341" s="191"/>
      <c r="Q341" s="191"/>
    </row>
    <row r="342" spans="1:17" x14ac:dyDescent="0.35">
      <c r="A342" s="191"/>
      <c r="B342" s="191"/>
      <c r="C342" s="191"/>
      <c r="D342" s="191"/>
      <c r="E342" s="191"/>
      <c r="F342" s="191"/>
      <c r="G342" s="191"/>
      <c r="H342" s="191"/>
      <c r="I342" s="191"/>
      <c r="J342" s="191"/>
      <c r="K342" s="191"/>
      <c r="L342" s="191"/>
      <c r="M342" s="191"/>
      <c r="N342" s="191"/>
      <c r="O342" s="191"/>
      <c r="P342" s="191"/>
      <c r="Q342" s="191"/>
    </row>
    <row r="343" spans="1:17" x14ac:dyDescent="0.35">
      <c r="A343" s="191"/>
      <c r="B343" s="191"/>
      <c r="C343" s="191"/>
      <c r="D343" s="191"/>
      <c r="E343" s="191"/>
      <c r="F343" s="191"/>
      <c r="G343" s="191"/>
      <c r="H343" s="191"/>
      <c r="I343" s="191"/>
      <c r="J343" s="191"/>
      <c r="K343" s="191"/>
      <c r="L343" s="191"/>
      <c r="M343" s="191"/>
      <c r="N343" s="191"/>
      <c r="O343" s="191"/>
      <c r="P343" s="191"/>
      <c r="Q343" s="191"/>
    </row>
    <row r="344" spans="1:17" x14ac:dyDescent="0.35">
      <c r="A344" s="191"/>
      <c r="B344" s="191"/>
      <c r="C344" s="191"/>
      <c r="D344" s="191"/>
      <c r="E344" s="191"/>
      <c r="F344" s="191"/>
      <c r="G344" s="191"/>
      <c r="H344" s="191"/>
      <c r="I344" s="191"/>
      <c r="J344" s="191"/>
      <c r="K344" s="191"/>
      <c r="L344" s="191"/>
      <c r="M344" s="191"/>
      <c r="N344" s="191"/>
      <c r="O344" s="191"/>
      <c r="P344" s="191"/>
      <c r="Q344" s="191"/>
    </row>
    <row r="345" spans="1:17" x14ac:dyDescent="0.35">
      <c r="A345" s="191"/>
      <c r="B345" s="191"/>
      <c r="C345" s="191"/>
      <c r="D345" s="191"/>
      <c r="E345" s="191"/>
      <c r="F345" s="191"/>
      <c r="G345" s="191"/>
      <c r="H345" s="191"/>
      <c r="I345" s="191"/>
      <c r="J345" s="191"/>
      <c r="K345" s="191"/>
      <c r="L345" s="191"/>
      <c r="M345" s="191"/>
      <c r="N345" s="191"/>
      <c r="O345" s="191"/>
      <c r="P345" s="191"/>
      <c r="Q345" s="191"/>
    </row>
    <row r="346" spans="1:17" x14ac:dyDescent="0.35">
      <c r="A346" s="191"/>
      <c r="B346" s="191"/>
      <c r="C346" s="191"/>
      <c r="D346" s="191"/>
      <c r="E346" s="191"/>
      <c r="F346" s="191"/>
      <c r="G346" s="191"/>
      <c r="H346" s="191"/>
      <c r="I346" s="191"/>
      <c r="J346" s="191"/>
      <c r="K346" s="191"/>
      <c r="L346" s="191"/>
      <c r="M346" s="191"/>
      <c r="N346" s="191"/>
      <c r="O346" s="191"/>
      <c r="P346" s="191"/>
      <c r="Q346" s="191"/>
    </row>
    <row r="347" spans="1:17" x14ac:dyDescent="0.35">
      <c r="A347" s="191"/>
      <c r="B347" s="191"/>
      <c r="C347" s="191"/>
      <c r="D347" s="191"/>
      <c r="E347" s="191"/>
      <c r="F347" s="191"/>
      <c r="G347" s="191"/>
      <c r="H347" s="191"/>
      <c r="I347" s="191"/>
      <c r="J347" s="191"/>
      <c r="K347" s="191"/>
      <c r="L347" s="191"/>
      <c r="M347" s="191"/>
      <c r="N347" s="191"/>
      <c r="O347" s="191"/>
      <c r="P347" s="191"/>
      <c r="Q347" s="191"/>
    </row>
    <row r="348" spans="1:17" x14ac:dyDescent="0.35">
      <c r="A348" s="191"/>
      <c r="B348" s="191"/>
      <c r="C348" s="191"/>
      <c r="D348" s="191"/>
      <c r="E348" s="191"/>
      <c r="F348" s="191"/>
      <c r="G348" s="191"/>
      <c r="H348" s="191"/>
      <c r="I348" s="191"/>
      <c r="J348" s="191"/>
      <c r="K348" s="191"/>
      <c r="L348" s="191"/>
      <c r="M348" s="191"/>
      <c r="N348" s="191"/>
      <c r="O348" s="191"/>
      <c r="P348" s="191"/>
      <c r="Q348" s="191"/>
    </row>
    <row r="349" spans="1:17" x14ac:dyDescent="0.35">
      <c r="A349" s="191"/>
      <c r="B349" s="191"/>
      <c r="C349" s="191"/>
      <c r="D349" s="191"/>
      <c r="E349" s="191"/>
      <c r="F349" s="191"/>
      <c r="G349" s="191"/>
      <c r="H349" s="191"/>
      <c r="I349" s="191"/>
      <c r="J349" s="191"/>
      <c r="K349" s="191"/>
      <c r="L349" s="191"/>
      <c r="M349" s="191"/>
      <c r="N349" s="191"/>
      <c r="O349" s="191"/>
      <c r="P349" s="191"/>
      <c r="Q349" s="191"/>
    </row>
    <row r="350" spans="1:17" x14ac:dyDescent="0.35">
      <c r="A350" s="191"/>
      <c r="B350" s="191"/>
      <c r="C350" s="191"/>
      <c r="D350" s="191"/>
      <c r="E350" s="191"/>
      <c r="F350" s="191"/>
      <c r="G350" s="191"/>
      <c r="H350" s="191"/>
      <c r="I350" s="191"/>
      <c r="J350" s="191"/>
      <c r="K350" s="191"/>
      <c r="L350" s="191"/>
      <c r="M350" s="191"/>
      <c r="N350" s="191"/>
      <c r="O350" s="191"/>
      <c r="P350" s="191"/>
      <c r="Q350" s="191"/>
    </row>
    <row r="351" spans="1:17" x14ac:dyDescent="0.35">
      <c r="A351" s="191"/>
      <c r="B351" s="191"/>
      <c r="C351" s="191"/>
      <c r="D351" s="191"/>
      <c r="E351" s="191"/>
      <c r="F351" s="191"/>
      <c r="G351" s="191"/>
      <c r="H351" s="191"/>
      <c r="I351" s="191"/>
      <c r="J351" s="191"/>
      <c r="K351" s="191"/>
      <c r="L351" s="191"/>
      <c r="M351" s="191"/>
      <c r="N351" s="191"/>
      <c r="O351" s="191"/>
      <c r="P351" s="191"/>
      <c r="Q351" s="191"/>
    </row>
    <row r="352" spans="1:17" x14ac:dyDescent="0.35">
      <c r="A352" s="191"/>
      <c r="B352" s="191"/>
      <c r="C352" s="191"/>
      <c r="D352" s="191"/>
      <c r="E352" s="191"/>
      <c r="F352" s="191"/>
      <c r="G352" s="191"/>
      <c r="H352" s="191"/>
      <c r="I352" s="191"/>
      <c r="J352" s="191"/>
      <c r="K352" s="191"/>
      <c r="L352" s="191"/>
      <c r="M352" s="191"/>
      <c r="N352" s="191"/>
      <c r="O352" s="191"/>
      <c r="P352" s="191"/>
      <c r="Q352" s="191"/>
    </row>
    <row r="353" spans="1:17" x14ac:dyDescent="0.35">
      <c r="A353" s="191"/>
      <c r="B353" s="191"/>
      <c r="C353" s="191"/>
      <c r="D353" s="191"/>
      <c r="E353" s="191"/>
      <c r="F353" s="191"/>
      <c r="G353" s="191"/>
      <c r="H353" s="191"/>
      <c r="I353" s="191"/>
      <c r="J353" s="191"/>
      <c r="K353" s="191"/>
      <c r="L353" s="191"/>
      <c r="M353" s="191"/>
      <c r="N353" s="191"/>
      <c r="O353" s="191"/>
      <c r="P353" s="191"/>
      <c r="Q353" s="191"/>
    </row>
    <row r="354" spans="1:17" x14ac:dyDescent="0.35">
      <c r="A354" s="191"/>
      <c r="B354" s="191"/>
      <c r="C354" s="191"/>
      <c r="D354" s="191"/>
      <c r="E354" s="191"/>
      <c r="F354" s="191"/>
      <c r="G354" s="191"/>
      <c r="H354" s="191"/>
      <c r="I354" s="191"/>
      <c r="J354" s="191"/>
      <c r="K354" s="191"/>
      <c r="L354" s="191"/>
      <c r="M354" s="191"/>
      <c r="N354" s="191"/>
      <c r="O354" s="191"/>
      <c r="P354" s="191"/>
      <c r="Q354" s="191"/>
    </row>
    <row r="355" spans="1:17" x14ac:dyDescent="0.35">
      <c r="A355" s="191"/>
      <c r="B355" s="191"/>
      <c r="C355" s="191"/>
      <c r="D355" s="191"/>
      <c r="E355" s="191"/>
      <c r="F355" s="191"/>
      <c r="G355" s="191"/>
      <c r="H355" s="191"/>
      <c r="I355" s="191"/>
      <c r="J355" s="191"/>
      <c r="K355" s="191"/>
      <c r="L355" s="191"/>
      <c r="M355" s="191"/>
      <c r="N355" s="191"/>
      <c r="O355" s="191"/>
      <c r="P355" s="191"/>
      <c r="Q355" s="191"/>
    </row>
    <row r="356" spans="1:17" x14ac:dyDescent="0.35">
      <c r="A356" s="191"/>
      <c r="B356" s="191"/>
      <c r="C356" s="191"/>
      <c r="D356" s="191"/>
      <c r="E356" s="191"/>
      <c r="F356" s="191"/>
      <c r="G356" s="191"/>
      <c r="H356" s="191"/>
      <c r="I356" s="191"/>
      <c r="J356" s="191"/>
      <c r="K356" s="191"/>
      <c r="L356" s="191"/>
      <c r="M356" s="191"/>
      <c r="N356" s="191"/>
      <c r="O356" s="191"/>
      <c r="P356" s="191"/>
      <c r="Q356" s="191"/>
    </row>
    <row r="357" spans="1:17" x14ac:dyDescent="0.35">
      <c r="A357" s="191"/>
      <c r="B357" s="191"/>
      <c r="C357" s="191"/>
      <c r="D357" s="191"/>
      <c r="E357" s="191"/>
      <c r="F357" s="191"/>
      <c r="G357" s="191"/>
      <c r="H357" s="191"/>
      <c r="I357" s="191"/>
      <c r="J357" s="191"/>
      <c r="K357" s="191"/>
      <c r="L357" s="191"/>
      <c r="M357" s="191"/>
      <c r="N357" s="191"/>
      <c r="O357" s="191"/>
      <c r="P357" s="191"/>
      <c r="Q357" s="191"/>
    </row>
    <row r="358" spans="1:17" x14ac:dyDescent="0.35">
      <c r="A358" s="191"/>
      <c r="B358" s="191"/>
      <c r="C358" s="191"/>
      <c r="D358" s="191"/>
      <c r="E358" s="191"/>
      <c r="F358" s="191"/>
      <c r="G358" s="191"/>
      <c r="H358" s="191"/>
      <c r="I358" s="191"/>
      <c r="J358" s="191"/>
      <c r="K358" s="191"/>
      <c r="L358" s="191"/>
      <c r="M358" s="191"/>
      <c r="N358" s="191"/>
      <c r="O358" s="191"/>
      <c r="P358" s="191"/>
      <c r="Q358" s="191"/>
    </row>
    <row r="359" spans="1:17" x14ac:dyDescent="0.35">
      <c r="A359" s="191"/>
      <c r="B359" s="191"/>
      <c r="C359" s="191"/>
      <c r="D359" s="191"/>
      <c r="E359" s="191"/>
      <c r="F359" s="191"/>
      <c r="G359" s="191"/>
      <c r="H359" s="191"/>
      <c r="I359" s="191"/>
      <c r="J359" s="191"/>
      <c r="K359" s="191"/>
      <c r="L359" s="191"/>
      <c r="M359" s="191"/>
      <c r="N359" s="191"/>
      <c r="O359" s="191"/>
      <c r="P359" s="191"/>
      <c r="Q359" s="191"/>
    </row>
    <row r="360" spans="1:17" x14ac:dyDescent="0.35">
      <c r="A360" s="191"/>
      <c r="B360" s="191"/>
      <c r="C360" s="191"/>
      <c r="D360" s="191"/>
      <c r="E360" s="191"/>
      <c r="F360" s="191"/>
      <c r="G360" s="191"/>
      <c r="H360" s="191"/>
      <c r="I360" s="191"/>
      <c r="J360" s="191"/>
      <c r="K360" s="191"/>
      <c r="L360" s="191"/>
      <c r="M360" s="191"/>
      <c r="N360" s="191"/>
      <c r="O360" s="191"/>
      <c r="P360" s="191"/>
      <c r="Q360" s="191"/>
    </row>
    <row r="361" spans="1:17" x14ac:dyDescent="0.35">
      <c r="A361" s="191"/>
      <c r="B361" s="191"/>
      <c r="C361" s="191"/>
      <c r="D361" s="191"/>
      <c r="E361" s="191"/>
      <c r="F361" s="191"/>
      <c r="G361" s="191"/>
      <c r="H361" s="191"/>
      <c r="I361" s="191"/>
      <c r="J361" s="191"/>
      <c r="K361" s="191"/>
      <c r="L361" s="191"/>
      <c r="M361" s="191"/>
      <c r="N361" s="191"/>
      <c r="O361" s="191"/>
      <c r="P361" s="191"/>
      <c r="Q361" s="191"/>
    </row>
    <row r="362" spans="1:17" x14ac:dyDescent="0.35">
      <c r="A362" s="191"/>
      <c r="B362" s="191"/>
      <c r="C362" s="191"/>
      <c r="D362" s="191"/>
      <c r="E362" s="191"/>
      <c r="F362" s="191"/>
      <c r="G362" s="191"/>
      <c r="H362" s="191"/>
      <c r="I362" s="191"/>
      <c r="J362" s="191"/>
      <c r="K362" s="191"/>
      <c r="L362" s="191"/>
      <c r="M362" s="191"/>
      <c r="N362" s="191"/>
      <c r="O362" s="191"/>
      <c r="P362" s="191"/>
      <c r="Q362" s="191"/>
    </row>
    <row r="363" spans="1:17" x14ac:dyDescent="0.35">
      <c r="A363" s="191"/>
      <c r="B363" s="191"/>
      <c r="C363" s="191"/>
      <c r="D363" s="191"/>
      <c r="E363" s="191"/>
      <c r="F363" s="191"/>
      <c r="G363" s="191"/>
      <c r="H363" s="191"/>
      <c r="I363" s="191"/>
      <c r="J363" s="191"/>
      <c r="K363" s="191"/>
      <c r="L363" s="191"/>
      <c r="M363" s="191"/>
      <c r="N363" s="191"/>
      <c r="O363" s="191"/>
      <c r="P363" s="191"/>
      <c r="Q363" s="191"/>
    </row>
    <row r="364" spans="1:17" x14ac:dyDescent="0.35">
      <c r="A364" s="191"/>
      <c r="B364" s="191"/>
      <c r="C364" s="191"/>
      <c r="D364" s="191"/>
      <c r="E364" s="191"/>
      <c r="F364" s="191"/>
      <c r="G364" s="191"/>
      <c r="H364" s="191"/>
      <c r="I364" s="191"/>
      <c r="J364" s="191"/>
      <c r="K364" s="191"/>
      <c r="L364" s="191"/>
      <c r="M364" s="191"/>
      <c r="N364" s="191"/>
      <c r="O364" s="191"/>
      <c r="P364" s="191"/>
      <c r="Q364" s="191"/>
    </row>
    <row r="365" spans="1:17" x14ac:dyDescent="0.35">
      <c r="A365" s="191"/>
      <c r="B365" s="191"/>
      <c r="C365" s="191"/>
      <c r="D365" s="191"/>
      <c r="E365" s="191"/>
      <c r="F365" s="191"/>
      <c r="G365" s="191"/>
      <c r="H365" s="191"/>
      <c r="I365" s="191"/>
      <c r="J365" s="191"/>
      <c r="K365" s="191"/>
      <c r="L365" s="191"/>
      <c r="M365" s="191"/>
      <c r="N365" s="191"/>
      <c r="O365" s="191"/>
      <c r="P365" s="191"/>
      <c r="Q365" s="191"/>
    </row>
    <row r="366" spans="1:17" x14ac:dyDescent="0.35">
      <c r="A366" s="191"/>
      <c r="B366" s="191"/>
      <c r="C366" s="191"/>
      <c r="D366" s="191"/>
      <c r="E366" s="191"/>
      <c r="F366" s="191"/>
      <c r="G366" s="191"/>
      <c r="H366" s="191"/>
      <c r="I366" s="191"/>
      <c r="J366" s="191"/>
      <c r="K366" s="191"/>
      <c r="L366" s="191"/>
      <c r="M366" s="191"/>
      <c r="N366" s="191"/>
      <c r="O366" s="191"/>
      <c r="P366" s="191"/>
      <c r="Q366" s="191"/>
    </row>
    <row r="367" spans="1:17" x14ac:dyDescent="0.35">
      <c r="A367" s="191"/>
      <c r="B367" s="191"/>
      <c r="C367" s="191"/>
      <c r="D367" s="191"/>
      <c r="E367" s="191"/>
      <c r="F367" s="191"/>
      <c r="G367" s="191"/>
      <c r="H367" s="191"/>
      <c r="I367" s="191"/>
      <c r="J367" s="191"/>
      <c r="K367" s="191"/>
      <c r="L367" s="191"/>
      <c r="M367" s="191"/>
      <c r="N367" s="191"/>
      <c r="O367" s="191"/>
      <c r="P367" s="191"/>
      <c r="Q367" s="191"/>
    </row>
    <row r="368" spans="1:17" x14ac:dyDescent="0.35">
      <c r="A368" s="191"/>
      <c r="B368" s="191"/>
      <c r="C368" s="191"/>
      <c r="D368" s="191"/>
      <c r="E368" s="191"/>
      <c r="F368" s="191"/>
      <c r="G368" s="191"/>
      <c r="H368" s="191"/>
      <c r="I368" s="191"/>
      <c r="J368" s="191"/>
      <c r="K368" s="191"/>
      <c r="L368" s="191"/>
      <c r="M368" s="191"/>
      <c r="N368" s="191"/>
      <c r="O368" s="191"/>
      <c r="P368" s="191"/>
      <c r="Q368" s="191"/>
    </row>
    <row r="369" spans="1:17" x14ac:dyDescent="0.35">
      <c r="A369" s="191"/>
      <c r="B369" s="191"/>
      <c r="C369" s="191"/>
      <c r="D369" s="191"/>
      <c r="E369" s="191"/>
      <c r="F369" s="191"/>
      <c r="G369" s="191"/>
      <c r="H369" s="191"/>
      <c r="I369" s="191"/>
      <c r="J369" s="191"/>
      <c r="K369" s="191"/>
      <c r="L369" s="191"/>
      <c r="M369" s="191"/>
      <c r="N369" s="191"/>
      <c r="O369" s="191"/>
      <c r="P369" s="191"/>
      <c r="Q369" s="191"/>
    </row>
    <row r="370" spans="1:17" x14ac:dyDescent="0.35">
      <c r="A370" s="191"/>
      <c r="B370" s="191"/>
      <c r="C370" s="191"/>
      <c r="D370" s="191"/>
      <c r="E370" s="191"/>
      <c r="F370" s="191"/>
      <c r="G370" s="191"/>
      <c r="H370" s="191"/>
      <c r="I370" s="191"/>
      <c r="J370" s="191"/>
      <c r="K370" s="191"/>
      <c r="L370" s="191"/>
      <c r="M370" s="191"/>
      <c r="N370" s="191"/>
      <c r="O370" s="191"/>
      <c r="P370" s="191"/>
      <c r="Q370" s="191"/>
    </row>
    <row r="371" spans="1:17" x14ac:dyDescent="0.35">
      <c r="A371" s="191"/>
      <c r="B371" s="191"/>
      <c r="C371" s="191"/>
      <c r="D371" s="191"/>
      <c r="E371" s="191"/>
      <c r="F371" s="191"/>
      <c r="G371" s="191"/>
      <c r="H371" s="191"/>
      <c r="I371" s="191"/>
      <c r="J371" s="191"/>
      <c r="K371" s="191"/>
      <c r="L371" s="191"/>
      <c r="M371" s="191"/>
      <c r="N371" s="191"/>
      <c r="O371" s="191"/>
      <c r="P371" s="191"/>
      <c r="Q371" s="191"/>
    </row>
    <row r="372" spans="1:17" x14ac:dyDescent="0.35">
      <c r="A372" s="191"/>
      <c r="B372" s="191"/>
      <c r="C372" s="191"/>
      <c r="D372" s="191"/>
      <c r="E372" s="191"/>
      <c r="F372" s="191"/>
      <c r="G372" s="191"/>
      <c r="H372" s="191"/>
      <c r="I372" s="191"/>
      <c r="J372" s="191"/>
      <c r="K372" s="191"/>
      <c r="L372" s="191"/>
      <c r="M372" s="191"/>
      <c r="N372" s="191"/>
      <c r="O372" s="191"/>
      <c r="P372" s="191"/>
      <c r="Q372" s="191"/>
    </row>
    <row r="373" spans="1:17" x14ac:dyDescent="0.35">
      <c r="A373" s="191"/>
      <c r="B373" s="191"/>
      <c r="C373" s="191"/>
      <c r="D373" s="191"/>
      <c r="E373" s="191"/>
      <c r="F373" s="191"/>
      <c r="G373" s="191"/>
      <c r="H373" s="191"/>
      <c r="I373" s="191"/>
      <c r="J373" s="191"/>
      <c r="K373" s="191"/>
      <c r="L373" s="191"/>
      <c r="M373" s="191"/>
      <c r="N373" s="191"/>
      <c r="O373" s="191"/>
      <c r="P373" s="191"/>
      <c r="Q373" s="191"/>
    </row>
    <row r="374" spans="1:17" x14ac:dyDescent="0.35">
      <c r="A374" s="191"/>
      <c r="B374" s="191"/>
      <c r="C374" s="191"/>
      <c r="D374" s="191"/>
      <c r="E374" s="191"/>
      <c r="F374" s="191"/>
      <c r="G374" s="191"/>
      <c r="H374" s="191"/>
      <c r="I374" s="191"/>
      <c r="J374" s="191"/>
      <c r="K374" s="191"/>
      <c r="L374" s="191"/>
      <c r="M374" s="191"/>
      <c r="N374" s="191"/>
      <c r="O374" s="191"/>
      <c r="P374" s="191"/>
      <c r="Q374" s="191"/>
    </row>
    <row r="375" spans="1:17" x14ac:dyDescent="0.35">
      <c r="A375" s="191"/>
      <c r="B375" s="191"/>
      <c r="C375" s="191"/>
      <c r="D375" s="191"/>
      <c r="E375" s="191"/>
      <c r="F375" s="191"/>
      <c r="G375" s="191"/>
      <c r="H375" s="191"/>
      <c r="I375" s="191"/>
      <c r="J375" s="191"/>
      <c r="K375" s="191"/>
      <c r="L375" s="191"/>
      <c r="M375" s="191"/>
      <c r="N375" s="191"/>
      <c r="O375" s="191"/>
      <c r="P375" s="191"/>
      <c r="Q375" s="191"/>
    </row>
    <row r="376" spans="1:17" x14ac:dyDescent="0.35">
      <c r="A376" s="191"/>
      <c r="B376" s="191"/>
      <c r="C376" s="191"/>
      <c r="D376" s="191"/>
      <c r="E376" s="191"/>
      <c r="F376" s="191"/>
      <c r="G376" s="191"/>
      <c r="H376" s="191"/>
      <c r="I376" s="191"/>
      <c r="J376" s="191"/>
      <c r="K376" s="191"/>
      <c r="L376" s="191"/>
      <c r="M376" s="191"/>
      <c r="N376" s="191"/>
      <c r="O376" s="191"/>
      <c r="P376" s="191"/>
      <c r="Q376" s="191"/>
    </row>
    <row r="377" spans="1:17" x14ac:dyDescent="0.35">
      <c r="A377" s="191"/>
      <c r="B377" s="191"/>
      <c r="C377" s="191"/>
      <c r="D377" s="191"/>
      <c r="E377" s="191"/>
      <c r="F377" s="191"/>
      <c r="G377" s="191"/>
      <c r="H377" s="191"/>
      <c r="I377" s="191"/>
      <c r="J377" s="191"/>
      <c r="K377" s="191"/>
      <c r="L377" s="191"/>
      <c r="M377" s="191"/>
      <c r="N377" s="191"/>
      <c r="O377" s="191"/>
      <c r="P377" s="191"/>
      <c r="Q377" s="191"/>
    </row>
    <row r="378" spans="1:17" x14ac:dyDescent="0.35">
      <c r="A378" s="191"/>
      <c r="B378" s="191"/>
      <c r="C378" s="191"/>
      <c r="D378" s="191"/>
      <c r="E378" s="191"/>
      <c r="F378" s="191"/>
      <c r="G378" s="191"/>
      <c r="H378" s="191"/>
      <c r="I378" s="191"/>
      <c r="J378" s="191"/>
      <c r="K378" s="191"/>
      <c r="L378" s="191"/>
      <c r="M378" s="191"/>
      <c r="N378" s="191"/>
      <c r="O378" s="191"/>
      <c r="P378" s="191"/>
      <c r="Q378" s="191"/>
    </row>
    <row r="379" spans="1:17" x14ac:dyDescent="0.35">
      <c r="A379" s="191"/>
      <c r="B379" s="191"/>
      <c r="C379" s="191"/>
      <c r="D379" s="191"/>
      <c r="E379" s="191"/>
      <c r="F379" s="191"/>
      <c r="G379" s="191"/>
      <c r="H379" s="191"/>
      <c r="I379" s="191"/>
      <c r="J379" s="191"/>
      <c r="K379" s="191"/>
      <c r="L379" s="191"/>
      <c r="M379" s="191"/>
      <c r="N379" s="191"/>
      <c r="O379" s="191"/>
      <c r="P379" s="191"/>
      <c r="Q379" s="191"/>
    </row>
    <row r="380" spans="1:17" x14ac:dyDescent="0.35">
      <c r="A380" s="191"/>
      <c r="B380" s="191"/>
      <c r="C380" s="191"/>
      <c r="D380" s="191"/>
      <c r="E380" s="191"/>
      <c r="F380" s="191"/>
      <c r="G380" s="191"/>
      <c r="H380" s="191"/>
      <c r="I380" s="191"/>
      <c r="J380" s="191"/>
      <c r="K380" s="191"/>
      <c r="L380" s="191"/>
      <c r="M380" s="191"/>
      <c r="N380" s="191"/>
      <c r="O380" s="191"/>
      <c r="P380" s="191"/>
      <c r="Q380" s="191"/>
    </row>
    <row r="381" spans="1:17" x14ac:dyDescent="0.35">
      <c r="A381" s="191"/>
      <c r="B381" s="191"/>
      <c r="C381" s="191"/>
      <c r="D381" s="191"/>
      <c r="E381" s="191"/>
      <c r="F381" s="191"/>
      <c r="G381" s="191"/>
      <c r="H381" s="191"/>
      <c r="I381" s="191"/>
      <c r="J381" s="191"/>
      <c r="K381" s="191"/>
      <c r="L381" s="191"/>
      <c r="M381" s="191"/>
      <c r="N381" s="191"/>
      <c r="O381" s="191"/>
      <c r="P381" s="191"/>
      <c r="Q381" s="191"/>
    </row>
    <row r="382" spans="1:17" x14ac:dyDescent="0.35">
      <c r="A382" s="191"/>
      <c r="B382" s="191"/>
      <c r="C382" s="191"/>
      <c r="D382" s="191"/>
      <c r="E382" s="191"/>
      <c r="F382" s="191"/>
      <c r="G382" s="191"/>
      <c r="H382" s="191"/>
      <c r="I382" s="191"/>
      <c r="J382" s="191"/>
      <c r="K382" s="191"/>
      <c r="L382" s="191"/>
      <c r="M382" s="191"/>
      <c r="N382" s="191"/>
      <c r="O382" s="191"/>
      <c r="P382" s="191"/>
      <c r="Q382" s="191"/>
    </row>
    <row r="383" spans="1:17" x14ac:dyDescent="0.35">
      <c r="A383" s="191"/>
      <c r="B383" s="191"/>
      <c r="C383" s="191"/>
      <c r="D383" s="191"/>
      <c r="E383" s="191"/>
      <c r="F383" s="191"/>
      <c r="G383" s="191"/>
      <c r="H383" s="191"/>
      <c r="I383" s="191"/>
      <c r="J383" s="191"/>
      <c r="K383" s="191"/>
      <c r="L383" s="191"/>
      <c r="M383" s="191"/>
      <c r="N383" s="191"/>
      <c r="O383" s="191"/>
      <c r="P383" s="191"/>
      <c r="Q383" s="191"/>
    </row>
    <row r="384" spans="1:17" x14ac:dyDescent="0.35">
      <c r="A384" s="191"/>
      <c r="B384" s="191"/>
      <c r="C384" s="191"/>
      <c r="D384" s="191"/>
      <c r="E384" s="191"/>
      <c r="F384" s="191"/>
      <c r="G384" s="191"/>
      <c r="H384" s="191"/>
      <c r="I384" s="191"/>
      <c r="J384" s="191"/>
      <c r="K384" s="191"/>
      <c r="L384" s="191"/>
      <c r="M384" s="191"/>
      <c r="N384" s="191"/>
      <c r="O384" s="191"/>
      <c r="P384" s="191"/>
      <c r="Q384" s="191"/>
    </row>
    <row r="385" spans="1:17" x14ac:dyDescent="0.35">
      <c r="A385" s="191"/>
      <c r="B385" s="191"/>
      <c r="C385" s="191"/>
      <c r="D385" s="191"/>
      <c r="E385" s="191"/>
      <c r="F385" s="191"/>
      <c r="G385" s="191"/>
      <c r="H385" s="191"/>
      <c r="I385" s="191"/>
      <c r="J385" s="191"/>
      <c r="K385" s="191"/>
      <c r="L385" s="191"/>
      <c r="M385" s="191"/>
      <c r="N385" s="191"/>
      <c r="O385" s="191"/>
      <c r="P385" s="191"/>
      <c r="Q385" s="191"/>
    </row>
    <row r="386" spans="1:17" x14ac:dyDescent="0.35">
      <c r="A386" s="191"/>
      <c r="B386" s="191"/>
      <c r="C386" s="191"/>
      <c r="D386" s="191"/>
      <c r="E386" s="191"/>
      <c r="F386" s="191"/>
      <c r="G386" s="191"/>
      <c r="H386" s="191"/>
      <c r="I386" s="191"/>
      <c r="J386" s="191"/>
      <c r="K386" s="191"/>
      <c r="L386" s="191"/>
      <c r="M386" s="191"/>
      <c r="N386" s="191"/>
      <c r="O386" s="191"/>
      <c r="P386" s="191"/>
      <c r="Q386" s="191"/>
    </row>
    <row r="387" spans="1:17" x14ac:dyDescent="0.35">
      <c r="A387" s="191"/>
      <c r="B387" s="191"/>
      <c r="C387" s="191"/>
      <c r="D387" s="191"/>
      <c r="E387" s="191"/>
      <c r="F387" s="191"/>
      <c r="G387" s="191"/>
      <c r="H387" s="191"/>
      <c r="I387" s="191"/>
      <c r="J387" s="191"/>
      <c r="K387" s="191"/>
      <c r="L387" s="191"/>
      <c r="M387" s="191"/>
      <c r="N387" s="191"/>
      <c r="O387" s="191"/>
      <c r="P387" s="191"/>
      <c r="Q387" s="191"/>
    </row>
    <row r="388" spans="1:17" x14ac:dyDescent="0.35">
      <c r="A388" s="191"/>
      <c r="B388" s="191"/>
      <c r="C388" s="191"/>
      <c r="D388" s="191"/>
      <c r="E388" s="191"/>
      <c r="F388" s="191"/>
      <c r="G388" s="191"/>
      <c r="H388" s="191"/>
      <c r="I388" s="191"/>
      <c r="J388" s="191"/>
      <c r="K388" s="191"/>
      <c r="L388" s="191"/>
      <c r="M388" s="191"/>
      <c r="N388" s="191"/>
      <c r="O388" s="191"/>
      <c r="P388" s="191"/>
      <c r="Q388" s="191"/>
    </row>
    <row r="389" spans="1:17" x14ac:dyDescent="0.35">
      <c r="A389" s="191"/>
      <c r="B389" s="191"/>
      <c r="C389" s="191"/>
      <c r="D389" s="191"/>
      <c r="E389" s="191"/>
      <c r="F389" s="191"/>
      <c r="G389" s="191"/>
      <c r="H389" s="191"/>
      <c r="I389" s="191"/>
      <c r="J389" s="191"/>
      <c r="K389" s="191"/>
      <c r="L389" s="191"/>
      <c r="M389" s="191"/>
      <c r="N389" s="191"/>
      <c r="O389" s="191"/>
      <c r="P389" s="191"/>
      <c r="Q389" s="191"/>
    </row>
    <row r="390" spans="1:17" x14ac:dyDescent="0.35">
      <c r="A390" s="191"/>
      <c r="B390" s="191"/>
      <c r="C390" s="191"/>
      <c r="D390" s="191"/>
      <c r="E390" s="191"/>
      <c r="F390" s="191"/>
      <c r="G390" s="191"/>
      <c r="H390" s="191"/>
      <c r="I390" s="191"/>
      <c r="J390" s="191"/>
      <c r="K390" s="191"/>
      <c r="L390" s="191"/>
      <c r="M390" s="191"/>
      <c r="N390" s="191"/>
      <c r="O390" s="191"/>
      <c r="P390" s="191"/>
      <c r="Q390" s="191"/>
    </row>
    <row r="391" spans="1:17" x14ac:dyDescent="0.35">
      <c r="A391" s="191"/>
      <c r="B391" s="191"/>
      <c r="C391" s="191"/>
      <c r="D391" s="191"/>
      <c r="E391" s="191"/>
      <c r="F391" s="191"/>
      <c r="G391" s="191"/>
      <c r="H391" s="191"/>
      <c r="I391" s="191"/>
      <c r="J391" s="191"/>
      <c r="K391" s="191"/>
      <c r="L391" s="191"/>
      <c r="M391" s="191"/>
      <c r="N391" s="191"/>
      <c r="O391" s="191"/>
      <c r="P391" s="191"/>
      <c r="Q391" s="191"/>
    </row>
    <row r="392" spans="1:17" x14ac:dyDescent="0.35">
      <c r="A392" s="191"/>
      <c r="B392" s="191"/>
      <c r="C392" s="191"/>
      <c r="D392" s="191"/>
      <c r="E392" s="191"/>
      <c r="F392" s="191"/>
      <c r="G392" s="191"/>
      <c r="H392" s="191"/>
      <c r="I392" s="191"/>
      <c r="J392" s="191"/>
      <c r="K392" s="191"/>
      <c r="L392" s="191"/>
      <c r="M392" s="191"/>
      <c r="N392" s="191"/>
      <c r="O392" s="191"/>
      <c r="P392" s="191"/>
      <c r="Q392" s="191"/>
    </row>
    <row r="393" spans="1:17" x14ac:dyDescent="0.35">
      <c r="A393" s="191"/>
      <c r="B393" s="191"/>
      <c r="C393" s="191"/>
      <c r="D393" s="191"/>
      <c r="E393" s="191"/>
      <c r="F393" s="191"/>
      <c r="G393" s="191"/>
      <c r="H393" s="191"/>
      <c r="I393" s="191"/>
      <c r="J393" s="191"/>
      <c r="K393" s="191"/>
      <c r="L393" s="191"/>
      <c r="M393" s="191"/>
      <c r="N393" s="191"/>
      <c r="O393" s="191"/>
      <c r="P393" s="191"/>
      <c r="Q393" s="191"/>
    </row>
    <row r="394" spans="1:17" x14ac:dyDescent="0.35">
      <c r="A394" s="191"/>
      <c r="B394" s="191"/>
      <c r="C394" s="191"/>
      <c r="D394" s="191"/>
      <c r="E394" s="191"/>
      <c r="F394" s="191"/>
      <c r="G394" s="191"/>
      <c r="H394" s="191"/>
      <c r="I394" s="191"/>
      <c r="J394" s="191"/>
      <c r="K394" s="191"/>
      <c r="L394" s="191"/>
      <c r="M394" s="191"/>
      <c r="N394" s="191"/>
      <c r="O394" s="191"/>
      <c r="P394" s="191"/>
      <c r="Q394" s="191"/>
    </row>
    <row r="395" spans="1:17" x14ac:dyDescent="0.35">
      <c r="A395" s="191"/>
      <c r="B395" s="191"/>
      <c r="C395" s="191"/>
      <c r="D395" s="191"/>
      <c r="E395" s="191"/>
      <c r="F395" s="191"/>
      <c r="G395" s="191"/>
      <c r="H395" s="191"/>
      <c r="I395" s="191"/>
      <c r="J395" s="191"/>
      <c r="K395" s="191"/>
      <c r="L395" s="191"/>
      <c r="M395" s="191"/>
      <c r="N395" s="191"/>
      <c r="O395" s="191"/>
      <c r="P395" s="191"/>
      <c r="Q395" s="191"/>
    </row>
    <row r="396" spans="1:17" x14ac:dyDescent="0.35">
      <c r="A396" s="191"/>
      <c r="B396" s="191"/>
      <c r="C396" s="191"/>
      <c r="D396" s="191"/>
      <c r="E396" s="191"/>
      <c r="F396" s="191"/>
      <c r="G396" s="191"/>
      <c r="H396" s="191"/>
      <c r="I396" s="191"/>
      <c r="J396" s="191"/>
      <c r="K396" s="191"/>
      <c r="L396" s="191"/>
      <c r="M396" s="191"/>
      <c r="N396" s="191"/>
      <c r="O396" s="191"/>
      <c r="P396" s="191"/>
      <c r="Q396" s="191"/>
    </row>
    <row r="397" spans="1:17" x14ac:dyDescent="0.35">
      <c r="A397" s="191"/>
      <c r="B397" s="191"/>
      <c r="C397" s="191"/>
      <c r="D397" s="191"/>
      <c r="E397" s="191"/>
      <c r="F397" s="191"/>
      <c r="G397" s="191"/>
      <c r="H397" s="191"/>
      <c r="I397" s="191"/>
      <c r="J397" s="191"/>
      <c r="K397" s="191"/>
      <c r="L397" s="191"/>
      <c r="M397" s="191"/>
      <c r="N397" s="191"/>
      <c r="O397" s="191"/>
      <c r="P397" s="191"/>
      <c r="Q397" s="191"/>
    </row>
    <row r="398" spans="1:17" x14ac:dyDescent="0.35">
      <c r="A398" s="191"/>
      <c r="B398" s="191"/>
      <c r="C398" s="191"/>
      <c r="D398" s="191"/>
      <c r="E398" s="191"/>
      <c r="F398" s="191"/>
      <c r="G398" s="191"/>
      <c r="H398" s="191"/>
      <c r="I398" s="191"/>
      <c r="J398" s="191"/>
      <c r="K398" s="191"/>
      <c r="L398" s="191"/>
      <c r="M398" s="191"/>
      <c r="N398" s="191"/>
      <c r="O398" s="191"/>
      <c r="P398" s="191"/>
      <c r="Q398" s="191"/>
    </row>
    <row r="399" spans="1:17" x14ac:dyDescent="0.35">
      <c r="A399" s="191"/>
      <c r="B399" s="191"/>
      <c r="C399" s="191"/>
      <c r="D399" s="191"/>
      <c r="E399" s="191"/>
      <c r="F399" s="191"/>
      <c r="G399" s="191"/>
      <c r="H399" s="191"/>
      <c r="I399" s="191"/>
      <c r="J399" s="191"/>
      <c r="K399" s="191"/>
      <c r="L399" s="191"/>
      <c r="M399" s="191"/>
      <c r="N399" s="191"/>
      <c r="O399" s="191"/>
      <c r="P399" s="191"/>
      <c r="Q399" s="191"/>
    </row>
    <row r="400" spans="1:17" x14ac:dyDescent="0.35">
      <c r="A400" s="191"/>
      <c r="B400" s="191"/>
      <c r="C400" s="191"/>
      <c r="D400" s="191"/>
      <c r="E400" s="191"/>
      <c r="F400" s="191"/>
      <c r="G400" s="191"/>
      <c r="H400" s="191"/>
      <c r="I400" s="191"/>
      <c r="J400" s="191"/>
      <c r="K400" s="191"/>
      <c r="L400" s="191"/>
      <c r="M400" s="191"/>
      <c r="N400" s="191"/>
      <c r="O400" s="191"/>
      <c r="P400" s="191"/>
      <c r="Q400" s="191"/>
    </row>
    <row r="401" spans="1:17" x14ac:dyDescent="0.35">
      <c r="A401" s="191"/>
      <c r="B401" s="191"/>
      <c r="C401" s="191"/>
      <c r="D401" s="191"/>
      <c r="E401" s="191"/>
      <c r="F401" s="191"/>
      <c r="G401" s="191"/>
      <c r="H401" s="191"/>
      <c r="I401" s="191"/>
      <c r="J401" s="191"/>
      <c r="K401" s="191"/>
      <c r="L401" s="191"/>
      <c r="M401" s="191"/>
      <c r="N401" s="191"/>
      <c r="O401" s="191"/>
      <c r="P401" s="191"/>
      <c r="Q401" s="191"/>
    </row>
    <row r="402" spans="1:17" x14ac:dyDescent="0.35">
      <c r="A402" s="191"/>
      <c r="B402" s="191"/>
      <c r="C402" s="191"/>
      <c r="D402" s="191"/>
      <c r="E402" s="191"/>
      <c r="F402" s="191"/>
      <c r="G402" s="191"/>
      <c r="H402" s="191"/>
      <c r="I402" s="191"/>
      <c r="J402" s="191"/>
      <c r="K402" s="191"/>
      <c r="L402" s="191"/>
      <c r="M402" s="191"/>
      <c r="N402" s="191"/>
      <c r="O402" s="191"/>
      <c r="P402" s="191"/>
      <c r="Q402" s="191"/>
    </row>
    <row r="403" spans="1:17" x14ac:dyDescent="0.35">
      <c r="A403" s="191"/>
      <c r="B403" s="191"/>
      <c r="C403" s="191"/>
      <c r="D403" s="191"/>
      <c r="E403" s="191"/>
      <c r="F403" s="191"/>
      <c r="G403" s="191"/>
      <c r="H403" s="191"/>
      <c r="I403" s="191"/>
      <c r="J403" s="191"/>
      <c r="K403" s="191"/>
      <c r="L403" s="191"/>
      <c r="M403" s="191"/>
      <c r="N403" s="191"/>
      <c r="O403" s="191"/>
      <c r="P403" s="191"/>
      <c r="Q403" s="191"/>
    </row>
    <row r="404" spans="1:17" x14ac:dyDescent="0.35">
      <c r="A404" s="191"/>
      <c r="B404" s="191"/>
      <c r="C404" s="191"/>
      <c r="D404" s="191"/>
      <c r="E404" s="191"/>
      <c r="F404" s="191"/>
      <c r="G404" s="191"/>
      <c r="H404" s="191"/>
      <c r="I404" s="191"/>
      <c r="J404" s="191"/>
      <c r="K404" s="191"/>
      <c r="L404" s="191"/>
      <c r="M404" s="191"/>
      <c r="N404" s="191"/>
      <c r="O404" s="191"/>
      <c r="P404" s="191"/>
      <c r="Q404" s="191"/>
    </row>
    <row r="405" spans="1:17" x14ac:dyDescent="0.35">
      <c r="A405" s="191"/>
      <c r="B405" s="191"/>
      <c r="C405" s="191"/>
      <c r="D405" s="191"/>
      <c r="E405" s="191"/>
      <c r="F405" s="191"/>
      <c r="G405" s="191"/>
      <c r="H405" s="191"/>
      <c r="I405" s="191"/>
      <c r="J405" s="191"/>
      <c r="K405" s="191"/>
      <c r="L405" s="191"/>
      <c r="M405" s="191"/>
      <c r="N405" s="191"/>
      <c r="O405" s="191"/>
      <c r="P405" s="191"/>
    </row>
    <row r="406" spans="1:17" x14ac:dyDescent="0.35">
      <c r="A406" s="191"/>
      <c r="B406" s="191"/>
      <c r="C406" s="191"/>
      <c r="D406" s="191"/>
      <c r="E406" s="191"/>
      <c r="F406" s="191"/>
      <c r="G406" s="191"/>
      <c r="H406" s="191"/>
      <c r="I406" s="191"/>
      <c r="J406" s="191"/>
      <c r="K406" s="191"/>
      <c r="L406" s="191"/>
      <c r="M406" s="191"/>
      <c r="N406" s="191"/>
      <c r="O406" s="191"/>
      <c r="P406" s="191"/>
    </row>
  </sheetData>
  <conditionalFormatting sqref="B5:K204">
    <cfRule type="cellIs" dxfId="11" priority="1" stopIfTrue="1" operator="equal">
      <formula>0</formula>
    </cfRule>
  </conditionalFormatting>
  <conditionalFormatting sqref="B5:K203">
    <cfRule type="cellIs" priority="2" stopIfTrue="1" operator="equal">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CFFFF"/>
  </sheetPr>
  <dimension ref="A2:Q106"/>
  <sheetViews>
    <sheetView showGridLines="0" showRowColHeaders="0" zoomScale="90" zoomScaleNormal="90" workbookViewId="0">
      <pane xSplit="1" ySplit="4" topLeftCell="B35" activePane="bottomRight" state="frozen"/>
      <selection activeCell="A5" sqref="A5"/>
      <selection pane="topRight" activeCell="A5" sqref="A5"/>
      <selection pane="bottomLeft" activeCell="A5" sqref="A5"/>
      <selection pane="bottomRight" activeCell="A4" sqref="A4:I74"/>
    </sheetView>
  </sheetViews>
  <sheetFormatPr defaultColWidth="0" defaultRowHeight="14.5" x14ac:dyDescent="0.35"/>
  <cols>
    <col min="1" max="1" width="30.6328125" style="81" customWidth="1"/>
    <col min="2" max="14" width="10.6328125" style="81" customWidth="1"/>
    <col min="15" max="16" width="8.90625" style="81" customWidth="1"/>
    <col min="17" max="17" width="2.81640625" style="81" customWidth="1"/>
    <col min="18" max="16384" width="8.90625" style="81" hidden="1"/>
  </cols>
  <sheetData>
    <row r="2" spans="1:14" ht="15.5" x14ac:dyDescent="0.35">
      <c r="A2" s="78" t="s">
        <v>170</v>
      </c>
    </row>
    <row r="4" spans="1:14" s="99" customFormat="1" x14ac:dyDescent="0.35">
      <c r="A4" s="204"/>
      <c r="B4" s="204"/>
      <c r="C4" s="204"/>
      <c r="D4" s="204"/>
      <c r="E4" s="204"/>
      <c r="F4" s="204"/>
      <c r="G4" s="204"/>
      <c r="H4" s="204"/>
      <c r="I4" s="204"/>
      <c r="J4" s="82"/>
      <c r="K4" s="82"/>
      <c r="L4" s="82"/>
      <c r="M4" s="82"/>
      <c r="N4" s="82"/>
    </row>
    <row r="5" spans="1:14" s="99" customFormat="1" x14ac:dyDescent="0.35">
      <c r="A5" s="204"/>
      <c r="B5" s="206"/>
      <c r="C5" s="206"/>
      <c r="D5" s="206"/>
      <c r="E5" s="205"/>
      <c r="F5" s="205"/>
      <c r="G5" s="205"/>
      <c r="H5" s="206"/>
      <c r="I5" s="206"/>
      <c r="J5" s="100"/>
      <c r="K5" s="100"/>
      <c r="L5" s="100"/>
      <c r="M5" s="82"/>
      <c r="N5" s="82"/>
    </row>
    <row r="6" spans="1:14" s="99" customFormat="1" x14ac:dyDescent="0.35">
      <c r="A6" s="82"/>
      <c r="B6" s="83"/>
      <c r="C6" s="83"/>
      <c r="D6" s="83"/>
      <c r="E6" s="205"/>
      <c r="F6" s="205"/>
      <c r="G6" s="205"/>
      <c r="H6" s="206"/>
      <c r="I6" s="206"/>
      <c r="J6" s="100"/>
      <c r="K6" s="100"/>
      <c r="L6" s="100"/>
      <c r="M6" s="82"/>
      <c r="N6" s="82"/>
    </row>
    <row r="7" spans="1:14" s="99" customFormat="1" x14ac:dyDescent="0.35">
      <c r="A7" s="207"/>
      <c r="B7" s="208"/>
      <c r="C7" s="208"/>
      <c r="D7" s="208"/>
      <c r="E7" s="209"/>
      <c r="F7" s="209"/>
      <c r="G7" s="209"/>
      <c r="H7" s="208"/>
      <c r="I7" s="208"/>
      <c r="J7" s="100"/>
      <c r="K7" s="100"/>
      <c r="L7" s="100"/>
      <c r="M7" s="82"/>
      <c r="N7" s="82"/>
    </row>
    <row r="8" spans="1:14" s="99" customFormat="1" x14ac:dyDescent="0.35">
      <c r="A8" s="82"/>
      <c r="B8" s="83"/>
      <c r="C8" s="83"/>
      <c r="D8" s="83"/>
      <c r="E8" s="205"/>
      <c r="F8" s="205"/>
      <c r="G8" s="205"/>
      <c r="H8" s="206"/>
      <c r="I8" s="206"/>
      <c r="J8" s="100"/>
      <c r="K8" s="100"/>
      <c r="L8" s="100"/>
      <c r="M8" s="82"/>
      <c r="N8" s="82"/>
    </row>
    <row r="9" spans="1:14" s="99" customFormat="1" x14ac:dyDescent="0.35">
      <c r="A9" s="82"/>
      <c r="B9" s="83"/>
      <c r="C9" s="83"/>
      <c r="D9" s="83"/>
      <c r="E9" s="205"/>
      <c r="F9" s="205"/>
      <c r="G9" s="205"/>
      <c r="H9" s="206"/>
      <c r="I9" s="206"/>
      <c r="J9" s="100"/>
      <c r="K9" s="100"/>
      <c r="L9" s="100"/>
      <c r="M9" s="82"/>
      <c r="N9" s="82"/>
    </row>
    <row r="10" spans="1:14" s="99" customFormat="1" x14ac:dyDescent="0.35">
      <c r="A10" s="82"/>
      <c r="B10" s="83"/>
      <c r="C10" s="83"/>
      <c r="D10" s="83"/>
      <c r="E10" s="205"/>
      <c r="F10" s="205"/>
      <c r="G10" s="205"/>
      <c r="H10" s="206"/>
      <c r="I10" s="206"/>
      <c r="J10" s="100"/>
      <c r="K10" s="100"/>
      <c r="L10" s="100"/>
      <c r="M10" s="82"/>
      <c r="N10" s="82"/>
    </row>
    <row r="11" spans="1:14" s="99" customFormat="1" x14ac:dyDescent="0.35">
      <c r="A11" s="82"/>
      <c r="B11" s="83"/>
      <c r="C11" s="83"/>
      <c r="D11" s="83"/>
      <c r="E11" s="205"/>
      <c r="F11" s="205"/>
      <c r="G11" s="205"/>
      <c r="H11" s="206"/>
      <c r="I11" s="206"/>
      <c r="J11" s="100"/>
      <c r="K11" s="100"/>
      <c r="L11" s="100"/>
      <c r="M11" s="82"/>
      <c r="N11" s="82"/>
    </row>
    <row r="12" spans="1:14" s="99" customFormat="1" x14ac:dyDescent="0.35">
      <c r="A12" s="82"/>
      <c r="B12" s="83"/>
      <c r="C12" s="83"/>
      <c r="D12" s="83"/>
      <c r="E12" s="205"/>
      <c r="F12" s="205"/>
      <c r="G12" s="205"/>
      <c r="H12" s="206"/>
      <c r="I12" s="206"/>
      <c r="J12" s="100"/>
      <c r="K12" s="100"/>
      <c r="L12" s="100"/>
      <c r="M12" s="82"/>
      <c r="N12" s="82"/>
    </row>
    <row r="13" spans="1:14" s="99" customFormat="1" x14ac:dyDescent="0.35">
      <c r="A13" s="82"/>
      <c r="B13" s="83"/>
      <c r="C13" s="83"/>
      <c r="D13" s="83"/>
      <c r="E13" s="205"/>
      <c r="F13" s="205"/>
      <c r="G13" s="205"/>
      <c r="H13" s="206"/>
      <c r="I13" s="206"/>
      <c r="J13" s="100"/>
      <c r="K13" s="100"/>
      <c r="L13" s="100"/>
      <c r="M13" s="82"/>
      <c r="N13" s="82"/>
    </row>
    <row r="14" spans="1:14" s="99" customFormat="1" x14ac:dyDescent="0.35">
      <c r="A14" s="82"/>
      <c r="B14" s="83"/>
      <c r="C14" s="83"/>
      <c r="D14" s="83"/>
      <c r="E14" s="205"/>
      <c r="F14" s="205"/>
      <c r="G14" s="205"/>
      <c r="H14" s="206"/>
      <c r="I14" s="206"/>
      <c r="J14" s="100"/>
      <c r="K14" s="100"/>
      <c r="L14" s="100"/>
      <c r="M14" s="82"/>
      <c r="N14" s="82"/>
    </row>
    <row r="15" spans="1:14" s="99" customFormat="1" x14ac:dyDescent="0.35">
      <c r="A15" s="82"/>
      <c r="B15" s="83"/>
      <c r="C15" s="83"/>
      <c r="D15" s="83"/>
      <c r="E15" s="205"/>
      <c r="F15" s="205"/>
      <c r="G15" s="205"/>
      <c r="H15" s="206"/>
      <c r="I15" s="206"/>
      <c r="J15" s="100"/>
      <c r="K15" s="100"/>
      <c r="L15" s="100"/>
      <c r="M15" s="82"/>
      <c r="N15" s="82"/>
    </row>
    <row r="16" spans="1:14" s="99" customFormat="1" x14ac:dyDescent="0.35">
      <c r="A16" s="82"/>
      <c r="B16" s="83"/>
      <c r="C16" s="83"/>
      <c r="D16" s="83"/>
      <c r="E16" s="205"/>
      <c r="F16" s="205"/>
      <c r="G16" s="205"/>
      <c r="H16" s="206"/>
      <c r="I16" s="206"/>
      <c r="J16" s="100"/>
      <c r="K16" s="100"/>
      <c r="L16" s="100"/>
      <c r="M16" s="82"/>
      <c r="N16" s="82"/>
    </row>
    <row r="17" spans="1:14" s="99" customFormat="1" x14ac:dyDescent="0.35">
      <c r="A17" s="82"/>
      <c r="B17" s="83"/>
      <c r="C17" s="83"/>
      <c r="D17" s="83"/>
      <c r="E17" s="205"/>
      <c r="F17" s="205"/>
      <c r="G17" s="205"/>
      <c r="H17" s="206"/>
      <c r="I17" s="206"/>
      <c r="J17" s="100"/>
      <c r="K17" s="100"/>
      <c r="L17" s="100"/>
      <c r="M17" s="82"/>
      <c r="N17" s="82"/>
    </row>
    <row r="18" spans="1:14" s="99" customFormat="1" x14ac:dyDescent="0.35">
      <c r="A18" s="82"/>
      <c r="B18" s="83"/>
      <c r="C18" s="83"/>
      <c r="D18" s="83"/>
      <c r="E18" s="205"/>
      <c r="F18" s="205"/>
      <c r="G18" s="205"/>
      <c r="H18" s="206"/>
      <c r="I18" s="206"/>
      <c r="J18" s="100"/>
      <c r="K18" s="100"/>
      <c r="L18" s="100"/>
      <c r="M18" s="82"/>
      <c r="N18" s="82"/>
    </row>
    <row r="19" spans="1:14" s="99" customFormat="1" x14ac:dyDescent="0.35">
      <c r="A19" s="82"/>
      <c r="B19" s="83"/>
      <c r="C19" s="83"/>
      <c r="D19" s="83"/>
      <c r="E19" s="205"/>
      <c r="F19" s="205"/>
      <c r="G19" s="205"/>
      <c r="H19" s="206"/>
      <c r="I19" s="206"/>
      <c r="J19" s="100"/>
      <c r="K19" s="100"/>
      <c r="L19" s="100"/>
      <c r="M19" s="82"/>
      <c r="N19" s="82"/>
    </row>
    <row r="20" spans="1:14" s="99" customFormat="1" x14ac:dyDescent="0.35">
      <c r="A20" s="82"/>
      <c r="B20" s="83"/>
      <c r="C20" s="83"/>
      <c r="D20" s="83"/>
      <c r="E20" s="205"/>
      <c r="F20" s="205"/>
      <c r="G20" s="205"/>
      <c r="H20" s="206"/>
      <c r="I20" s="206"/>
      <c r="J20" s="100"/>
      <c r="K20" s="100"/>
      <c r="L20" s="100"/>
      <c r="M20" s="82"/>
      <c r="N20" s="82"/>
    </row>
    <row r="21" spans="1:14" s="99" customFormat="1" x14ac:dyDescent="0.35">
      <c r="A21" s="82"/>
      <c r="B21" s="83"/>
      <c r="C21" s="83"/>
      <c r="D21" s="83"/>
      <c r="E21" s="205"/>
      <c r="F21" s="205"/>
      <c r="G21" s="205"/>
      <c r="H21" s="206"/>
      <c r="I21" s="206"/>
      <c r="J21" s="100"/>
      <c r="K21" s="100"/>
      <c r="L21" s="100"/>
      <c r="M21" s="82"/>
      <c r="N21" s="82"/>
    </row>
    <row r="22" spans="1:14" s="99" customFormat="1" x14ac:dyDescent="0.35">
      <c r="A22" s="82"/>
      <c r="B22" s="83"/>
      <c r="C22" s="83"/>
      <c r="D22" s="83"/>
      <c r="E22" s="205"/>
      <c r="F22" s="205"/>
      <c r="G22" s="205"/>
      <c r="H22" s="206"/>
      <c r="I22" s="206"/>
      <c r="J22" s="100"/>
      <c r="K22" s="100"/>
      <c r="L22" s="100"/>
      <c r="M22" s="82"/>
      <c r="N22" s="82"/>
    </row>
    <row r="23" spans="1:14" s="99" customFormat="1" x14ac:dyDescent="0.35">
      <c r="A23" s="82"/>
      <c r="B23" s="83"/>
      <c r="C23" s="83"/>
      <c r="D23" s="83"/>
      <c r="E23" s="205"/>
      <c r="F23" s="205"/>
      <c r="G23" s="205"/>
      <c r="H23" s="206"/>
      <c r="I23" s="206"/>
      <c r="J23" s="100"/>
      <c r="K23" s="100"/>
      <c r="L23" s="100"/>
      <c r="M23" s="82"/>
      <c r="N23" s="82"/>
    </row>
    <row r="24" spans="1:14" s="99" customFormat="1" x14ac:dyDescent="0.35">
      <c r="A24" s="82"/>
      <c r="B24" s="83"/>
      <c r="C24" s="83"/>
      <c r="D24" s="83"/>
      <c r="E24" s="205"/>
      <c r="F24" s="205"/>
      <c r="G24" s="205"/>
      <c r="H24" s="206"/>
      <c r="I24" s="206"/>
      <c r="J24" s="100"/>
      <c r="K24" s="100"/>
      <c r="L24" s="100"/>
      <c r="M24" s="82"/>
      <c r="N24" s="82"/>
    </row>
    <row r="25" spans="1:14" s="99" customFormat="1" x14ac:dyDescent="0.35">
      <c r="A25" s="82"/>
      <c r="B25" s="83"/>
      <c r="C25" s="83"/>
      <c r="D25" s="83"/>
      <c r="E25" s="205"/>
      <c r="F25" s="205"/>
      <c r="G25" s="205"/>
      <c r="H25" s="206"/>
      <c r="I25" s="206"/>
      <c r="J25" s="100"/>
      <c r="K25" s="100"/>
      <c r="L25" s="100"/>
      <c r="M25" s="82"/>
      <c r="N25" s="82"/>
    </row>
    <row r="26" spans="1:14" s="99" customFormat="1" x14ac:dyDescent="0.35">
      <c r="A26" s="82"/>
      <c r="B26" s="83"/>
      <c r="C26" s="83"/>
      <c r="D26" s="83"/>
      <c r="E26" s="205"/>
      <c r="F26" s="205"/>
      <c r="G26" s="205"/>
      <c r="H26" s="206"/>
      <c r="I26" s="206"/>
      <c r="J26" s="100"/>
      <c r="K26" s="100"/>
      <c r="L26" s="100"/>
      <c r="M26" s="82"/>
      <c r="N26" s="82"/>
    </row>
    <row r="27" spans="1:14" s="99" customFormat="1" x14ac:dyDescent="0.35">
      <c r="A27" s="207"/>
      <c r="B27" s="208"/>
      <c r="C27" s="208"/>
      <c r="D27" s="208"/>
      <c r="E27" s="209"/>
      <c r="F27" s="209"/>
      <c r="G27" s="209"/>
      <c r="H27" s="208"/>
      <c r="I27" s="208"/>
      <c r="J27" s="100"/>
      <c r="K27" s="100"/>
      <c r="L27" s="100"/>
      <c r="M27" s="82"/>
      <c r="N27" s="82"/>
    </row>
    <row r="28" spans="1:14" s="99" customFormat="1" x14ac:dyDescent="0.35">
      <c r="A28" s="82"/>
      <c r="B28" s="83"/>
      <c r="C28" s="83"/>
      <c r="D28" s="83"/>
      <c r="E28" s="205"/>
      <c r="F28" s="205"/>
      <c r="G28" s="205"/>
      <c r="H28" s="206"/>
      <c r="I28" s="206"/>
      <c r="J28" s="100"/>
      <c r="K28" s="100"/>
      <c r="L28" s="100"/>
      <c r="M28" s="82"/>
      <c r="N28" s="82"/>
    </row>
    <row r="29" spans="1:14" s="99" customFormat="1" x14ac:dyDescent="0.35">
      <c r="A29" s="82"/>
      <c r="B29" s="83"/>
      <c r="C29" s="83"/>
      <c r="D29" s="83"/>
      <c r="E29" s="205"/>
      <c r="F29" s="205"/>
      <c r="G29" s="205"/>
      <c r="H29" s="206"/>
      <c r="I29" s="206"/>
      <c r="J29" s="100"/>
      <c r="K29" s="100"/>
      <c r="L29" s="100"/>
      <c r="M29" s="82"/>
      <c r="N29" s="82"/>
    </row>
    <row r="30" spans="1:14" s="99" customFormat="1" x14ac:dyDescent="0.35">
      <c r="A30" s="207"/>
      <c r="B30" s="208"/>
      <c r="C30" s="208"/>
      <c r="D30" s="208"/>
      <c r="E30" s="209"/>
      <c r="F30" s="209"/>
      <c r="G30" s="209"/>
      <c r="H30" s="208"/>
      <c r="I30" s="208"/>
      <c r="J30" s="100"/>
      <c r="K30" s="100"/>
      <c r="L30" s="100"/>
      <c r="M30" s="82"/>
      <c r="N30" s="82"/>
    </row>
    <row r="31" spans="1:14" s="99" customFormat="1" x14ac:dyDescent="0.35">
      <c r="A31" s="82"/>
      <c r="B31" s="83"/>
      <c r="C31" s="83"/>
      <c r="D31" s="83"/>
      <c r="E31" s="205"/>
      <c r="F31" s="205"/>
      <c r="G31" s="205"/>
      <c r="H31" s="206"/>
      <c r="I31" s="206"/>
      <c r="J31" s="100"/>
      <c r="K31" s="100"/>
      <c r="L31" s="100"/>
      <c r="M31" s="82"/>
      <c r="N31" s="82"/>
    </row>
    <row r="32" spans="1:14" s="99" customFormat="1" x14ac:dyDescent="0.35">
      <c r="A32" s="82"/>
      <c r="B32" s="83"/>
      <c r="C32" s="83"/>
      <c r="D32" s="83"/>
      <c r="E32" s="205"/>
      <c r="F32" s="205"/>
      <c r="G32" s="205"/>
      <c r="H32" s="206"/>
      <c r="I32" s="206"/>
      <c r="J32" s="100"/>
      <c r="K32" s="100"/>
      <c r="L32" s="100"/>
      <c r="M32" s="82"/>
      <c r="N32" s="82"/>
    </row>
    <row r="33" spans="1:14" s="99" customFormat="1" x14ac:dyDescent="0.35">
      <c r="A33" s="82"/>
      <c r="B33" s="83"/>
      <c r="C33" s="83"/>
      <c r="D33" s="83"/>
      <c r="E33" s="205"/>
      <c r="F33" s="205"/>
      <c r="G33" s="205"/>
      <c r="H33" s="206"/>
      <c r="I33" s="206"/>
      <c r="J33" s="100"/>
      <c r="K33" s="100"/>
      <c r="L33" s="100"/>
      <c r="M33" s="82"/>
      <c r="N33" s="82"/>
    </row>
    <row r="34" spans="1:14" s="99" customFormat="1" x14ac:dyDescent="0.35">
      <c r="A34" s="82"/>
      <c r="B34" s="83"/>
      <c r="C34" s="83"/>
      <c r="D34" s="83"/>
      <c r="E34" s="205"/>
      <c r="F34" s="205"/>
      <c r="G34" s="205"/>
      <c r="H34" s="206"/>
      <c r="I34" s="206"/>
      <c r="J34" s="100"/>
      <c r="K34" s="100"/>
      <c r="L34" s="100"/>
      <c r="M34" s="82"/>
      <c r="N34" s="82"/>
    </row>
    <row r="35" spans="1:14" s="99" customFormat="1" x14ac:dyDescent="0.35">
      <c r="A35" s="82"/>
      <c r="B35" s="83"/>
      <c r="C35" s="83"/>
      <c r="D35" s="83"/>
      <c r="E35" s="205"/>
      <c r="F35" s="205"/>
      <c r="G35" s="205"/>
      <c r="H35" s="206"/>
      <c r="I35" s="206"/>
      <c r="J35" s="100"/>
      <c r="K35" s="100"/>
      <c r="L35" s="100"/>
      <c r="M35" s="82"/>
      <c r="N35" s="82"/>
    </row>
    <row r="36" spans="1:14" s="99" customFormat="1" x14ac:dyDescent="0.35">
      <c r="A36" s="207"/>
      <c r="B36" s="208"/>
      <c r="C36" s="208"/>
      <c r="D36" s="208"/>
      <c r="E36" s="209"/>
      <c r="F36" s="209"/>
      <c r="G36" s="209"/>
      <c r="H36" s="208"/>
      <c r="I36" s="208"/>
      <c r="J36" s="100"/>
      <c r="K36" s="100"/>
      <c r="L36" s="100"/>
      <c r="M36" s="82"/>
      <c r="N36" s="82"/>
    </row>
    <row r="37" spans="1:14" s="99" customFormat="1" x14ac:dyDescent="0.35">
      <c r="A37" s="82"/>
      <c r="B37" s="83"/>
      <c r="C37" s="83"/>
      <c r="D37" s="83"/>
      <c r="E37" s="205"/>
      <c r="F37" s="205"/>
      <c r="G37" s="205"/>
      <c r="H37" s="206"/>
      <c r="I37" s="206"/>
      <c r="J37" s="100"/>
      <c r="K37" s="100"/>
      <c r="L37" s="100"/>
      <c r="M37" s="82"/>
      <c r="N37" s="82"/>
    </row>
    <row r="38" spans="1:14" s="99" customFormat="1" x14ac:dyDescent="0.35">
      <c r="A38" s="82"/>
      <c r="B38" s="83"/>
      <c r="C38" s="83"/>
      <c r="D38" s="83"/>
      <c r="E38" s="205"/>
      <c r="F38" s="205"/>
      <c r="G38" s="205"/>
      <c r="H38" s="206"/>
      <c r="I38" s="206"/>
      <c r="J38" s="100"/>
      <c r="K38" s="100"/>
      <c r="L38" s="100"/>
      <c r="M38" s="82"/>
      <c r="N38" s="82"/>
    </row>
    <row r="39" spans="1:14" s="99" customFormat="1" x14ac:dyDescent="0.35">
      <c r="A39" s="82"/>
      <c r="B39" s="83"/>
      <c r="C39" s="83"/>
      <c r="D39" s="83"/>
      <c r="E39" s="205"/>
      <c r="F39" s="205"/>
      <c r="G39" s="205"/>
      <c r="H39" s="206"/>
      <c r="I39" s="206"/>
      <c r="J39" s="100"/>
      <c r="K39" s="100"/>
      <c r="L39" s="100"/>
      <c r="M39" s="82"/>
      <c r="N39" s="82"/>
    </row>
    <row r="40" spans="1:14" s="99" customFormat="1" x14ac:dyDescent="0.35">
      <c r="A40" s="207"/>
      <c r="B40" s="208"/>
      <c r="C40" s="208"/>
      <c r="D40" s="208"/>
      <c r="E40" s="209"/>
      <c r="F40" s="209"/>
      <c r="G40" s="209"/>
      <c r="H40" s="208"/>
      <c r="I40" s="208"/>
      <c r="J40" s="100"/>
      <c r="K40" s="100"/>
      <c r="L40" s="100"/>
      <c r="M40" s="82"/>
      <c r="N40" s="82"/>
    </row>
    <row r="41" spans="1:14" s="99" customFormat="1" x14ac:dyDescent="0.35">
      <c r="A41" s="82"/>
      <c r="B41" s="83"/>
      <c r="C41" s="83"/>
      <c r="D41" s="83"/>
      <c r="E41" s="205"/>
      <c r="F41" s="205"/>
      <c r="G41" s="205"/>
      <c r="H41" s="206"/>
      <c r="I41" s="206"/>
      <c r="J41" s="100"/>
      <c r="K41" s="100"/>
      <c r="L41" s="100"/>
      <c r="M41" s="82"/>
      <c r="N41" s="82"/>
    </row>
    <row r="42" spans="1:14" s="99" customFormat="1" x14ac:dyDescent="0.35">
      <c r="A42" s="82"/>
      <c r="B42" s="83"/>
      <c r="C42" s="83"/>
      <c r="D42" s="83"/>
      <c r="E42" s="205"/>
      <c r="F42" s="205"/>
      <c r="G42" s="205"/>
      <c r="H42" s="206"/>
      <c r="I42" s="206"/>
      <c r="J42" s="100"/>
      <c r="K42" s="100"/>
      <c r="L42" s="100"/>
      <c r="M42" s="82"/>
      <c r="N42" s="82"/>
    </row>
    <row r="43" spans="1:14" s="99" customFormat="1" x14ac:dyDescent="0.35">
      <c r="A43" s="82"/>
      <c r="B43" s="83"/>
      <c r="C43" s="83"/>
      <c r="D43" s="83"/>
      <c r="E43" s="205"/>
      <c r="F43" s="205"/>
      <c r="G43" s="205"/>
      <c r="H43" s="206"/>
      <c r="I43" s="206"/>
      <c r="J43" s="100"/>
      <c r="K43" s="100"/>
      <c r="L43" s="100"/>
      <c r="M43" s="82"/>
      <c r="N43" s="82"/>
    </row>
    <row r="44" spans="1:14" s="99" customFormat="1" x14ac:dyDescent="0.35">
      <c r="A44" s="82"/>
      <c r="B44" s="83"/>
      <c r="C44" s="83"/>
      <c r="D44" s="83"/>
      <c r="E44" s="205"/>
      <c r="F44" s="205"/>
      <c r="G44" s="205"/>
      <c r="H44" s="206"/>
      <c r="I44" s="206"/>
      <c r="J44" s="100"/>
      <c r="K44" s="100"/>
      <c r="L44" s="100"/>
      <c r="M44" s="82"/>
      <c r="N44" s="82"/>
    </row>
    <row r="45" spans="1:14" s="99" customFormat="1" x14ac:dyDescent="0.35">
      <c r="A45" s="82"/>
      <c r="B45" s="83"/>
      <c r="C45" s="83"/>
      <c r="D45" s="83"/>
      <c r="E45" s="205"/>
      <c r="F45" s="205"/>
      <c r="G45" s="205"/>
      <c r="H45" s="206"/>
      <c r="I45" s="206"/>
      <c r="J45" s="100"/>
      <c r="K45" s="100"/>
      <c r="L45" s="100"/>
      <c r="M45" s="82"/>
      <c r="N45" s="82"/>
    </row>
    <row r="46" spans="1:14" s="99" customFormat="1" x14ac:dyDescent="0.35">
      <c r="A46" s="82"/>
      <c r="B46" s="83"/>
      <c r="C46" s="83"/>
      <c r="D46" s="83"/>
      <c r="E46" s="205"/>
      <c r="F46" s="205"/>
      <c r="G46" s="205"/>
      <c r="H46" s="206"/>
      <c r="I46" s="206"/>
      <c r="J46" s="100"/>
      <c r="K46" s="100"/>
      <c r="L46" s="100"/>
      <c r="M46" s="82"/>
      <c r="N46" s="82"/>
    </row>
    <row r="47" spans="1:14" s="99" customFormat="1" x14ac:dyDescent="0.35">
      <c r="A47" s="82"/>
      <c r="B47" s="83"/>
      <c r="C47" s="83"/>
      <c r="D47" s="83"/>
      <c r="E47" s="205"/>
      <c r="F47" s="205"/>
      <c r="G47" s="205"/>
      <c r="H47" s="206"/>
      <c r="I47" s="206"/>
      <c r="J47" s="100"/>
      <c r="K47" s="100"/>
      <c r="L47" s="100"/>
      <c r="M47" s="82"/>
      <c r="N47" s="82"/>
    </row>
    <row r="48" spans="1:14" s="99" customFormat="1" x14ac:dyDescent="0.35">
      <c r="A48" s="82"/>
      <c r="B48" s="83"/>
      <c r="C48" s="83"/>
      <c r="D48" s="83"/>
      <c r="E48" s="205"/>
      <c r="F48" s="205"/>
      <c r="G48" s="205"/>
      <c r="H48" s="206"/>
      <c r="I48" s="206"/>
      <c r="J48" s="100"/>
      <c r="K48" s="100"/>
      <c r="L48" s="100"/>
      <c r="M48" s="82"/>
      <c r="N48" s="82"/>
    </row>
    <row r="49" spans="1:14" s="99" customFormat="1" x14ac:dyDescent="0.35">
      <c r="A49" s="82"/>
      <c r="B49" s="83"/>
      <c r="C49" s="83"/>
      <c r="D49" s="83"/>
      <c r="E49" s="205"/>
      <c r="F49" s="205"/>
      <c r="G49" s="205"/>
      <c r="H49" s="206"/>
      <c r="I49" s="206"/>
      <c r="J49" s="100"/>
      <c r="K49" s="100"/>
      <c r="L49" s="100"/>
      <c r="M49" s="82"/>
      <c r="N49" s="82"/>
    </row>
    <row r="50" spans="1:14" s="99" customFormat="1" x14ac:dyDescent="0.35">
      <c r="A50" s="82"/>
      <c r="B50" s="83"/>
      <c r="C50" s="83"/>
      <c r="D50" s="83"/>
      <c r="E50" s="205"/>
      <c r="F50" s="205"/>
      <c r="G50" s="205"/>
      <c r="H50" s="206"/>
      <c r="I50" s="206"/>
      <c r="J50" s="100"/>
      <c r="K50" s="100"/>
      <c r="L50" s="100"/>
      <c r="M50" s="82"/>
      <c r="N50" s="82"/>
    </row>
    <row r="51" spans="1:14" s="99" customFormat="1" x14ac:dyDescent="0.35">
      <c r="A51" s="82"/>
      <c r="B51" s="83"/>
      <c r="C51" s="83"/>
      <c r="D51" s="83"/>
      <c r="E51" s="205"/>
      <c r="F51" s="205"/>
      <c r="G51" s="205"/>
      <c r="H51" s="206"/>
      <c r="I51" s="206"/>
      <c r="J51" s="100"/>
      <c r="K51" s="100"/>
      <c r="L51" s="100"/>
      <c r="M51" s="82"/>
      <c r="N51" s="82"/>
    </row>
    <row r="52" spans="1:14" s="99" customFormat="1" x14ac:dyDescent="0.35">
      <c r="A52" s="82"/>
      <c r="B52" s="83"/>
      <c r="C52" s="83"/>
      <c r="D52" s="83"/>
      <c r="E52" s="205"/>
      <c r="F52" s="205"/>
      <c r="G52" s="205"/>
      <c r="H52" s="206"/>
      <c r="I52" s="206"/>
      <c r="J52" s="100"/>
      <c r="K52" s="100"/>
      <c r="L52" s="100"/>
      <c r="M52" s="82"/>
      <c r="N52" s="82"/>
    </row>
    <row r="53" spans="1:14" s="99" customFormat="1" x14ac:dyDescent="0.35">
      <c r="A53" s="82"/>
      <c r="B53" s="83"/>
      <c r="C53" s="83"/>
      <c r="D53" s="83"/>
      <c r="E53" s="205"/>
      <c r="F53" s="205"/>
      <c r="G53" s="205"/>
      <c r="H53" s="206"/>
      <c r="I53" s="206"/>
      <c r="J53" s="100"/>
      <c r="K53" s="100"/>
      <c r="L53" s="100"/>
      <c r="M53" s="82"/>
      <c r="N53" s="82"/>
    </row>
    <row r="54" spans="1:14" s="99" customFormat="1" x14ac:dyDescent="0.35">
      <c r="A54" s="210"/>
      <c r="B54" s="211"/>
      <c r="C54" s="211"/>
      <c r="D54" s="211"/>
      <c r="E54" s="209"/>
      <c r="F54" s="209"/>
      <c r="G54" s="209"/>
      <c r="H54" s="208"/>
      <c r="I54" s="208"/>
      <c r="J54" s="100"/>
      <c r="K54" s="100"/>
      <c r="L54" s="100"/>
      <c r="M54" s="82"/>
      <c r="N54" s="82"/>
    </row>
    <row r="55" spans="1:14" s="99" customFormat="1" x14ac:dyDescent="0.35">
      <c r="A55" s="204"/>
      <c r="B55" s="83"/>
      <c r="C55" s="83"/>
      <c r="D55" s="83"/>
      <c r="E55" s="205"/>
      <c r="F55" s="205"/>
      <c r="G55" s="205"/>
      <c r="H55" s="206"/>
      <c r="I55" s="206"/>
      <c r="J55" s="100"/>
      <c r="K55" s="100"/>
      <c r="L55" s="100"/>
      <c r="M55" s="82"/>
      <c r="N55" s="82"/>
    </row>
    <row r="56" spans="1:14" s="99" customFormat="1" x14ac:dyDescent="0.35">
      <c r="A56" s="82"/>
      <c r="B56" s="83"/>
      <c r="C56" s="83"/>
      <c r="D56" s="83"/>
      <c r="E56" s="205"/>
      <c r="F56" s="205"/>
      <c r="G56" s="205"/>
      <c r="H56" s="206"/>
      <c r="I56" s="206"/>
      <c r="J56" s="100"/>
      <c r="K56" s="100"/>
      <c r="L56" s="100"/>
      <c r="M56" s="82"/>
      <c r="N56" s="82"/>
    </row>
    <row r="57" spans="1:14" s="99" customFormat="1" x14ac:dyDescent="0.35">
      <c r="A57" s="82"/>
      <c r="B57" s="83"/>
      <c r="C57" s="83"/>
      <c r="D57" s="83"/>
      <c r="E57" s="205"/>
      <c r="F57" s="205"/>
      <c r="G57" s="205"/>
      <c r="H57" s="206"/>
      <c r="I57" s="206"/>
      <c r="J57" s="100"/>
      <c r="K57" s="100"/>
      <c r="L57" s="100"/>
      <c r="M57" s="82"/>
      <c r="N57" s="82"/>
    </row>
    <row r="58" spans="1:14" s="99" customFormat="1" x14ac:dyDescent="0.35">
      <c r="A58" s="82"/>
      <c r="B58" s="83"/>
      <c r="C58" s="83"/>
      <c r="D58" s="83"/>
      <c r="E58" s="205"/>
      <c r="F58" s="205"/>
      <c r="G58" s="205"/>
      <c r="H58" s="206"/>
      <c r="I58" s="206"/>
      <c r="J58" s="100"/>
      <c r="K58" s="100"/>
      <c r="L58" s="100"/>
      <c r="M58" s="82"/>
      <c r="N58" s="82"/>
    </row>
    <row r="59" spans="1:14" s="99" customFormat="1" x14ac:dyDescent="0.35">
      <c r="A59" s="82"/>
      <c r="B59" s="83"/>
      <c r="C59" s="83"/>
      <c r="D59" s="83"/>
      <c r="E59" s="205"/>
      <c r="F59" s="205"/>
      <c r="G59" s="205"/>
      <c r="H59" s="206"/>
      <c r="I59" s="206"/>
      <c r="J59" s="100"/>
      <c r="K59" s="100"/>
      <c r="L59" s="100"/>
      <c r="M59" s="82"/>
      <c r="N59" s="82"/>
    </row>
    <row r="60" spans="1:14" s="99" customFormat="1" x14ac:dyDescent="0.35">
      <c r="A60" s="82"/>
      <c r="B60" s="83"/>
      <c r="C60" s="83"/>
      <c r="D60" s="83"/>
      <c r="E60" s="205"/>
      <c r="F60" s="205"/>
      <c r="G60" s="205"/>
      <c r="H60" s="206"/>
      <c r="I60" s="206"/>
      <c r="J60" s="100"/>
      <c r="K60" s="100"/>
      <c r="L60" s="100"/>
      <c r="M60" s="82"/>
      <c r="N60" s="82"/>
    </row>
    <row r="61" spans="1:14" s="99" customFormat="1" x14ac:dyDescent="0.35">
      <c r="A61" s="82"/>
      <c r="B61" s="83"/>
      <c r="C61" s="83"/>
      <c r="D61" s="83"/>
      <c r="E61" s="205"/>
      <c r="F61" s="205"/>
      <c r="G61" s="205"/>
      <c r="H61" s="206"/>
      <c r="I61" s="206"/>
      <c r="J61" s="100"/>
      <c r="K61" s="100"/>
      <c r="L61" s="100"/>
      <c r="M61" s="82"/>
      <c r="N61" s="82"/>
    </row>
    <row r="62" spans="1:14" s="99" customFormat="1" x14ac:dyDescent="0.35">
      <c r="A62" s="82"/>
      <c r="B62" s="83"/>
      <c r="C62" s="83"/>
      <c r="D62" s="83"/>
      <c r="E62" s="205"/>
      <c r="F62" s="205"/>
      <c r="G62" s="205"/>
      <c r="H62" s="206"/>
      <c r="I62" s="206"/>
      <c r="J62" s="100"/>
      <c r="K62" s="100"/>
      <c r="L62" s="100"/>
      <c r="M62" s="82"/>
      <c r="N62" s="82"/>
    </row>
    <row r="63" spans="1:14" s="99" customFormat="1" x14ac:dyDescent="0.35">
      <c r="A63" s="82"/>
      <c r="B63" s="83"/>
      <c r="C63" s="83"/>
      <c r="D63" s="83"/>
      <c r="E63" s="205"/>
      <c r="F63" s="205"/>
      <c r="G63" s="205"/>
      <c r="H63" s="206"/>
      <c r="I63" s="206"/>
      <c r="J63" s="100"/>
      <c r="K63" s="100"/>
      <c r="L63" s="100"/>
      <c r="M63" s="82"/>
      <c r="N63" s="82"/>
    </row>
    <row r="64" spans="1:14" s="99" customFormat="1" x14ac:dyDescent="0.35">
      <c r="A64" s="82"/>
      <c r="B64" s="83"/>
      <c r="C64" s="83"/>
      <c r="D64" s="83"/>
      <c r="E64" s="100"/>
      <c r="F64" s="100"/>
      <c r="G64" s="100"/>
      <c r="H64" s="83"/>
      <c r="I64" s="83"/>
      <c r="J64" s="100"/>
      <c r="K64" s="100"/>
      <c r="L64" s="100"/>
      <c r="M64" s="82"/>
      <c r="N64" s="82"/>
    </row>
    <row r="65" spans="1:17" s="99" customFormat="1" x14ac:dyDescent="0.35">
      <c r="A65" s="82"/>
      <c r="B65" s="83"/>
      <c r="C65" s="83"/>
      <c r="D65" s="83"/>
      <c r="E65" s="100"/>
      <c r="F65" s="100"/>
      <c r="G65" s="100"/>
      <c r="H65" s="83"/>
      <c r="I65" s="83"/>
      <c r="J65" s="100"/>
      <c r="K65" s="100"/>
      <c r="L65" s="100"/>
      <c r="M65" s="82"/>
      <c r="N65" s="82"/>
    </row>
    <row r="66" spans="1:17" s="99" customFormat="1" x14ac:dyDescent="0.35">
      <c r="A66" s="82"/>
      <c r="B66" s="83"/>
      <c r="C66" s="83"/>
      <c r="D66" s="83"/>
      <c r="E66" s="100"/>
      <c r="F66" s="100"/>
      <c r="G66" s="100"/>
      <c r="H66" s="83"/>
      <c r="I66" s="83"/>
      <c r="J66" s="100"/>
      <c r="K66" s="100"/>
      <c r="L66" s="100"/>
      <c r="M66" s="82"/>
      <c r="N66" s="82"/>
    </row>
    <row r="67" spans="1:17" s="99" customFormat="1" x14ac:dyDescent="0.35">
      <c r="A67" s="82"/>
      <c r="B67" s="83"/>
      <c r="C67" s="83"/>
      <c r="D67" s="83"/>
      <c r="E67" s="100"/>
      <c r="F67" s="100"/>
      <c r="G67" s="100"/>
      <c r="H67" s="83"/>
      <c r="I67" s="83"/>
      <c r="J67" s="100"/>
      <c r="K67" s="100"/>
      <c r="L67" s="100"/>
      <c r="M67" s="82"/>
      <c r="N67" s="82"/>
    </row>
    <row r="68" spans="1:17" s="99" customFormat="1" x14ac:dyDescent="0.35">
      <c r="A68" s="82"/>
      <c r="B68" s="83"/>
      <c r="C68" s="83"/>
      <c r="D68" s="83"/>
      <c r="E68" s="100"/>
      <c r="F68" s="100"/>
      <c r="G68" s="100"/>
      <c r="H68" s="83"/>
      <c r="I68" s="83"/>
      <c r="J68" s="100"/>
      <c r="K68" s="100"/>
      <c r="L68" s="100"/>
      <c r="M68" s="82"/>
      <c r="N68" s="82"/>
    </row>
    <row r="69" spans="1:17" s="99" customFormat="1" x14ac:dyDescent="0.35">
      <c r="A69" s="82"/>
      <c r="B69" s="83"/>
      <c r="C69" s="83"/>
      <c r="D69" s="83"/>
      <c r="E69" s="100"/>
      <c r="F69" s="100"/>
      <c r="G69" s="100"/>
      <c r="H69" s="83"/>
      <c r="I69" s="83"/>
      <c r="J69" s="100"/>
      <c r="K69" s="100"/>
      <c r="L69" s="100"/>
      <c r="M69" s="82"/>
      <c r="N69" s="82"/>
    </row>
    <row r="70" spans="1:17" s="99" customFormat="1" x14ac:dyDescent="0.35">
      <c r="A70" s="82"/>
      <c r="B70" s="83"/>
      <c r="C70" s="83"/>
      <c r="D70" s="83"/>
      <c r="E70" s="100"/>
      <c r="F70" s="100"/>
      <c r="G70" s="100"/>
      <c r="H70" s="83"/>
      <c r="I70" s="83"/>
      <c r="J70" s="100"/>
      <c r="K70" s="100"/>
      <c r="L70" s="100"/>
      <c r="M70" s="82"/>
      <c r="N70" s="82"/>
    </row>
    <row r="71" spans="1:17" s="99" customFormat="1" x14ac:dyDescent="0.35">
      <c r="A71" s="82"/>
      <c r="B71" s="83"/>
      <c r="C71" s="83"/>
      <c r="D71" s="83"/>
      <c r="E71" s="100"/>
      <c r="F71" s="100"/>
      <c r="G71" s="100"/>
      <c r="H71" s="83"/>
      <c r="I71" s="83"/>
      <c r="J71" s="100"/>
      <c r="K71" s="100"/>
      <c r="L71" s="100"/>
      <c r="M71" s="82"/>
      <c r="N71" s="82"/>
    </row>
    <row r="72" spans="1:17" s="99" customFormat="1" x14ac:dyDescent="0.35">
      <c r="A72" s="82"/>
      <c r="B72" s="83"/>
      <c r="C72" s="83"/>
      <c r="D72" s="83"/>
      <c r="E72" s="100"/>
      <c r="F72" s="100"/>
      <c r="G72" s="100"/>
      <c r="H72" s="83"/>
      <c r="I72" s="83"/>
      <c r="J72" s="100"/>
      <c r="K72" s="100"/>
      <c r="L72" s="100"/>
      <c r="M72" s="82"/>
      <c r="N72" s="82"/>
    </row>
    <row r="73" spans="1:17" s="99" customFormat="1" x14ac:dyDescent="0.35">
      <c r="A73" s="82"/>
      <c r="B73" s="83"/>
      <c r="C73" s="83"/>
      <c r="D73" s="83"/>
      <c r="E73" s="100"/>
      <c r="F73" s="100"/>
      <c r="G73" s="100"/>
      <c r="H73" s="83"/>
      <c r="I73" s="83"/>
      <c r="J73" s="100"/>
      <c r="K73" s="100"/>
      <c r="L73" s="100"/>
      <c r="M73" s="82"/>
      <c r="N73" s="82"/>
    </row>
    <row r="74" spans="1:17" s="99" customFormat="1" x14ac:dyDescent="0.35">
      <c r="A74" s="82"/>
      <c r="B74" s="83"/>
      <c r="C74" s="83"/>
      <c r="D74" s="83"/>
      <c r="E74" s="100"/>
      <c r="F74" s="100"/>
      <c r="G74" s="100"/>
      <c r="H74" s="83"/>
      <c r="I74" s="83"/>
      <c r="J74" s="100"/>
      <c r="K74" s="100"/>
      <c r="L74" s="100"/>
      <c r="M74" s="82"/>
      <c r="N74" s="82"/>
    </row>
    <row r="75" spans="1:17" x14ac:dyDescent="0.35">
      <c r="A75" s="82"/>
      <c r="B75" s="83"/>
      <c r="C75" s="83"/>
      <c r="D75" s="83"/>
      <c r="E75" s="100"/>
      <c r="F75" s="100"/>
      <c r="G75" s="100"/>
      <c r="H75" s="83"/>
      <c r="I75" s="83"/>
      <c r="J75" s="100"/>
      <c r="K75" s="100"/>
      <c r="L75" s="100"/>
      <c r="M75" s="82"/>
      <c r="N75" s="82"/>
      <c r="O75" s="99"/>
      <c r="P75" s="99"/>
      <c r="Q75" s="99"/>
    </row>
    <row r="76" spans="1:17" x14ac:dyDescent="0.35">
      <c r="A76" s="82"/>
      <c r="B76" s="83"/>
      <c r="C76" s="83"/>
      <c r="D76" s="83"/>
      <c r="E76" s="100"/>
      <c r="F76" s="100"/>
      <c r="G76" s="100"/>
      <c r="H76" s="83"/>
      <c r="I76" s="83"/>
      <c r="J76" s="100"/>
      <c r="K76" s="100"/>
      <c r="L76" s="100"/>
      <c r="M76" s="82"/>
      <c r="N76" s="82"/>
      <c r="O76" s="99"/>
      <c r="P76" s="99"/>
      <c r="Q76" s="99"/>
    </row>
    <row r="77" spans="1:17" x14ac:dyDescent="0.35">
      <c r="A77" s="82"/>
      <c r="B77" s="83"/>
      <c r="C77" s="83"/>
      <c r="D77" s="83"/>
      <c r="E77" s="100"/>
      <c r="F77" s="100"/>
      <c r="G77" s="100"/>
      <c r="H77" s="83"/>
      <c r="I77" s="83"/>
      <c r="J77" s="100"/>
      <c r="K77" s="100"/>
      <c r="L77" s="100"/>
      <c r="M77" s="82"/>
      <c r="N77" s="82"/>
      <c r="O77" s="99"/>
      <c r="P77" s="99"/>
      <c r="Q77" s="99"/>
    </row>
    <row r="78" spans="1:17" x14ac:dyDescent="0.35">
      <c r="A78" s="82"/>
      <c r="B78" s="83"/>
      <c r="C78" s="83"/>
      <c r="D78" s="83"/>
      <c r="E78" s="100"/>
      <c r="F78" s="100"/>
      <c r="G78" s="100"/>
      <c r="H78" s="83"/>
      <c r="I78" s="83"/>
      <c r="J78" s="100"/>
      <c r="K78" s="100"/>
      <c r="L78" s="100"/>
      <c r="M78" s="82"/>
      <c r="N78" s="82"/>
      <c r="O78" s="99"/>
      <c r="P78" s="99"/>
      <c r="Q78" s="99"/>
    </row>
    <row r="79" spans="1:17" x14ac:dyDescent="0.35">
      <c r="A79" s="82"/>
      <c r="B79" s="83"/>
      <c r="C79" s="83"/>
      <c r="D79" s="83"/>
      <c r="E79" s="100"/>
      <c r="F79" s="100"/>
      <c r="G79" s="100"/>
      <c r="H79" s="83"/>
      <c r="I79" s="83"/>
      <c r="J79" s="100"/>
      <c r="K79" s="100"/>
      <c r="L79" s="100"/>
      <c r="M79" s="82"/>
      <c r="N79" s="82"/>
      <c r="O79" s="99"/>
      <c r="P79" s="99"/>
      <c r="Q79" s="99"/>
    </row>
    <row r="80" spans="1:17" x14ac:dyDescent="0.35">
      <c r="A80" s="82"/>
      <c r="B80" s="83"/>
      <c r="C80" s="83"/>
      <c r="D80" s="83"/>
      <c r="E80" s="100"/>
      <c r="F80" s="100"/>
      <c r="G80" s="100"/>
      <c r="H80" s="83"/>
      <c r="I80" s="83"/>
      <c r="J80" s="100"/>
      <c r="K80" s="100"/>
      <c r="L80" s="100"/>
      <c r="M80" s="82"/>
      <c r="N80" s="82"/>
      <c r="O80" s="99"/>
      <c r="P80" s="99"/>
      <c r="Q80" s="99"/>
    </row>
    <row r="81" spans="1:17" x14ac:dyDescent="0.35">
      <c r="A81" s="82"/>
      <c r="B81" s="83"/>
      <c r="C81" s="83"/>
      <c r="D81" s="83"/>
      <c r="E81" s="100"/>
      <c r="F81" s="100"/>
      <c r="G81" s="100"/>
      <c r="H81" s="83"/>
      <c r="I81" s="83"/>
      <c r="J81" s="100"/>
      <c r="K81" s="100"/>
      <c r="L81" s="100"/>
      <c r="M81" s="82"/>
      <c r="N81" s="82"/>
      <c r="O81" s="99"/>
      <c r="P81" s="99"/>
      <c r="Q81" s="99"/>
    </row>
    <row r="82" spans="1:17" x14ac:dyDescent="0.35">
      <c r="A82" s="82"/>
      <c r="B82" s="83"/>
      <c r="C82" s="83"/>
      <c r="D82" s="83"/>
      <c r="E82" s="100"/>
      <c r="F82" s="100"/>
      <c r="G82" s="100"/>
      <c r="H82" s="83"/>
      <c r="I82" s="83"/>
      <c r="J82" s="100"/>
      <c r="K82" s="100"/>
      <c r="L82" s="100"/>
      <c r="M82" s="82"/>
      <c r="N82" s="82"/>
      <c r="O82" s="99"/>
      <c r="P82" s="99"/>
      <c r="Q82" s="99"/>
    </row>
    <row r="83" spans="1:17" x14ac:dyDescent="0.35">
      <c r="A83" s="82"/>
      <c r="B83" s="83"/>
      <c r="C83" s="83"/>
      <c r="D83" s="83"/>
      <c r="E83" s="100"/>
      <c r="F83" s="100"/>
      <c r="G83" s="100"/>
      <c r="H83" s="83"/>
      <c r="I83" s="83"/>
      <c r="J83" s="100"/>
      <c r="K83" s="100"/>
      <c r="L83" s="100"/>
      <c r="M83" s="82"/>
      <c r="N83" s="82"/>
      <c r="O83" s="99"/>
      <c r="P83" s="99"/>
      <c r="Q83" s="99"/>
    </row>
    <row r="84" spans="1:17" x14ac:dyDescent="0.35">
      <c r="A84" s="82"/>
      <c r="B84" s="83"/>
      <c r="C84" s="83"/>
      <c r="D84" s="83"/>
      <c r="E84" s="83"/>
      <c r="F84" s="83"/>
      <c r="G84" s="83"/>
      <c r="H84" s="83"/>
      <c r="I84" s="83"/>
      <c r="J84" s="100"/>
      <c r="K84" s="100"/>
      <c r="L84" s="100"/>
      <c r="M84" s="82"/>
      <c r="N84" s="82"/>
      <c r="O84" s="99"/>
      <c r="P84" s="99"/>
      <c r="Q84" s="99"/>
    </row>
    <row r="85" spans="1:17" x14ac:dyDescent="0.35">
      <c r="A85" s="82"/>
      <c r="B85" s="83"/>
      <c r="C85" s="83"/>
      <c r="D85" s="83"/>
      <c r="E85" s="83"/>
      <c r="F85" s="83"/>
      <c r="G85" s="83"/>
      <c r="H85" s="83"/>
      <c r="I85" s="83"/>
      <c r="J85" s="138"/>
      <c r="K85" s="138"/>
      <c r="L85" s="138"/>
      <c r="M85" s="138"/>
      <c r="N85" s="138"/>
      <c r="O85" s="99"/>
      <c r="P85" s="99"/>
      <c r="Q85" s="99"/>
    </row>
    <row r="86" spans="1:17" x14ac:dyDescent="0.35">
      <c r="A86" s="82"/>
      <c r="B86" s="83"/>
      <c r="C86" s="83"/>
      <c r="D86" s="83"/>
      <c r="E86" s="83"/>
      <c r="F86" s="83"/>
      <c r="G86" s="83"/>
      <c r="H86" s="83"/>
      <c r="I86" s="83"/>
      <c r="J86" s="138"/>
      <c r="K86" s="138"/>
      <c r="L86" s="138"/>
      <c r="M86" s="138"/>
      <c r="N86" s="138"/>
      <c r="O86" s="99"/>
      <c r="P86" s="99"/>
      <c r="Q86" s="99"/>
    </row>
    <row r="87" spans="1:17" x14ac:dyDescent="0.35">
      <c r="A87" s="82"/>
      <c r="B87" s="83"/>
      <c r="C87" s="83"/>
      <c r="D87" s="83"/>
      <c r="E87" s="83"/>
      <c r="F87" s="83"/>
      <c r="G87" s="83"/>
      <c r="H87" s="83"/>
      <c r="I87" s="83"/>
      <c r="J87" s="138"/>
      <c r="K87" s="138"/>
      <c r="L87" s="138"/>
      <c r="M87" s="138"/>
      <c r="N87" s="138"/>
      <c r="O87" s="99"/>
      <c r="P87" s="99"/>
      <c r="Q87" s="99"/>
    </row>
    <row r="88" spans="1:17" x14ac:dyDescent="0.35">
      <c r="A88" s="82"/>
      <c r="B88" s="83"/>
      <c r="C88" s="83"/>
      <c r="D88" s="83"/>
      <c r="E88" s="83"/>
      <c r="F88" s="83"/>
      <c r="G88" s="83"/>
      <c r="H88" s="83"/>
      <c r="I88" s="83"/>
      <c r="J88" s="138"/>
      <c r="K88" s="138"/>
      <c r="L88" s="138"/>
      <c r="M88" s="138"/>
      <c r="N88" s="138"/>
      <c r="O88" s="99"/>
      <c r="P88" s="99"/>
      <c r="Q88" s="99"/>
    </row>
    <row r="89" spans="1:17" x14ac:dyDescent="0.35">
      <c r="A89" s="82"/>
      <c r="B89" s="83"/>
      <c r="C89" s="83"/>
      <c r="D89" s="83"/>
      <c r="E89" s="83"/>
      <c r="F89" s="83"/>
      <c r="G89" s="83"/>
      <c r="H89" s="83"/>
      <c r="I89" s="83"/>
      <c r="J89" s="138"/>
      <c r="K89" s="138"/>
      <c r="L89" s="138"/>
      <c r="M89" s="138"/>
      <c r="N89" s="138"/>
      <c r="O89" s="99"/>
      <c r="P89" s="99"/>
      <c r="Q89" s="99"/>
    </row>
    <row r="90" spans="1:17" x14ac:dyDescent="0.35">
      <c r="A90" s="82"/>
      <c r="B90" s="83"/>
      <c r="C90" s="83"/>
      <c r="D90" s="83"/>
      <c r="E90" s="83"/>
      <c r="F90" s="83"/>
      <c r="G90" s="83"/>
      <c r="H90" s="83"/>
      <c r="I90" s="83"/>
      <c r="J90" s="138"/>
      <c r="K90" s="138"/>
      <c r="L90" s="138"/>
      <c r="M90" s="138"/>
      <c r="N90" s="138"/>
      <c r="O90" s="99"/>
      <c r="P90" s="99"/>
      <c r="Q90" s="99"/>
    </row>
    <row r="91" spans="1:17" x14ac:dyDescent="0.35">
      <c r="A91" s="82"/>
      <c r="B91" s="83"/>
      <c r="C91" s="83"/>
      <c r="D91" s="83"/>
      <c r="E91" s="83"/>
      <c r="F91" s="83"/>
      <c r="G91" s="83"/>
      <c r="H91" s="83"/>
      <c r="I91" s="83"/>
      <c r="J91" s="138"/>
      <c r="K91" s="138"/>
      <c r="L91" s="138"/>
      <c r="M91" s="138"/>
      <c r="N91" s="138"/>
    </row>
    <row r="92" spans="1:17" x14ac:dyDescent="0.35">
      <c r="A92" s="82"/>
      <c r="B92" s="83"/>
      <c r="C92" s="83"/>
      <c r="D92" s="83"/>
      <c r="E92" s="83"/>
      <c r="F92" s="83"/>
      <c r="G92" s="83"/>
      <c r="H92" s="83"/>
      <c r="I92" s="83"/>
      <c r="J92" s="138"/>
      <c r="K92" s="138"/>
      <c r="L92" s="138"/>
      <c r="M92" s="138"/>
      <c r="N92" s="138"/>
    </row>
    <row r="93" spans="1:17" x14ac:dyDescent="0.35">
      <c r="A93" s="82"/>
      <c r="B93" s="83"/>
      <c r="C93" s="83"/>
      <c r="D93" s="83"/>
      <c r="E93" s="83"/>
      <c r="F93" s="83"/>
      <c r="G93" s="83"/>
      <c r="H93" s="83"/>
      <c r="I93" s="83"/>
      <c r="J93" s="138"/>
      <c r="K93" s="138"/>
      <c r="L93" s="138"/>
      <c r="M93" s="138"/>
      <c r="N93" s="138"/>
    </row>
    <row r="94" spans="1:17" x14ac:dyDescent="0.35">
      <c r="A94" s="82"/>
      <c r="B94" s="83"/>
      <c r="C94" s="83"/>
      <c r="D94" s="83"/>
      <c r="E94" s="83"/>
      <c r="F94" s="83"/>
      <c r="G94" s="83"/>
      <c r="H94" s="83"/>
      <c r="I94" s="83"/>
      <c r="J94" s="99"/>
      <c r="K94" s="99"/>
      <c r="L94" s="99"/>
      <c r="M94" s="99"/>
      <c r="N94" s="99"/>
    </row>
    <row r="95" spans="1:17" x14ac:dyDescent="0.35">
      <c r="A95" s="82"/>
      <c r="B95" s="83"/>
      <c r="C95" s="83"/>
      <c r="D95" s="83"/>
      <c r="E95" s="83"/>
      <c r="F95" s="83"/>
      <c r="G95" s="83"/>
      <c r="H95" s="83"/>
      <c r="I95" s="83"/>
      <c r="J95" s="99"/>
      <c r="K95" s="99"/>
      <c r="L95" s="99"/>
      <c r="M95" s="99"/>
      <c r="N95" s="99"/>
    </row>
    <row r="96" spans="1:17" x14ac:dyDescent="0.35">
      <c r="A96" s="82"/>
      <c r="B96" s="83"/>
      <c r="C96" s="83"/>
      <c r="D96" s="83"/>
      <c r="E96" s="100"/>
      <c r="F96" s="100"/>
      <c r="G96" s="100"/>
      <c r="H96" s="82"/>
      <c r="I96" s="82"/>
    </row>
    <row r="97" spans="1:9" x14ac:dyDescent="0.35">
      <c r="A97" s="82"/>
      <c r="B97" s="83"/>
      <c r="C97" s="83"/>
      <c r="D97" s="83"/>
      <c r="E97" s="100"/>
      <c r="F97" s="100"/>
      <c r="G97" s="100"/>
      <c r="H97" s="82"/>
      <c r="I97" s="82"/>
    </row>
    <row r="98" spans="1:9" x14ac:dyDescent="0.35">
      <c r="A98" s="138"/>
      <c r="B98" s="138"/>
      <c r="C98" s="138"/>
      <c r="D98" s="138"/>
      <c r="E98" s="138"/>
      <c r="F98" s="138"/>
      <c r="G98" s="138"/>
      <c r="H98" s="138"/>
      <c r="I98" s="138"/>
    </row>
    <row r="99" spans="1:9" x14ac:dyDescent="0.35">
      <c r="A99" s="138"/>
      <c r="B99" s="138"/>
      <c r="C99" s="138"/>
      <c r="D99" s="138"/>
      <c r="E99" s="138"/>
      <c r="F99" s="138"/>
      <c r="G99" s="138"/>
      <c r="H99" s="138"/>
      <c r="I99" s="138"/>
    </row>
    <row r="100" spans="1:9" x14ac:dyDescent="0.35">
      <c r="A100" s="138"/>
      <c r="B100" s="138"/>
      <c r="C100" s="138"/>
      <c r="D100" s="138"/>
      <c r="E100" s="138"/>
      <c r="F100" s="138"/>
      <c r="G100" s="138"/>
      <c r="H100" s="138"/>
      <c r="I100" s="138"/>
    </row>
    <row r="101" spans="1:9" x14ac:dyDescent="0.35">
      <c r="A101" s="138"/>
      <c r="B101" s="138"/>
      <c r="C101" s="138"/>
      <c r="D101" s="138"/>
      <c r="E101" s="138"/>
      <c r="F101" s="138"/>
      <c r="G101" s="138"/>
      <c r="H101" s="138"/>
      <c r="I101" s="138"/>
    </row>
    <row r="102" spans="1:9" x14ac:dyDescent="0.35">
      <c r="A102" s="138"/>
      <c r="B102" s="138"/>
      <c r="C102" s="138"/>
      <c r="D102" s="138"/>
      <c r="E102" s="138"/>
      <c r="F102" s="138"/>
      <c r="G102" s="138"/>
      <c r="H102" s="138"/>
      <c r="I102" s="138"/>
    </row>
    <row r="103" spans="1:9" x14ac:dyDescent="0.35">
      <c r="A103" s="138"/>
      <c r="B103" s="138"/>
      <c r="C103" s="138"/>
      <c r="D103" s="138"/>
      <c r="E103" s="138"/>
      <c r="F103" s="138"/>
      <c r="G103" s="138"/>
      <c r="H103" s="138"/>
      <c r="I103" s="138"/>
    </row>
    <row r="104" spans="1:9" x14ac:dyDescent="0.35">
      <c r="A104" s="138"/>
      <c r="B104" s="138"/>
      <c r="C104" s="138"/>
      <c r="D104" s="138"/>
      <c r="E104" s="138"/>
      <c r="F104" s="138"/>
      <c r="G104" s="138"/>
      <c r="H104" s="138"/>
      <c r="I104" s="138"/>
    </row>
    <row r="105" spans="1:9" x14ac:dyDescent="0.35">
      <c r="A105" s="99"/>
      <c r="B105" s="99"/>
      <c r="C105" s="99"/>
      <c r="D105" s="99"/>
      <c r="E105" s="99"/>
      <c r="F105" s="99"/>
      <c r="G105" s="99"/>
      <c r="H105" s="99"/>
      <c r="I105" s="99"/>
    </row>
    <row r="106" spans="1:9" x14ac:dyDescent="0.35">
      <c r="A106" s="99"/>
      <c r="B106" s="99"/>
      <c r="C106" s="99"/>
      <c r="D106" s="99"/>
      <c r="E106" s="99"/>
      <c r="F106" s="99"/>
      <c r="G106" s="99"/>
      <c r="H106" s="99"/>
      <c r="I106" s="99"/>
    </row>
  </sheetData>
  <conditionalFormatting sqref="B5:D97">
    <cfRule type="cellIs" dxfId="10" priority="1" stopIfTrue="1" operator="equal">
      <formula>0</formula>
    </cfRule>
  </conditionalFormatting>
  <conditionalFormatting sqref="B5:I95">
    <cfRule type="cellIs" priority="2" stopIfTrue="1" operator="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51"/>
  <sheetViews>
    <sheetView workbookViewId="0">
      <selection activeCell="C12" sqref="C12"/>
    </sheetView>
  </sheetViews>
  <sheetFormatPr defaultRowHeight="12.5" x14ac:dyDescent="0.25"/>
  <cols>
    <col min="1" max="1" width="21.54296875" bestFit="1" customWidth="1"/>
    <col min="2" max="2" width="13.6328125" bestFit="1" customWidth="1"/>
  </cols>
  <sheetData>
    <row r="1" spans="1:5" x14ac:dyDescent="0.25">
      <c r="A1" t="s">
        <v>82</v>
      </c>
      <c r="B1" t="s">
        <v>37</v>
      </c>
    </row>
    <row r="2" spans="1:5" x14ac:dyDescent="0.25">
      <c r="A2" t="s">
        <v>83</v>
      </c>
      <c r="B2" t="e">
        <f>LOWER(prefix)&amp;country</f>
        <v>#N/A</v>
      </c>
    </row>
    <row r="3" spans="1:5" x14ac:dyDescent="0.25">
      <c r="A3" s="1" t="s">
        <v>199</v>
      </c>
      <c r="B3" t="e">
        <f>adjective</f>
        <v>#N/A</v>
      </c>
    </row>
    <row r="4" spans="1:5" x14ac:dyDescent="0.25">
      <c r="A4" t="s">
        <v>84</v>
      </c>
      <c r="B4" s="26" t="s">
        <v>247</v>
      </c>
    </row>
    <row r="5" spans="1:5" x14ac:dyDescent="0.25">
      <c r="A5" t="s">
        <v>173</v>
      </c>
      <c r="B5" s="26" t="s">
        <v>409</v>
      </c>
    </row>
    <row r="6" spans="1:5" x14ac:dyDescent="0.25">
      <c r="A6" t="s">
        <v>246</v>
      </c>
      <c r="B6" s="26" t="s">
        <v>350</v>
      </c>
    </row>
    <row r="7" spans="1:5" x14ac:dyDescent="0.25">
      <c r="A7" t="s">
        <v>85</v>
      </c>
      <c r="B7">
        <f>maxyear</f>
        <v>0</v>
      </c>
      <c r="C7" s="27"/>
      <c r="D7" s="27"/>
    </row>
    <row r="8" spans="1:5" x14ac:dyDescent="0.25">
      <c r="A8" s="1" t="s">
        <v>90</v>
      </c>
      <c r="B8" t="str">
        <f>IFERROR("$"&amp;IF(ABS(Details!$K$7)&gt;=10000,ROUND(ABS(Details!$K$7)/1000,0)&amp;"B",IF(ABS(Details!$K$7)&gt;=1000,TEXT(ROUND(ABS(Details!$K$7)/1000,1),"#,##0.0")&amp;"B",ABS(Details!$K$7)&amp;"M")),"n.a.")</f>
        <v>n.a.</v>
      </c>
    </row>
    <row r="9" spans="1:5" x14ac:dyDescent="0.25">
      <c r="A9" s="1" t="s">
        <v>91</v>
      </c>
      <c r="B9" t="str">
        <f>IFERROR("$"&amp;IF(ABS(Details!$K$32)&gt;=10000,ROUND(ABS(Details!$K$32)/1000,0)&amp;"B",IF(ABS(Details!$K$32)&gt;=1000,TEXT(ROUND(ABS(Details!$K$32)/1000,1),"#,##0.0")&amp;"B",ABS(Details!$K$32)&amp;"M")),"n.a.")</f>
        <v>n.a.</v>
      </c>
      <c r="E9" s="28"/>
    </row>
    <row r="10" spans="1:5" x14ac:dyDescent="0.25">
      <c r="A10" s="1" t="s">
        <v>87</v>
      </c>
      <c r="B10" s="2" t="str">
        <f>IFERROR(Details!$N$7&amp;IF(AND(MOD(ABS(Details!$N$7),100)&gt;10,MOD(ABS(Details!$N$7),100)&lt;14),"th",CHOOSE(MOD(ABS(Details!$N$7),10)+1,"th","st","nd","rd","th","th","th","th","th","th")),"n.a.")</f>
        <v>n.a.</v>
      </c>
    </row>
    <row r="11" spans="1:5" x14ac:dyDescent="0.25">
      <c r="A11" s="1" t="s">
        <v>86</v>
      </c>
      <c r="B11" s="2" t="str">
        <f>IFERROR(Details!$N$32&amp;IF(AND(MOD(ABS(Details!$N$32),100)&gt;10,MOD(ABS(Details!$N$32),100)&lt;14),"th",CHOOSE(MOD(ABS(Details!$N$32),10)+1,"th","st","nd","rd","th","th","th","th","th","th")),"n.a.")</f>
        <v>n.a.</v>
      </c>
    </row>
    <row r="12" spans="1:5" x14ac:dyDescent="0.25">
      <c r="A12" s="1" t="s">
        <v>88</v>
      </c>
      <c r="B12" s="31" t="str">
        <f>IFERROR(Details!$AH$22&amp;"%","n.a.")</f>
        <v>n.a.</v>
      </c>
      <c r="C12" s="30"/>
      <c r="D12" s="30"/>
    </row>
    <row r="13" spans="1:5" x14ac:dyDescent="0.25">
      <c r="A13" s="1" t="s">
        <v>89</v>
      </c>
      <c r="B13" s="29" t="str">
        <f>IFERROR(Details!$AH$48&amp;"%","n.a.")</f>
        <v>n.a.</v>
      </c>
    </row>
    <row r="14" spans="1:5" x14ac:dyDescent="0.25">
      <c r="A14" s="1" t="s">
        <v>119</v>
      </c>
      <c r="B14" t="str">
        <f>Details!$Q$19</f>
        <v xml:space="preserve">Data on Foreign Direct Investment from Australia on an IIC basis are unavailable. </v>
      </c>
    </row>
    <row r="15" spans="1:5" x14ac:dyDescent="0.25">
      <c r="A15" s="1" t="s">
        <v>120</v>
      </c>
      <c r="B15" t="str">
        <f>Details!$Q$45</f>
        <v xml:space="preserve">Data on Foreign Direct Investment from Australia on a UIC basis are unavailable. </v>
      </c>
    </row>
    <row r="16" spans="1:5" x14ac:dyDescent="0.25">
      <c r="A16" s="1" t="s">
        <v>125</v>
      </c>
      <c r="B16" t="str">
        <f>IFERROR(Details!$Q$50,Details!$Q$24)</f>
        <v/>
      </c>
    </row>
    <row r="17" spans="1:2" x14ac:dyDescent="0.25">
      <c r="A17" s="1" t="s">
        <v>159</v>
      </c>
      <c r="B17" t="e">
        <f>MNEs!$J$44</f>
        <v>#N/A</v>
      </c>
    </row>
    <row r="18" spans="1:2" x14ac:dyDescent="0.25">
      <c r="A18" s="1" t="s">
        <v>363</v>
      </c>
      <c r="B18" t="str">
        <f>MNEs!J51</f>
        <v/>
      </c>
    </row>
    <row r="19" spans="1:2" x14ac:dyDescent="0.25">
      <c r="A19" s="1" t="s">
        <v>122</v>
      </c>
      <c r="B19" t="str">
        <f>IFERROR(RND(Details!$K$57),"n.a.")</f>
        <v>n.a.</v>
      </c>
    </row>
    <row r="20" spans="1:2" x14ac:dyDescent="0.25">
      <c r="A20" s="1" t="s">
        <v>123</v>
      </c>
      <c r="B20" t="str">
        <f>IFERROR(IF(Details!$N$57&lt;&gt;1,Details!$N$57&amp;IF(AND(MOD(ABS(Details!$N$57),100)&gt;10,MOD(ABS(Details!$N$57),100)&lt;14),"th",CHOOSE(MOD(ABS(Details!$N$57),10)+1,"th","st","nd","rd","th","th","th","th","th","th"))&amp;" largest recipient country of CDIA stock","Largest recipient country of CDIA stock"),"n.a.")</f>
        <v>n.a.</v>
      </c>
    </row>
    <row r="21" spans="1:2" x14ac:dyDescent="0.25">
      <c r="A21" s="1" t="s">
        <v>124</v>
      </c>
      <c r="B21" t="str">
        <f>IFERROR(Details!$AH$72&amp;"%","n.a.")</f>
        <v>n.a.</v>
      </c>
    </row>
    <row r="22" spans="1:2" x14ac:dyDescent="0.25">
      <c r="A22" s="1" t="s">
        <v>121</v>
      </c>
      <c r="B22" t="str">
        <f>Details!$Q$69</f>
        <v>Data on Canadian Direct Investment in Australia are unavailable</v>
      </c>
    </row>
    <row r="23" spans="1:2" x14ac:dyDescent="0.25">
      <c r="A23" s="1" t="s">
        <v>126</v>
      </c>
      <c r="B23" t="str">
        <f>Details!$Q$74</f>
        <v/>
      </c>
    </row>
    <row r="24" spans="1:2" x14ac:dyDescent="0.25">
      <c r="A24" s="1" t="s">
        <v>160</v>
      </c>
      <c r="B24" t="str">
        <f>MNEs!$O$98</f>
        <v xml:space="preserve">Data on Canadian Multi-National Enterprises in Australia are unavailable. </v>
      </c>
    </row>
    <row r="25" spans="1:2" x14ac:dyDescent="0.25">
      <c r="A25" s="1" t="s">
        <v>238</v>
      </c>
      <c r="B25" t="str">
        <f>IFERROR(INDEX('Example Companies'!A:C,MATCH(country,'Example Companies'!A:A,0),MATCH('Example Companies'!$B$1,'Example Companies'!$A$1:$C$1,0)),'Example Companies'!$B$2)</f>
        <v>CSL Biotech Australia uses funds from CSL USA to invest in CSL Canada</v>
      </c>
    </row>
    <row r="26" spans="1:2" x14ac:dyDescent="0.25">
      <c r="A26" t="s">
        <v>326</v>
      </c>
      <c r="B26" t="e">
        <f>countryFr</f>
        <v>#N/A</v>
      </c>
    </row>
    <row r="27" spans="1:2" x14ac:dyDescent="0.25">
      <c r="A27" s="1" t="s">
        <v>362</v>
      </c>
      <c r="B27" t="e">
        <f>LOWER(prefixFr)</f>
        <v>#N/A</v>
      </c>
    </row>
    <row r="28" spans="1:2" x14ac:dyDescent="0.25">
      <c r="A28" s="1" t="s">
        <v>365</v>
      </c>
      <c r="B28" t="e">
        <f>IF(prefixFr2="de ",LOWER(prefixFr&amp;prefixFr2),prefixFr2)</f>
        <v>#N/A</v>
      </c>
    </row>
    <row r="29" spans="1:2" x14ac:dyDescent="0.25">
      <c r="A29" s="1" t="s">
        <v>327</v>
      </c>
      <c r="B29" t="e">
        <f>adjectiveFr</f>
        <v>#N/A</v>
      </c>
    </row>
    <row r="30" spans="1:2" x14ac:dyDescent="0.25">
      <c r="A30" s="1" t="s">
        <v>361</v>
      </c>
      <c r="B30" t="e">
        <f>femininPlural</f>
        <v>#N/A</v>
      </c>
    </row>
    <row r="31" spans="1:2" x14ac:dyDescent="0.25">
      <c r="A31" t="s">
        <v>328</v>
      </c>
      <c r="B31" t="s">
        <v>385</v>
      </c>
    </row>
    <row r="32" spans="1:2" x14ac:dyDescent="0.25">
      <c r="A32" t="s">
        <v>329</v>
      </c>
      <c r="B32" t="s">
        <v>410</v>
      </c>
    </row>
    <row r="33" spans="1:2" x14ac:dyDescent="0.25">
      <c r="A33" t="s">
        <v>330</v>
      </c>
      <c r="B33" t="s">
        <v>360</v>
      </c>
    </row>
    <row r="34" spans="1:2" x14ac:dyDescent="0.25">
      <c r="A34" s="1" t="s">
        <v>331</v>
      </c>
      <c r="B34" t="str">
        <f>IFERROR(RNDFR(Details!$K$7),"n.d.")</f>
        <v>n.d.</v>
      </c>
    </row>
    <row r="35" spans="1:2" x14ac:dyDescent="0.25">
      <c r="A35" s="1" t="s">
        <v>332</v>
      </c>
      <c r="B35" t="str">
        <f>IFERROR(RNDFR(Details!$K$32),"n.d.")</f>
        <v>n.d.</v>
      </c>
    </row>
    <row r="36" spans="1:2" x14ac:dyDescent="0.25">
      <c r="A36" s="1" t="s">
        <v>333</v>
      </c>
      <c r="B36" s="2" t="str">
        <f>IFERROR(Details!$N$7&amp;"e","n.d.")</f>
        <v>n.d.</v>
      </c>
    </row>
    <row r="37" spans="1:2" x14ac:dyDescent="0.25">
      <c r="A37" s="1" t="s">
        <v>334</v>
      </c>
      <c r="B37" s="2" t="str">
        <f>IFERROR(Details!$N$32&amp;"e","n.d.")</f>
        <v>n.d.</v>
      </c>
    </row>
    <row r="38" spans="1:2" x14ac:dyDescent="0.25">
      <c r="A38" s="1" t="s">
        <v>335</v>
      </c>
      <c r="B38" s="31" t="str">
        <f>IFERROR(Details!$BF$22,"n.d.")</f>
        <v>n.d.</v>
      </c>
    </row>
    <row r="39" spans="1:2" x14ac:dyDescent="0.25">
      <c r="A39" s="1" t="s">
        <v>336</v>
      </c>
      <c r="B39" s="29" t="str">
        <f>IFERROR(Details!$BF$48,"n.d.")</f>
        <v>n.d.</v>
      </c>
    </row>
    <row r="40" spans="1:2" x14ac:dyDescent="0.25">
      <c r="A40" s="1" t="s">
        <v>337</v>
      </c>
      <c r="B40" t="e">
        <f>Details!$AU$17</f>
        <v>#N/A</v>
      </c>
    </row>
    <row r="41" spans="1:2" x14ac:dyDescent="0.25">
      <c r="A41" s="1" t="s">
        <v>338</v>
      </c>
      <c r="B41" t="e">
        <f>Details!$AU$43</f>
        <v>#N/A</v>
      </c>
    </row>
    <row r="42" spans="1:2" x14ac:dyDescent="0.25">
      <c r="A42" s="1" t="s">
        <v>339</v>
      </c>
      <c r="B42" t="str">
        <f>IFERROR(Details!$AU$51,Details!$AU$25)</f>
        <v/>
      </c>
    </row>
    <row r="43" spans="1:2" x14ac:dyDescent="0.25">
      <c r="A43" s="1" t="s">
        <v>340</v>
      </c>
      <c r="B43" t="e">
        <f>MNEs!AB44</f>
        <v>#N/A</v>
      </c>
    </row>
    <row r="44" spans="1:2" x14ac:dyDescent="0.25">
      <c r="A44" s="1" t="s">
        <v>364</v>
      </c>
      <c r="B44" t="str">
        <f>MNEs!AB51</f>
        <v/>
      </c>
    </row>
    <row r="45" spans="1:2" x14ac:dyDescent="0.25">
      <c r="A45" s="1" t="s">
        <v>341</v>
      </c>
      <c r="B45" t="str">
        <f>IFERROR(RNDFR(Details!$K$57),"n.d.")</f>
        <v>n.d.</v>
      </c>
    </row>
    <row r="46" spans="1:2" x14ac:dyDescent="0.25">
      <c r="A46" s="1" t="s">
        <v>342</v>
      </c>
      <c r="B46" t="str">
        <f>IFERROR(IF(Details!$N$57&lt;&gt;1,Details!$BI$72&amp;" pays bénéficiaire du stock d’IDCE","Le plus important pays bénéficiaire du stock d’IDCE"),"n.d.")</f>
        <v>n.d.</v>
      </c>
    </row>
    <row r="47" spans="1:2" x14ac:dyDescent="0.25">
      <c r="A47" s="1" t="s">
        <v>343</v>
      </c>
      <c r="B47" t="str">
        <f>IFERROR(Details!$BF$72,"n.d.")</f>
        <v>n.d.</v>
      </c>
    </row>
    <row r="48" spans="1:2" x14ac:dyDescent="0.25">
      <c r="A48" s="1" t="s">
        <v>344</v>
      </c>
      <c r="B48" t="e">
        <f>Details!$AU$67</f>
        <v>#N/A</v>
      </c>
    </row>
    <row r="49" spans="1:2" x14ac:dyDescent="0.25">
      <c r="A49" s="1" t="s">
        <v>345</v>
      </c>
      <c r="B49" t="str">
        <f>Details!$AU$75</f>
        <v/>
      </c>
    </row>
    <row r="50" spans="1:2" x14ac:dyDescent="0.25">
      <c r="A50" s="1" t="s">
        <v>346</v>
      </c>
      <c r="B50" t="e">
        <f>MNEs!AM98</f>
        <v>#N/A</v>
      </c>
    </row>
    <row r="51" spans="1:2" x14ac:dyDescent="0.25">
      <c r="A51" s="1" t="s">
        <v>347</v>
      </c>
      <c r="B51" t="str">
        <f>IFERROR(INDEX('Example Companies'!A:C,MATCH(country,'Example Companies'!A:A,0),MATCH('Example Companies'!$C$1,'Example Companies'!$A$1:$C$1,0)),'Example Companies'!$B$2)</f>
        <v>CSL Biotech Australia utilise des fonds de CSL USA pour investir dans CSL Canada</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A14" sqref="A1:R14401"/>
    </sheetView>
  </sheetViews>
  <sheetFormatPr defaultRowHeight="12.5" x14ac:dyDescent="0.25"/>
  <cols>
    <col min="1" max="1" width="93.7265625"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D8" sqref="A1:R96895"/>
    </sheetView>
  </sheetViews>
  <sheetFormatPr defaultRowHeight="12.5" x14ac:dyDescent="0.25"/>
  <cols>
    <col min="6" max="6" width="57.7265625" customWidth="1"/>
    <col min="7" max="7" width="29.2695312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2"/>
  </sheetPr>
  <dimension ref="A2:Q216"/>
  <sheetViews>
    <sheetView showGridLines="0" showRowColHeaders="0" zoomScale="85" zoomScaleNormal="85" workbookViewId="0">
      <pane xSplit="1" ySplit="4" topLeftCell="B15" activePane="bottomRight" state="frozen"/>
      <selection activeCell="A5" sqref="A5"/>
      <selection pane="topRight" activeCell="A5" sqref="A5"/>
      <selection pane="bottomLeft" activeCell="A5" sqref="A5"/>
      <selection pane="bottomRight" activeCell="A4" sqref="A4:P56"/>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260</v>
      </c>
    </row>
    <row r="4" spans="1:17" s="101" customFormat="1" x14ac:dyDescent="0.35">
      <c r="A4" s="212"/>
      <c r="B4" s="212"/>
      <c r="C4" s="212"/>
      <c r="D4" s="212"/>
      <c r="E4" s="212"/>
      <c r="F4" s="212"/>
      <c r="G4" s="212"/>
      <c r="H4" s="212"/>
      <c r="I4" s="212"/>
      <c r="J4" s="212"/>
      <c r="K4" s="212"/>
      <c r="L4" s="212"/>
      <c r="M4" s="212"/>
      <c r="N4" s="212"/>
      <c r="O4" s="212"/>
      <c r="P4" s="212"/>
    </row>
    <row r="5" spans="1:17" s="101" customFormat="1" x14ac:dyDescent="0.35">
      <c r="A5" s="212"/>
      <c r="B5" s="214"/>
      <c r="C5" s="214"/>
      <c r="D5" s="214"/>
      <c r="E5" s="214"/>
      <c r="F5" s="214"/>
      <c r="G5" s="214"/>
      <c r="H5" s="214"/>
      <c r="I5" s="214"/>
      <c r="J5" s="214"/>
      <c r="K5" s="214"/>
      <c r="L5" s="213"/>
      <c r="M5" s="213"/>
      <c r="N5" s="213"/>
      <c r="O5" s="214"/>
      <c r="P5" s="214"/>
      <c r="Q5" s="91"/>
    </row>
    <row r="6" spans="1:17" s="101" customFormat="1" x14ac:dyDescent="0.35">
      <c r="A6" s="215"/>
      <c r="B6" s="216"/>
      <c r="C6" s="216"/>
      <c r="D6" s="216"/>
      <c r="E6" s="216"/>
      <c r="F6" s="216"/>
      <c r="G6" s="216"/>
      <c r="H6" s="216"/>
      <c r="I6" s="216"/>
      <c r="J6" s="216"/>
      <c r="K6" s="216"/>
      <c r="L6" s="217"/>
      <c r="M6" s="217"/>
      <c r="N6" s="217"/>
      <c r="O6" s="216"/>
      <c r="P6" s="216"/>
      <c r="Q6" s="91"/>
    </row>
    <row r="7" spans="1:17" s="101" customFormat="1" x14ac:dyDescent="0.35">
      <c r="A7" s="90"/>
      <c r="B7" s="91"/>
      <c r="C7" s="91"/>
      <c r="D7" s="91"/>
      <c r="E7" s="91"/>
      <c r="F7" s="91"/>
      <c r="G7" s="91"/>
      <c r="H7" s="91"/>
      <c r="I7" s="91"/>
      <c r="J7" s="91"/>
      <c r="K7" s="91"/>
      <c r="L7" s="213"/>
      <c r="M7" s="213"/>
      <c r="N7" s="213"/>
      <c r="O7" s="214"/>
      <c r="P7" s="214"/>
      <c r="Q7" s="91"/>
    </row>
    <row r="8" spans="1:17" s="101" customFormat="1" x14ac:dyDescent="0.35">
      <c r="A8" s="90"/>
      <c r="B8" s="91"/>
      <c r="C8" s="91"/>
      <c r="D8" s="91"/>
      <c r="E8" s="91"/>
      <c r="F8" s="91"/>
      <c r="G8" s="91"/>
      <c r="H8" s="91"/>
      <c r="I8" s="91"/>
      <c r="J8" s="91"/>
      <c r="K8" s="91"/>
      <c r="L8" s="213"/>
      <c r="M8" s="213"/>
      <c r="N8" s="213"/>
      <c r="O8" s="214"/>
      <c r="P8" s="214"/>
      <c r="Q8" s="91"/>
    </row>
    <row r="9" spans="1:17" s="101" customFormat="1" x14ac:dyDescent="0.35">
      <c r="A9" s="90"/>
      <c r="B9" s="91"/>
      <c r="C9" s="91"/>
      <c r="D9" s="91"/>
      <c r="E9" s="91"/>
      <c r="F9" s="91"/>
      <c r="G9" s="91"/>
      <c r="H9" s="91"/>
      <c r="I9" s="91"/>
      <c r="J9" s="91"/>
      <c r="K9" s="91"/>
      <c r="L9" s="213"/>
      <c r="M9" s="213"/>
      <c r="N9" s="213"/>
      <c r="O9" s="214"/>
      <c r="P9" s="214"/>
      <c r="Q9" s="91"/>
    </row>
    <row r="10" spans="1:17" s="101" customFormat="1" x14ac:dyDescent="0.35">
      <c r="A10" s="90"/>
      <c r="B10" s="91"/>
      <c r="C10" s="91"/>
      <c r="D10" s="91"/>
      <c r="E10" s="91"/>
      <c r="F10" s="91"/>
      <c r="G10" s="91"/>
      <c r="H10" s="91"/>
      <c r="I10" s="91"/>
      <c r="J10" s="91"/>
      <c r="K10" s="91"/>
      <c r="L10" s="213"/>
      <c r="M10" s="213"/>
      <c r="N10" s="213"/>
      <c r="O10" s="214"/>
      <c r="P10" s="214"/>
      <c r="Q10" s="91"/>
    </row>
    <row r="11" spans="1:17" s="101" customFormat="1" x14ac:dyDescent="0.35">
      <c r="A11" s="90"/>
      <c r="B11" s="91"/>
      <c r="C11" s="91"/>
      <c r="D11" s="91"/>
      <c r="E11" s="91"/>
      <c r="F11" s="91"/>
      <c r="G11" s="91"/>
      <c r="H11" s="91"/>
      <c r="I11" s="91"/>
      <c r="J11" s="91"/>
      <c r="K11" s="91"/>
      <c r="L11" s="213"/>
      <c r="M11" s="213"/>
      <c r="N11" s="213"/>
      <c r="O11" s="214"/>
      <c r="P11" s="214"/>
      <c r="Q11" s="91"/>
    </row>
    <row r="12" spans="1:17" s="101" customFormat="1" x14ac:dyDescent="0.35">
      <c r="A12" s="90"/>
      <c r="B12" s="91"/>
      <c r="C12" s="91"/>
      <c r="D12" s="91"/>
      <c r="E12" s="91"/>
      <c r="F12" s="91"/>
      <c r="G12" s="91"/>
      <c r="H12" s="91"/>
      <c r="I12" s="91"/>
      <c r="J12" s="91"/>
      <c r="K12" s="91"/>
      <c r="L12" s="213"/>
      <c r="M12" s="213"/>
      <c r="N12" s="213"/>
      <c r="O12" s="214"/>
      <c r="P12" s="214"/>
      <c r="Q12" s="91"/>
    </row>
    <row r="13" spans="1:17" s="101" customFormat="1" x14ac:dyDescent="0.35">
      <c r="A13" s="90"/>
      <c r="B13" s="91"/>
      <c r="C13" s="91"/>
      <c r="D13" s="91"/>
      <c r="E13" s="91"/>
      <c r="F13" s="91"/>
      <c r="G13" s="91"/>
      <c r="H13" s="91"/>
      <c r="I13" s="91"/>
      <c r="J13" s="91"/>
      <c r="K13" s="91"/>
      <c r="L13" s="213"/>
      <c r="M13" s="213"/>
      <c r="N13" s="213"/>
      <c r="O13" s="214"/>
      <c r="P13" s="214"/>
      <c r="Q13" s="91"/>
    </row>
    <row r="14" spans="1:17" s="101" customFormat="1" x14ac:dyDescent="0.35">
      <c r="A14" s="90"/>
      <c r="B14" s="91"/>
      <c r="C14" s="91"/>
      <c r="D14" s="91"/>
      <c r="E14" s="91"/>
      <c r="F14" s="91"/>
      <c r="G14" s="91"/>
      <c r="H14" s="91"/>
      <c r="I14" s="91"/>
      <c r="J14" s="91"/>
      <c r="K14" s="91"/>
      <c r="L14" s="213"/>
      <c r="M14" s="213"/>
      <c r="N14" s="213"/>
      <c r="O14" s="214"/>
      <c r="P14" s="214"/>
      <c r="Q14" s="91"/>
    </row>
    <row r="15" spans="1:17" s="101" customFormat="1" x14ac:dyDescent="0.35">
      <c r="A15" s="90"/>
      <c r="B15" s="91"/>
      <c r="C15" s="91"/>
      <c r="D15" s="91"/>
      <c r="E15" s="91"/>
      <c r="F15" s="91"/>
      <c r="G15" s="91"/>
      <c r="H15" s="91"/>
      <c r="I15" s="91"/>
      <c r="J15" s="91"/>
      <c r="K15" s="91"/>
      <c r="L15" s="213"/>
      <c r="M15" s="213"/>
      <c r="N15" s="213"/>
      <c r="O15" s="214"/>
      <c r="P15" s="214"/>
      <c r="Q15" s="91"/>
    </row>
    <row r="16" spans="1:17" s="101" customFormat="1" x14ac:dyDescent="0.35">
      <c r="A16" s="215"/>
      <c r="B16" s="216"/>
      <c r="C16" s="216"/>
      <c r="D16" s="216"/>
      <c r="E16" s="216"/>
      <c r="F16" s="216"/>
      <c r="G16" s="216"/>
      <c r="H16" s="216"/>
      <c r="I16" s="216"/>
      <c r="J16" s="216"/>
      <c r="K16" s="216"/>
      <c r="L16" s="217"/>
      <c r="M16" s="217"/>
      <c r="N16" s="217"/>
      <c r="O16" s="216"/>
      <c r="P16" s="216"/>
      <c r="Q16" s="91"/>
    </row>
    <row r="17" spans="1:17" s="101" customFormat="1" x14ac:dyDescent="0.35">
      <c r="A17" s="90"/>
      <c r="B17" s="91"/>
      <c r="C17" s="91"/>
      <c r="D17" s="91"/>
      <c r="E17" s="91"/>
      <c r="F17" s="91"/>
      <c r="G17" s="91"/>
      <c r="H17" s="91"/>
      <c r="I17" s="91"/>
      <c r="J17" s="91"/>
      <c r="K17" s="91"/>
      <c r="L17" s="213"/>
      <c r="M17" s="213"/>
      <c r="N17" s="213"/>
      <c r="O17" s="214"/>
      <c r="P17" s="214"/>
      <c r="Q17" s="91"/>
    </row>
    <row r="18" spans="1:17" s="101" customFormat="1" x14ac:dyDescent="0.35">
      <c r="A18" s="90"/>
      <c r="B18" s="91"/>
      <c r="C18" s="91"/>
      <c r="D18" s="91"/>
      <c r="E18" s="91"/>
      <c r="F18" s="91"/>
      <c r="G18" s="91"/>
      <c r="H18" s="91"/>
      <c r="I18" s="91"/>
      <c r="J18" s="91"/>
      <c r="K18" s="91"/>
      <c r="L18" s="213"/>
      <c r="M18" s="213"/>
      <c r="N18" s="213"/>
      <c r="O18" s="214"/>
      <c r="P18" s="214"/>
      <c r="Q18" s="91"/>
    </row>
    <row r="19" spans="1:17" s="101" customFormat="1" x14ac:dyDescent="0.35">
      <c r="A19" s="90"/>
      <c r="B19" s="91"/>
      <c r="C19" s="91"/>
      <c r="D19" s="91"/>
      <c r="E19" s="91"/>
      <c r="F19" s="91"/>
      <c r="G19" s="91"/>
      <c r="H19" s="91"/>
      <c r="I19" s="91"/>
      <c r="J19" s="91"/>
      <c r="K19" s="91"/>
      <c r="L19" s="213"/>
      <c r="M19" s="213"/>
      <c r="N19" s="213"/>
      <c r="O19" s="214"/>
      <c r="P19" s="214"/>
      <c r="Q19" s="91"/>
    </row>
    <row r="20" spans="1:17" s="101" customFormat="1" x14ac:dyDescent="0.35">
      <c r="A20" s="90"/>
      <c r="B20" s="91"/>
      <c r="C20" s="91"/>
      <c r="D20" s="91"/>
      <c r="E20" s="91"/>
      <c r="F20" s="91"/>
      <c r="G20" s="91"/>
      <c r="H20" s="91"/>
      <c r="I20" s="91"/>
      <c r="J20" s="91"/>
      <c r="K20" s="91"/>
      <c r="L20" s="213"/>
      <c r="M20" s="213"/>
      <c r="N20" s="213"/>
      <c r="O20" s="214"/>
      <c r="P20" s="214"/>
      <c r="Q20" s="91"/>
    </row>
    <row r="21" spans="1:17" s="101" customFormat="1" x14ac:dyDescent="0.35">
      <c r="A21" s="90"/>
      <c r="B21" s="91"/>
      <c r="C21" s="91"/>
      <c r="D21" s="91"/>
      <c r="E21" s="91"/>
      <c r="F21" s="91"/>
      <c r="G21" s="91"/>
      <c r="H21" s="91"/>
      <c r="I21" s="91"/>
      <c r="J21" s="91"/>
      <c r="K21" s="91"/>
      <c r="L21" s="213"/>
      <c r="M21" s="213"/>
      <c r="N21" s="213"/>
      <c r="O21" s="214"/>
      <c r="P21" s="214"/>
      <c r="Q21" s="91"/>
    </row>
    <row r="22" spans="1:17" s="101" customFormat="1" x14ac:dyDescent="0.35">
      <c r="A22" s="90"/>
      <c r="B22" s="91"/>
      <c r="C22" s="91"/>
      <c r="D22" s="91"/>
      <c r="E22" s="91"/>
      <c r="F22" s="91"/>
      <c r="G22" s="91"/>
      <c r="H22" s="91"/>
      <c r="I22" s="91"/>
      <c r="J22" s="91"/>
      <c r="K22" s="91"/>
      <c r="L22" s="213"/>
      <c r="M22" s="213"/>
      <c r="N22" s="213"/>
      <c r="O22" s="214"/>
      <c r="P22" s="214"/>
      <c r="Q22" s="91"/>
    </row>
    <row r="23" spans="1:17" s="101" customFormat="1" x14ac:dyDescent="0.35">
      <c r="A23" s="90"/>
      <c r="B23" s="91"/>
      <c r="C23" s="91"/>
      <c r="D23" s="91"/>
      <c r="E23" s="91"/>
      <c r="F23" s="91"/>
      <c r="G23" s="91"/>
      <c r="H23" s="91"/>
      <c r="I23" s="91"/>
      <c r="J23" s="91"/>
      <c r="K23" s="91"/>
      <c r="L23" s="213"/>
      <c r="M23" s="213"/>
      <c r="N23" s="213"/>
      <c r="O23" s="214"/>
      <c r="P23" s="214"/>
      <c r="Q23" s="91"/>
    </row>
    <row r="24" spans="1:17" s="101" customFormat="1" x14ac:dyDescent="0.35">
      <c r="A24" s="90"/>
      <c r="B24" s="91"/>
      <c r="C24" s="91"/>
      <c r="D24" s="91"/>
      <c r="E24" s="91"/>
      <c r="F24" s="91"/>
      <c r="G24" s="91"/>
      <c r="H24" s="91"/>
      <c r="I24" s="91"/>
      <c r="J24" s="91"/>
      <c r="K24" s="91"/>
      <c r="L24" s="213"/>
      <c r="M24" s="213"/>
      <c r="N24" s="213"/>
      <c r="O24" s="214"/>
      <c r="P24" s="214"/>
      <c r="Q24" s="91"/>
    </row>
    <row r="25" spans="1:17" s="101" customFormat="1" x14ac:dyDescent="0.35">
      <c r="A25" s="90"/>
      <c r="B25" s="91"/>
      <c r="C25" s="91"/>
      <c r="D25" s="91"/>
      <c r="E25" s="91"/>
      <c r="F25" s="91"/>
      <c r="G25" s="91"/>
      <c r="H25" s="91"/>
      <c r="I25" s="91"/>
      <c r="J25" s="91"/>
      <c r="K25" s="91"/>
      <c r="L25" s="213"/>
      <c r="M25" s="213"/>
      <c r="N25" s="213"/>
      <c r="O25" s="214"/>
      <c r="P25" s="214"/>
      <c r="Q25" s="91"/>
    </row>
    <row r="26" spans="1:17" s="101" customFormat="1" x14ac:dyDescent="0.35">
      <c r="A26" s="90"/>
      <c r="B26" s="91"/>
      <c r="C26" s="91"/>
      <c r="D26" s="91"/>
      <c r="E26" s="91"/>
      <c r="F26" s="91"/>
      <c r="G26" s="91"/>
      <c r="H26" s="91"/>
      <c r="I26" s="91"/>
      <c r="J26" s="91"/>
      <c r="K26" s="91"/>
      <c r="L26" s="213"/>
      <c r="M26" s="213"/>
      <c r="N26" s="213"/>
      <c r="O26" s="214"/>
      <c r="P26" s="214"/>
      <c r="Q26" s="91"/>
    </row>
    <row r="27" spans="1:17" s="101" customFormat="1" x14ac:dyDescent="0.35">
      <c r="A27" s="90"/>
      <c r="B27" s="91"/>
      <c r="C27" s="91"/>
      <c r="D27" s="91"/>
      <c r="E27" s="91"/>
      <c r="F27" s="91"/>
      <c r="G27" s="91"/>
      <c r="H27" s="91"/>
      <c r="I27" s="91"/>
      <c r="J27" s="91"/>
      <c r="K27" s="91"/>
      <c r="L27" s="213"/>
      <c r="M27" s="213"/>
      <c r="N27" s="213"/>
      <c r="O27" s="214"/>
      <c r="P27" s="214"/>
      <c r="Q27" s="91"/>
    </row>
    <row r="28" spans="1:17" s="101" customFormat="1" x14ac:dyDescent="0.35">
      <c r="A28" s="90"/>
      <c r="B28" s="91"/>
      <c r="C28" s="91"/>
      <c r="D28" s="91"/>
      <c r="E28" s="91"/>
      <c r="F28" s="91"/>
      <c r="G28" s="91"/>
      <c r="H28" s="91"/>
      <c r="I28" s="91"/>
      <c r="J28" s="91"/>
      <c r="K28" s="91"/>
      <c r="L28" s="213"/>
      <c r="M28" s="213"/>
      <c r="N28" s="213"/>
      <c r="O28" s="214"/>
      <c r="P28" s="214"/>
      <c r="Q28" s="91"/>
    </row>
    <row r="29" spans="1:17" s="101" customFormat="1" x14ac:dyDescent="0.35">
      <c r="A29" s="90"/>
      <c r="B29" s="91"/>
      <c r="C29" s="91"/>
      <c r="D29" s="91"/>
      <c r="E29" s="91"/>
      <c r="F29" s="91"/>
      <c r="G29" s="91"/>
      <c r="H29" s="91"/>
      <c r="I29" s="91"/>
      <c r="J29" s="91"/>
      <c r="K29" s="91"/>
      <c r="L29" s="213"/>
      <c r="M29" s="213"/>
      <c r="N29" s="213"/>
      <c r="O29" s="214"/>
      <c r="P29" s="214"/>
      <c r="Q29" s="91"/>
    </row>
    <row r="30" spans="1:17" s="101" customFormat="1" x14ac:dyDescent="0.35">
      <c r="A30" s="215"/>
      <c r="B30" s="216"/>
      <c r="C30" s="216"/>
      <c r="D30" s="216"/>
      <c r="E30" s="216"/>
      <c r="F30" s="216"/>
      <c r="G30" s="216"/>
      <c r="H30" s="216"/>
      <c r="I30" s="216"/>
      <c r="J30" s="216"/>
      <c r="K30" s="216"/>
      <c r="L30" s="217"/>
      <c r="M30" s="217"/>
      <c r="N30" s="217"/>
      <c r="O30" s="216"/>
      <c r="P30" s="216"/>
      <c r="Q30" s="91"/>
    </row>
    <row r="31" spans="1:17" s="101" customFormat="1" x14ac:dyDescent="0.35">
      <c r="A31" s="90"/>
      <c r="B31" s="91"/>
      <c r="C31" s="91"/>
      <c r="D31" s="91"/>
      <c r="E31" s="91"/>
      <c r="F31" s="91"/>
      <c r="G31" s="91"/>
      <c r="H31" s="91"/>
      <c r="I31" s="91"/>
      <c r="J31" s="91"/>
      <c r="K31" s="91"/>
      <c r="L31" s="213"/>
      <c r="M31" s="213"/>
      <c r="N31" s="213"/>
      <c r="O31" s="214"/>
      <c r="P31" s="214"/>
      <c r="Q31" s="91"/>
    </row>
    <row r="32" spans="1:17" s="101" customFormat="1" x14ac:dyDescent="0.35">
      <c r="A32" s="90"/>
      <c r="B32" s="91"/>
      <c r="C32" s="91"/>
      <c r="D32" s="91"/>
      <c r="E32" s="91"/>
      <c r="F32" s="91"/>
      <c r="G32" s="91"/>
      <c r="H32" s="91"/>
      <c r="I32" s="91"/>
      <c r="J32" s="91"/>
      <c r="K32" s="91"/>
      <c r="L32" s="213"/>
      <c r="M32" s="213"/>
      <c r="N32" s="213"/>
      <c r="O32" s="214"/>
      <c r="P32" s="214"/>
      <c r="Q32" s="91"/>
    </row>
    <row r="33" spans="1:17" s="101" customFormat="1" x14ac:dyDescent="0.35">
      <c r="A33" s="90"/>
      <c r="B33" s="91"/>
      <c r="C33" s="91"/>
      <c r="D33" s="91"/>
      <c r="E33" s="91"/>
      <c r="F33" s="91"/>
      <c r="G33" s="91"/>
      <c r="H33" s="91"/>
      <c r="I33" s="91"/>
      <c r="J33" s="91"/>
      <c r="K33" s="91"/>
      <c r="L33" s="213"/>
      <c r="M33" s="213"/>
      <c r="N33" s="213"/>
      <c r="O33" s="214"/>
      <c r="P33" s="214"/>
      <c r="Q33" s="91"/>
    </row>
    <row r="34" spans="1:17" s="101" customFormat="1" x14ac:dyDescent="0.35">
      <c r="A34" s="90"/>
      <c r="B34" s="91"/>
      <c r="C34" s="91"/>
      <c r="D34" s="91"/>
      <c r="E34" s="91"/>
      <c r="F34" s="91"/>
      <c r="G34" s="91"/>
      <c r="H34" s="91"/>
      <c r="I34" s="91"/>
      <c r="J34" s="91"/>
      <c r="K34" s="91"/>
      <c r="L34" s="213"/>
      <c r="M34" s="213"/>
      <c r="N34" s="213"/>
      <c r="O34" s="214"/>
      <c r="P34" s="214"/>
      <c r="Q34" s="91"/>
    </row>
    <row r="35" spans="1:17" s="101" customFormat="1" x14ac:dyDescent="0.35">
      <c r="A35" s="90"/>
      <c r="B35" s="91"/>
      <c r="C35" s="91"/>
      <c r="D35" s="91"/>
      <c r="E35" s="91"/>
      <c r="F35" s="91"/>
      <c r="G35" s="91"/>
      <c r="H35" s="91"/>
      <c r="I35" s="91"/>
      <c r="J35" s="91"/>
      <c r="K35" s="91"/>
      <c r="L35" s="213"/>
      <c r="M35" s="213"/>
      <c r="N35" s="213"/>
      <c r="O35" s="214"/>
      <c r="P35" s="214"/>
      <c r="Q35" s="91"/>
    </row>
    <row r="36" spans="1:17" s="101" customFormat="1" x14ac:dyDescent="0.35">
      <c r="A36" s="218"/>
      <c r="B36" s="219"/>
      <c r="C36" s="219"/>
      <c r="D36" s="219"/>
      <c r="E36" s="219"/>
      <c r="F36" s="219"/>
      <c r="G36" s="219"/>
      <c r="H36" s="219"/>
      <c r="I36" s="219"/>
      <c r="J36" s="219"/>
      <c r="K36" s="219"/>
      <c r="L36" s="217"/>
      <c r="M36" s="217"/>
      <c r="N36" s="217"/>
      <c r="O36" s="216"/>
      <c r="P36" s="216"/>
      <c r="Q36" s="91"/>
    </row>
    <row r="37" spans="1:17" s="101" customFormat="1" x14ac:dyDescent="0.35">
      <c r="A37" s="212"/>
      <c r="B37" s="91"/>
      <c r="C37" s="91"/>
      <c r="D37" s="91"/>
      <c r="E37" s="91"/>
      <c r="F37" s="91"/>
      <c r="G37" s="91"/>
      <c r="H37" s="91"/>
      <c r="I37" s="91"/>
      <c r="J37" s="91"/>
      <c r="K37" s="91"/>
      <c r="L37" s="213"/>
      <c r="M37" s="213"/>
      <c r="N37" s="213"/>
      <c r="O37" s="214"/>
      <c r="P37" s="214"/>
      <c r="Q37" s="91"/>
    </row>
    <row r="38" spans="1:17" s="101" customFormat="1" x14ac:dyDescent="0.35">
      <c r="A38" s="90"/>
      <c r="B38" s="91"/>
      <c r="C38" s="91"/>
      <c r="D38" s="91"/>
      <c r="E38" s="91"/>
      <c r="F38" s="91"/>
      <c r="G38" s="91"/>
      <c r="H38" s="91"/>
      <c r="I38" s="91"/>
      <c r="J38" s="91"/>
      <c r="K38" s="91"/>
      <c r="L38" s="213"/>
      <c r="M38" s="213"/>
      <c r="N38" s="213"/>
      <c r="O38" s="214"/>
      <c r="P38" s="214"/>
      <c r="Q38" s="91"/>
    </row>
    <row r="39" spans="1:17" s="101" customFormat="1" x14ac:dyDescent="0.35">
      <c r="A39" s="90"/>
      <c r="B39" s="91"/>
      <c r="C39" s="91"/>
      <c r="D39" s="91"/>
      <c r="E39" s="91"/>
      <c r="F39" s="91"/>
      <c r="G39" s="91"/>
      <c r="H39" s="91"/>
      <c r="I39" s="91"/>
      <c r="J39" s="91"/>
      <c r="K39" s="91"/>
      <c r="L39" s="213"/>
      <c r="M39" s="213"/>
      <c r="N39" s="213"/>
      <c r="O39" s="214"/>
      <c r="P39" s="214"/>
      <c r="Q39" s="91"/>
    </row>
    <row r="40" spans="1:17" s="101" customFormat="1" x14ac:dyDescent="0.35">
      <c r="A40" s="90"/>
      <c r="B40" s="91"/>
      <c r="C40" s="91"/>
      <c r="D40" s="91"/>
      <c r="E40" s="91"/>
      <c r="F40" s="91"/>
      <c r="G40" s="91"/>
      <c r="H40" s="91"/>
      <c r="I40" s="91"/>
      <c r="J40" s="91"/>
      <c r="K40" s="91"/>
      <c r="L40" s="213"/>
      <c r="M40" s="213"/>
      <c r="N40" s="213"/>
      <c r="O40" s="214"/>
      <c r="P40" s="214"/>
      <c r="Q40" s="91"/>
    </row>
    <row r="41" spans="1:17" s="101" customFormat="1" x14ac:dyDescent="0.35">
      <c r="A41" s="90"/>
      <c r="B41" s="91"/>
      <c r="C41" s="91"/>
      <c r="D41" s="91"/>
      <c r="E41" s="91"/>
      <c r="F41" s="91"/>
      <c r="G41" s="91"/>
      <c r="H41" s="91"/>
      <c r="I41" s="91"/>
      <c r="J41" s="91"/>
      <c r="K41" s="91"/>
      <c r="L41" s="213"/>
      <c r="M41" s="213"/>
      <c r="N41" s="213"/>
      <c r="O41" s="214"/>
      <c r="P41" s="214"/>
      <c r="Q41" s="91"/>
    </row>
    <row r="42" spans="1:17" s="101" customFormat="1" x14ac:dyDescent="0.35">
      <c r="A42" s="90"/>
      <c r="B42" s="91"/>
      <c r="C42" s="91"/>
      <c r="D42" s="91"/>
      <c r="E42" s="91"/>
      <c r="F42" s="91"/>
      <c r="G42" s="91"/>
      <c r="H42" s="91"/>
      <c r="I42" s="91"/>
      <c r="J42" s="91"/>
      <c r="K42" s="91"/>
      <c r="L42" s="213"/>
      <c r="M42" s="213"/>
      <c r="N42" s="213"/>
      <c r="O42" s="214"/>
      <c r="P42" s="214"/>
      <c r="Q42" s="91"/>
    </row>
    <row r="43" spans="1:17" s="101" customFormat="1" x14ac:dyDescent="0.35">
      <c r="A43" s="90"/>
      <c r="B43" s="91"/>
      <c r="C43" s="91"/>
      <c r="D43" s="91"/>
      <c r="E43" s="91"/>
      <c r="F43" s="91"/>
      <c r="G43" s="91"/>
      <c r="H43" s="91"/>
      <c r="I43" s="91"/>
      <c r="J43" s="91"/>
      <c r="K43" s="91"/>
      <c r="L43" s="213"/>
      <c r="M43" s="213"/>
      <c r="N43" s="213"/>
      <c r="O43" s="214"/>
      <c r="P43" s="214"/>
      <c r="Q43" s="91"/>
    </row>
    <row r="44" spans="1:17" s="101" customFormat="1" x14ac:dyDescent="0.35">
      <c r="A44" s="90"/>
      <c r="B44" s="91"/>
      <c r="C44" s="91"/>
      <c r="D44" s="91"/>
      <c r="E44" s="91"/>
      <c r="F44" s="91"/>
      <c r="G44" s="91"/>
      <c r="H44" s="91"/>
      <c r="I44" s="91"/>
      <c r="J44" s="91"/>
      <c r="K44" s="91"/>
      <c r="L44" s="213"/>
      <c r="M44" s="213"/>
      <c r="N44" s="213"/>
      <c r="O44" s="214"/>
      <c r="P44" s="214"/>
      <c r="Q44" s="91"/>
    </row>
    <row r="45" spans="1:17" s="101" customFormat="1" x14ac:dyDescent="0.35">
      <c r="A45" s="90"/>
      <c r="B45" s="91"/>
      <c r="C45" s="91"/>
      <c r="D45" s="91"/>
      <c r="E45" s="91"/>
      <c r="F45" s="91"/>
      <c r="G45" s="91"/>
      <c r="H45" s="91"/>
      <c r="I45" s="91"/>
      <c r="J45" s="91"/>
      <c r="K45" s="91"/>
      <c r="L45" s="213"/>
      <c r="M45" s="213"/>
      <c r="N45" s="213"/>
      <c r="O45" s="214"/>
      <c r="P45" s="214"/>
      <c r="Q45" s="91"/>
    </row>
    <row r="46" spans="1:17" s="101" customFormat="1" x14ac:dyDescent="0.35">
      <c r="A46" s="90"/>
      <c r="B46" s="91"/>
      <c r="C46" s="91"/>
      <c r="D46" s="91"/>
      <c r="E46" s="91"/>
      <c r="F46" s="91"/>
      <c r="G46" s="91"/>
      <c r="H46" s="91"/>
      <c r="I46" s="91"/>
      <c r="J46" s="91"/>
      <c r="K46" s="91"/>
      <c r="L46" s="94"/>
      <c r="M46" s="94"/>
      <c r="N46" s="94"/>
      <c r="O46" s="91"/>
      <c r="P46" s="91"/>
      <c r="Q46" s="91"/>
    </row>
    <row r="47" spans="1:17" s="101" customFormat="1" x14ac:dyDescent="0.35">
      <c r="A47" s="90"/>
      <c r="B47" s="91"/>
      <c r="C47" s="91"/>
      <c r="D47" s="91"/>
      <c r="E47" s="91"/>
      <c r="F47" s="91"/>
      <c r="G47" s="91"/>
      <c r="H47" s="91"/>
      <c r="I47" s="91"/>
      <c r="J47" s="91"/>
      <c r="K47" s="91"/>
      <c r="L47" s="94"/>
      <c r="M47" s="94"/>
      <c r="N47" s="94"/>
      <c r="O47" s="91"/>
      <c r="P47" s="91"/>
      <c r="Q47" s="91"/>
    </row>
    <row r="48" spans="1:17" s="101" customFormat="1" x14ac:dyDescent="0.35">
      <c r="A48" s="90"/>
      <c r="B48" s="91"/>
      <c r="C48" s="91"/>
      <c r="D48" s="91"/>
      <c r="E48" s="91"/>
      <c r="F48" s="91"/>
      <c r="G48" s="91"/>
      <c r="H48" s="91"/>
      <c r="I48" s="91"/>
      <c r="J48" s="91"/>
      <c r="K48" s="91"/>
      <c r="L48" s="94"/>
      <c r="M48" s="94"/>
      <c r="N48" s="94"/>
      <c r="O48" s="91"/>
      <c r="P48" s="91"/>
      <c r="Q48" s="91"/>
    </row>
    <row r="49" spans="1:17" s="101" customFormat="1" x14ac:dyDescent="0.35">
      <c r="A49" s="90"/>
      <c r="B49" s="91"/>
      <c r="C49" s="91"/>
      <c r="D49" s="91"/>
      <c r="E49" s="91"/>
      <c r="F49" s="91"/>
      <c r="G49" s="91"/>
      <c r="H49" s="91"/>
      <c r="I49" s="91"/>
      <c r="J49" s="91"/>
      <c r="K49" s="91"/>
      <c r="L49" s="94"/>
      <c r="M49" s="94"/>
      <c r="N49" s="94"/>
      <c r="O49" s="91"/>
      <c r="P49" s="91"/>
      <c r="Q49" s="91"/>
    </row>
    <row r="50" spans="1:17" s="101" customFormat="1" x14ac:dyDescent="0.35">
      <c r="A50" s="90"/>
      <c r="B50" s="91"/>
      <c r="C50" s="91"/>
      <c r="D50" s="91"/>
      <c r="E50" s="91"/>
      <c r="F50" s="91"/>
      <c r="G50" s="91"/>
      <c r="H50" s="91"/>
      <c r="I50" s="91"/>
      <c r="J50" s="91"/>
      <c r="K50" s="91"/>
      <c r="L50" s="94"/>
      <c r="M50" s="94"/>
      <c r="N50" s="94"/>
      <c r="O50" s="91"/>
      <c r="P50" s="91"/>
      <c r="Q50" s="91"/>
    </row>
    <row r="51" spans="1:17" s="101" customFormat="1" x14ac:dyDescent="0.35">
      <c r="A51" s="90"/>
      <c r="B51" s="91"/>
      <c r="C51" s="91"/>
      <c r="D51" s="91"/>
      <c r="E51" s="91"/>
      <c r="F51" s="91"/>
      <c r="G51" s="91"/>
      <c r="H51" s="91"/>
      <c r="I51" s="91"/>
      <c r="J51" s="91"/>
      <c r="K51" s="91"/>
      <c r="L51" s="94"/>
      <c r="M51" s="94"/>
      <c r="N51" s="94"/>
      <c r="O51" s="91"/>
      <c r="P51" s="91"/>
      <c r="Q51" s="91"/>
    </row>
    <row r="52" spans="1:17" s="101" customFormat="1" x14ac:dyDescent="0.35">
      <c r="A52" s="90"/>
      <c r="B52" s="91"/>
      <c r="C52" s="91"/>
      <c r="D52" s="91"/>
      <c r="E52" s="91"/>
      <c r="F52" s="91"/>
      <c r="G52" s="91"/>
      <c r="H52" s="91"/>
      <c r="I52" s="91"/>
      <c r="J52" s="91"/>
      <c r="K52" s="91"/>
      <c r="L52" s="94"/>
      <c r="M52" s="94"/>
      <c r="N52" s="94"/>
      <c r="O52" s="91"/>
      <c r="P52" s="91"/>
      <c r="Q52" s="91"/>
    </row>
    <row r="53" spans="1:17" s="101" customFormat="1" x14ac:dyDescent="0.35">
      <c r="A53" s="90"/>
      <c r="B53" s="91"/>
      <c r="C53" s="91"/>
      <c r="D53" s="91"/>
      <c r="E53" s="91"/>
      <c r="F53" s="91"/>
      <c r="G53" s="91"/>
      <c r="H53" s="91"/>
      <c r="I53" s="91"/>
      <c r="J53" s="91"/>
      <c r="K53" s="91"/>
      <c r="L53" s="94"/>
      <c r="M53" s="94"/>
      <c r="N53" s="94"/>
      <c r="O53" s="91"/>
      <c r="P53" s="91"/>
      <c r="Q53" s="91"/>
    </row>
    <row r="54" spans="1:17" s="101" customFormat="1" x14ac:dyDescent="0.35">
      <c r="A54" s="90"/>
      <c r="B54" s="91"/>
      <c r="C54" s="91"/>
      <c r="D54" s="91"/>
      <c r="E54" s="91"/>
      <c r="F54" s="91"/>
      <c r="G54" s="91"/>
      <c r="H54" s="91"/>
      <c r="I54" s="91"/>
      <c r="J54" s="91"/>
      <c r="K54" s="91"/>
      <c r="L54" s="94"/>
      <c r="M54" s="94"/>
      <c r="N54" s="94"/>
      <c r="O54" s="91"/>
      <c r="P54" s="91"/>
      <c r="Q54" s="91"/>
    </row>
    <row r="55" spans="1:17" s="101" customFormat="1" x14ac:dyDescent="0.35">
      <c r="A55" s="90"/>
      <c r="B55" s="91"/>
      <c r="C55" s="91"/>
      <c r="D55" s="91"/>
      <c r="E55" s="91"/>
      <c r="F55" s="91"/>
      <c r="G55" s="91"/>
      <c r="H55" s="91"/>
      <c r="I55" s="91"/>
      <c r="J55" s="91"/>
      <c r="K55" s="91"/>
      <c r="L55" s="94"/>
      <c r="M55" s="94"/>
      <c r="N55" s="94"/>
      <c r="O55" s="91"/>
      <c r="P55" s="91"/>
      <c r="Q55" s="91"/>
    </row>
    <row r="56" spans="1:17" s="101" customFormat="1" x14ac:dyDescent="0.35">
      <c r="A56" s="90"/>
      <c r="B56" s="91"/>
      <c r="C56" s="91"/>
      <c r="D56" s="91"/>
      <c r="E56" s="91"/>
      <c r="F56" s="91"/>
      <c r="G56" s="91"/>
      <c r="H56" s="91"/>
      <c r="I56" s="91"/>
      <c r="J56" s="91"/>
      <c r="K56" s="94"/>
      <c r="L56" s="94"/>
      <c r="M56" s="94"/>
      <c r="N56" s="91"/>
      <c r="O56" s="91"/>
      <c r="P56" s="91"/>
      <c r="Q56" s="91"/>
    </row>
    <row r="57" spans="1:17" s="101" customFormat="1" x14ac:dyDescent="0.35">
      <c r="A57" s="90"/>
      <c r="B57" s="91"/>
      <c r="C57" s="91"/>
      <c r="D57" s="91"/>
      <c r="E57" s="91"/>
      <c r="F57" s="91"/>
      <c r="G57" s="91"/>
      <c r="H57" s="91"/>
      <c r="I57" s="91"/>
      <c r="J57" s="91"/>
      <c r="K57" s="94"/>
      <c r="L57" s="94"/>
      <c r="M57" s="94"/>
      <c r="N57" s="91"/>
      <c r="O57" s="91"/>
      <c r="P57" s="91"/>
      <c r="Q57" s="91"/>
    </row>
    <row r="58" spans="1:17" s="101" customFormat="1" x14ac:dyDescent="0.35">
      <c r="A58" s="90"/>
      <c r="B58" s="91"/>
      <c r="C58" s="91"/>
      <c r="D58" s="91"/>
      <c r="E58" s="91"/>
      <c r="F58" s="91"/>
      <c r="G58" s="91"/>
      <c r="H58" s="91"/>
      <c r="I58" s="91"/>
      <c r="J58" s="91"/>
      <c r="K58" s="94"/>
      <c r="L58" s="94"/>
      <c r="M58" s="94"/>
      <c r="N58" s="91"/>
      <c r="O58" s="91"/>
      <c r="P58" s="91"/>
      <c r="Q58" s="91"/>
    </row>
    <row r="59" spans="1:17" s="101" customFormat="1" x14ac:dyDescent="0.35">
      <c r="A59" s="90"/>
      <c r="B59" s="91"/>
      <c r="C59" s="91"/>
      <c r="D59" s="91"/>
      <c r="E59" s="91"/>
      <c r="F59" s="91"/>
      <c r="G59" s="91"/>
      <c r="H59" s="91"/>
      <c r="I59" s="91"/>
      <c r="J59" s="91"/>
      <c r="K59" s="94"/>
      <c r="L59" s="94"/>
      <c r="M59" s="94"/>
      <c r="N59" s="91"/>
      <c r="O59" s="91"/>
      <c r="P59" s="91"/>
      <c r="Q59" s="91"/>
    </row>
    <row r="60" spans="1:17" s="101" customFormat="1" x14ac:dyDescent="0.35">
      <c r="A60" s="90"/>
      <c r="B60" s="91"/>
      <c r="C60" s="91"/>
      <c r="D60" s="91"/>
      <c r="E60" s="91"/>
      <c r="F60" s="91"/>
      <c r="G60" s="91"/>
      <c r="H60" s="91"/>
      <c r="I60" s="91"/>
      <c r="J60" s="91"/>
      <c r="K60" s="94"/>
      <c r="L60" s="94"/>
      <c r="M60" s="94"/>
      <c r="N60" s="91"/>
      <c r="O60" s="91"/>
      <c r="P60" s="91"/>
      <c r="Q60" s="91"/>
    </row>
    <row r="61" spans="1:17" s="101" customFormat="1" x14ac:dyDescent="0.35">
      <c r="A61" s="90"/>
      <c r="B61" s="91"/>
      <c r="C61" s="91"/>
      <c r="D61" s="91"/>
      <c r="E61" s="91"/>
      <c r="F61" s="91"/>
      <c r="G61" s="91"/>
      <c r="H61" s="91"/>
      <c r="I61" s="91"/>
      <c r="J61" s="91"/>
      <c r="K61" s="94"/>
      <c r="L61" s="94"/>
      <c r="M61" s="94"/>
      <c r="N61" s="91"/>
      <c r="O61" s="91"/>
      <c r="P61" s="91"/>
      <c r="Q61" s="91"/>
    </row>
    <row r="62" spans="1:17" s="101" customFormat="1" x14ac:dyDescent="0.35">
      <c r="A62" s="90"/>
      <c r="B62" s="91"/>
      <c r="C62" s="91"/>
      <c r="D62" s="91"/>
      <c r="E62" s="91"/>
      <c r="F62" s="91"/>
      <c r="G62" s="91"/>
      <c r="H62" s="91"/>
      <c r="I62" s="91"/>
      <c r="J62" s="91"/>
      <c r="K62" s="94"/>
      <c r="L62" s="94"/>
      <c r="M62" s="94"/>
      <c r="N62" s="91"/>
      <c r="O62" s="91"/>
      <c r="P62" s="91"/>
      <c r="Q62" s="91"/>
    </row>
    <row r="63" spans="1:17" s="101" customFormat="1" x14ac:dyDescent="0.35">
      <c r="A63" s="90"/>
      <c r="B63" s="91"/>
      <c r="C63" s="91"/>
      <c r="D63" s="91"/>
      <c r="E63" s="91"/>
      <c r="F63" s="91"/>
      <c r="G63" s="91"/>
      <c r="H63" s="91"/>
      <c r="I63" s="91"/>
      <c r="J63" s="91"/>
      <c r="K63" s="94"/>
      <c r="L63" s="94"/>
      <c r="M63" s="94"/>
      <c r="N63" s="91"/>
      <c r="O63" s="91"/>
      <c r="P63" s="91"/>
      <c r="Q63" s="91"/>
    </row>
    <row r="64" spans="1:17" s="101" customFormat="1" x14ac:dyDescent="0.35">
      <c r="A64" s="90"/>
      <c r="B64" s="91"/>
      <c r="C64" s="91"/>
      <c r="D64" s="91"/>
      <c r="E64" s="91"/>
      <c r="F64" s="91"/>
      <c r="G64" s="91"/>
      <c r="H64" s="91"/>
      <c r="I64" s="91"/>
      <c r="J64" s="91"/>
      <c r="K64" s="94"/>
      <c r="L64" s="94"/>
      <c r="M64" s="94"/>
      <c r="N64" s="91"/>
      <c r="O64" s="91"/>
      <c r="P64" s="91"/>
      <c r="Q64" s="91"/>
    </row>
    <row r="65" spans="1:17" s="101" customFormat="1" x14ac:dyDescent="0.35">
      <c r="A65" s="90"/>
      <c r="B65" s="91"/>
      <c r="C65" s="91"/>
      <c r="D65" s="91"/>
      <c r="E65" s="91"/>
      <c r="F65" s="91"/>
      <c r="G65" s="91"/>
      <c r="H65" s="91"/>
      <c r="I65" s="91"/>
      <c r="J65" s="91"/>
      <c r="K65" s="94"/>
      <c r="L65" s="94"/>
      <c r="M65" s="94"/>
      <c r="N65" s="91"/>
      <c r="O65" s="91"/>
      <c r="P65" s="91"/>
      <c r="Q65" s="91"/>
    </row>
    <row r="66" spans="1:17" s="101" customFormat="1" x14ac:dyDescent="0.35">
      <c r="A66" s="90"/>
      <c r="B66" s="91"/>
      <c r="C66" s="91"/>
      <c r="D66" s="91"/>
      <c r="E66" s="91"/>
      <c r="F66" s="91"/>
      <c r="G66" s="91"/>
      <c r="H66" s="91"/>
      <c r="I66" s="91"/>
      <c r="J66" s="91"/>
      <c r="K66" s="94"/>
      <c r="L66" s="94"/>
      <c r="M66" s="94"/>
      <c r="N66" s="91"/>
      <c r="O66" s="91"/>
      <c r="P66" s="91"/>
      <c r="Q66" s="91"/>
    </row>
    <row r="67" spans="1:17" s="101" customFormat="1" x14ac:dyDescent="0.35">
      <c r="A67" s="90"/>
      <c r="B67" s="91"/>
      <c r="C67" s="91"/>
      <c r="D67" s="91"/>
      <c r="E67" s="91"/>
      <c r="F67" s="91"/>
      <c r="G67" s="91"/>
      <c r="H67" s="91"/>
      <c r="I67" s="91"/>
      <c r="J67" s="91"/>
      <c r="K67" s="94"/>
      <c r="L67" s="94"/>
      <c r="M67" s="94"/>
      <c r="N67" s="91"/>
      <c r="O67" s="91"/>
      <c r="P67" s="91"/>
      <c r="Q67" s="91"/>
    </row>
    <row r="68" spans="1:17" s="101" customFormat="1" x14ac:dyDescent="0.35">
      <c r="A68" s="90"/>
      <c r="B68" s="91"/>
      <c r="C68" s="91"/>
      <c r="D68" s="91"/>
      <c r="E68" s="91"/>
      <c r="F68" s="91"/>
      <c r="G68" s="91"/>
      <c r="H68" s="91"/>
      <c r="I68" s="91"/>
      <c r="J68" s="91"/>
      <c r="K68" s="94"/>
      <c r="L68" s="94"/>
      <c r="M68" s="94"/>
      <c r="N68" s="91"/>
      <c r="O68" s="91"/>
      <c r="P68" s="91"/>
      <c r="Q68" s="91"/>
    </row>
    <row r="69" spans="1:17" s="101" customFormat="1" x14ac:dyDescent="0.35">
      <c r="A69" s="90"/>
      <c r="B69" s="91"/>
      <c r="C69" s="91"/>
      <c r="D69" s="91"/>
      <c r="E69" s="91"/>
      <c r="F69" s="91"/>
      <c r="G69" s="91"/>
      <c r="H69" s="91"/>
      <c r="I69" s="91"/>
      <c r="J69" s="91"/>
      <c r="K69" s="94"/>
      <c r="L69" s="94"/>
      <c r="M69" s="94"/>
      <c r="N69" s="91"/>
      <c r="O69" s="91"/>
      <c r="P69" s="91"/>
      <c r="Q69" s="91"/>
    </row>
    <row r="70" spans="1:17" s="101" customFormat="1" x14ac:dyDescent="0.35">
      <c r="A70" s="90"/>
      <c r="B70" s="91"/>
      <c r="C70" s="91"/>
      <c r="D70" s="91"/>
      <c r="E70" s="91"/>
      <c r="F70" s="91"/>
      <c r="G70" s="91"/>
      <c r="H70" s="91"/>
      <c r="I70" s="91"/>
      <c r="J70" s="91"/>
      <c r="K70" s="94"/>
      <c r="L70" s="94"/>
      <c r="M70" s="94"/>
      <c r="N70" s="91"/>
      <c r="O70" s="91"/>
      <c r="P70" s="91"/>
      <c r="Q70" s="91"/>
    </row>
    <row r="71" spans="1:17" s="101" customFormat="1" x14ac:dyDescent="0.35">
      <c r="A71" s="90"/>
      <c r="B71" s="91"/>
      <c r="C71" s="91"/>
      <c r="D71" s="91"/>
      <c r="E71" s="91"/>
      <c r="F71" s="91"/>
      <c r="G71" s="91"/>
      <c r="H71" s="91"/>
      <c r="I71" s="91"/>
      <c r="J71" s="91"/>
      <c r="K71" s="94"/>
      <c r="L71" s="94"/>
      <c r="M71" s="94"/>
      <c r="N71" s="91"/>
      <c r="O71" s="91"/>
      <c r="P71" s="91"/>
      <c r="Q71" s="91"/>
    </row>
    <row r="72" spans="1:17" s="101" customFormat="1" x14ac:dyDescent="0.35">
      <c r="A72" s="90"/>
      <c r="B72" s="91"/>
      <c r="C72" s="91"/>
      <c r="D72" s="91"/>
      <c r="E72" s="91"/>
      <c r="F72" s="91"/>
      <c r="G72" s="91"/>
      <c r="H72" s="91"/>
      <c r="I72" s="91"/>
      <c r="J72" s="91"/>
      <c r="K72" s="94"/>
      <c r="L72" s="94"/>
      <c r="M72" s="94"/>
      <c r="N72" s="91"/>
      <c r="O72" s="91"/>
      <c r="P72" s="91"/>
      <c r="Q72" s="91"/>
    </row>
    <row r="73" spans="1:17" s="101" customFormat="1" x14ac:dyDescent="0.35">
      <c r="A73" s="90"/>
      <c r="B73" s="91"/>
      <c r="C73" s="91"/>
      <c r="D73" s="91"/>
      <c r="E73" s="91"/>
      <c r="F73" s="91"/>
      <c r="G73" s="91"/>
      <c r="H73" s="91"/>
      <c r="I73" s="91"/>
      <c r="J73" s="91"/>
      <c r="K73" s="94"/>
      <c r="L73" s="94"/>
      <c r="M73" s="94"/>
      <c r="N73" s="91"/>
      <c r="O73" s="91"/>
      <c r="P73" s="91"/>
      <c r="Q73" s="91"/>
    </row>
    <row r="74" spans="1:17" s="101" customFormat="1" x14ac:dyDescent="0.35">
      <c r="A74" s="90"/>
      <c r="B74" s="91"/>
      <c r="C74" s="91"/>
      <c r="D74" s="91"/>
      <c r="E74" s="91"/>
      <c r="F74" s="91"/>
      <c r="G74" s="91"/>
      <c r="H74" s="91"/>
      <c r="I74" s="91"/>
      <c r="J74" s="91"/>
      <c r="K74" s="94"/>
      <c r="L74" s="94"/>
      <c r="M74" s="94"/>
      <c r="N74" s="91"/>
      <c r="O74" s="91"/>
      <c r="P74" s="91"/>
      <c r="Q74" s="91"/>
    </row>
    <row r="75" spans="1:17" s="101" customFormat="1" x14ac:dyDescent="0.35">
      <c r="A75" s="90"/>
      <c r="B75" s="91"/>
      <c r="C75" s="91"/>
      <c r="D75" s="91"/>
      <c r="E75" s="91"/>
      <c r="F75" s="91"/>
      <c r="G75" s="91"/>
      <c r="H75" s="91"/>
      <c r="I75" s="91"/>
      <c r="J75" s="91"/>
      <c r="K75" s="94"/>
      <c r="L75" s="94"/>
      <c r="M75" s="94"/>
      <c r="N75" s="91"/>
      <c r="O75" s="91"/>
      <c r="P75" s="91"/>
      <c r="Q75" s="91"/>
    </row>
    <row r="76" spans="1:17" s="101" customFormat="1" x14ac:dyDescent="0.35">
      <c r="A76" s="90"/>
      <c r="B76" s="91"/>
      <c r="C76" s="91"/>
      <c r="D76" s="91"/>
      <c r="E76" s="91"/>
      <c r="F76" s="91"/>
      <c r="G76" s="91"/>
      <c r="H76" s="91"/>
      <c r="I76" s="91"/>
      <c r="J76" s="91"/>
      <c r="K76" s="94"/>
      <c r="L76" s="94"/>
      <c r="M76" s="94"/>
      <c r="N76" s="91"/>
      <c r="O76" s="91"/>
      <c r="P76" s="91"/>
      <c r="Q76" s="91"/>
    </row>
    <row r="77" spans="1:17" s="101" customFormat="1" x14ac:dyDescent="0.35">
      <c r="A77" s="90"/>
      <c r="B77" s="91"/>
      <c r="C77" s="91"/>
      <c r="D77" s="91"/>
      <c r="E77" s="91"/>
      <c r="F77" s="91"/>
      <c r="G77" s="91"/>
      <c r="H77" s="91"/>
      <c r="I77" s="91"/>
      <c r="J77" s="91"/>
      <c r="K77" s="94"/>
      <c r="L77" s="94"/>
      <c r="M77" s="94"/>
      <c r="N77" s="91"/>
      <c r="O77" s="91"/>
      <c r="P77" s="91"/>
      <c r="Q77" s="91"/>
    </row>
    <row r="78" spans="1:17" s="101" customFormat="1" x14ac:dyDescent="0.35">
      <c r="A78" s="90"/>
      <c r="B78" s="91"/>
      <c r="C78" s="91"/>
      <c r="D78" s="91"/>
      <c r="E78" s="91"/>
      <c r="F78" s="91"/>
      <c r="G78" s="91"/>
      <c r="H78" s="91"/>
      <c r="I78" s="91"/>
      <c r="J78" s="91"/>
      <c r="K78" s="94"/>
      <c r="L78" s="94"/>
      <c r="M78" s="94"/>
      <c r="N78" s="91"/>
      <c r="O78" s="91"/>
      <c r="P78" s="91"/>
      <c r="Q78" s="91"/>
    </row>
    <row r="79" spans="1:17" s="101" customFormat="1" x14ac:dyDescent="0.35">
      <c r="A79" s="90"/>
      <c r="B79" s="91"/>
      <c r="C79" s="91"/>
      <c r="D79" s="91"/>
      <c r="E79" s="91"/>
      <c r="F79" s="91"/>
      <c r="G79" s="91"/>
      <c r="H79" s="91"/>
      <c r="I79" s="91"/>
      <c r="J79" s="91"/>
      <c r="K79" s="94"/>
      <c r="L79" s="94"/>
      <c r="M79" s="94"/>
      <c r="N79" s="91"/>
      <c r="O79" s="91"/>
      <c r="P79" s="91"/>
      <c r="Q79" s="91"/>
    </row>
    <row r="80" spans="1:17" s="101" customFormat="1" x14ac:dyDescent="0.35">
      <c r="A80" s="90"/>
      <c r="B80" s="91"/>
      <c r="C80" s="91"/>
      <c r="D80" s="91"/>
      <c r="E80" s="91"/>
      <c r="F80" s="91"/>
      <c r="G80" s="91"/>
      <c r="H80" s="91"/>
      <c r="I80" s="91"/>
      <c r="J80" s="91"/>
      <c r="K80" s="94"/>
      <c r="L80" s="94"/>
      <c r="M80" s="94"/>
      <c r="N80" s="91"/>
      <c r="O80" s="91"/>
      <c r="P80" s="91"/>
      <c r="Q80" s="91"/>
    </row>
    <row r="81" spans="1:17" s="101" customFormat="1" x14ac:dyDescent="0.35">
      <c r="A81" s="90"/>
      <c r="B81" s="91"/>
      <c r="C81" s="91"/>
      <c r="D81" s="91"/>
      <c r="E81" s="91"/>
      <c r="F81" s="91"/>
      <c r="G81" s="91"/>
      <c r="H81" s="91"/>
      <c r="I81" s="91"/>
      <c r="J81" s="91"/>
      <c r="K81" s="94"/>
      <c r="L81" s="94"/>
      <c r="M81" s="94"/>
      <c r="N81" s="91"/>
      <c r="O81" s="91"/>
      <c r="P81" s="91"/>
      <c r="Q81" s="91"/>
    </row>
    <row r="82" spans="1:17" s="101" customFormat="1" x14ac:dyDescent="0.35">
      <c r="A82" s="90"/>
      <c r="B82" s="91"/>
      <c r="C82" s="91"/>
      <c r="D82" s="91"/>
      <c r="E82" s="91"/>
      <c r="F82" s="91"/>
      <c r="G82" s="91"/>
      <c r="H82" s="91"/>
      <c r="I82" s="91"/>
      <c r="J82" s="91"/>
      <c r="K82" s="94"/>
      <c r="L82" s="94"/>
      <c r="M82" s="94"/>
      <c r="N82" s="91"/>
      <c r="O82" s="91"/>
      <c r="P82" s="91"/>
      <c r="Q82" s="91"/>
    </row>
    <row r="83" spans="1:17" s="101" customFormat="1" x14ac:dyDescent="0.35">
      <c r="A83" s="90"/>
      <c r="B83" s="91"/>
      <c r="C83" s="91"/>
      <c r="D83" s="91"/>
      <c r="E83" s="91"/>
      <c r="F83" s="91"/>
      <c r="G83" s="91"/>
      <c r="H83" s="91"/>
      <c r="I83" s="91"/>
      <c r="J83" s="91"/>
      <c r="K83" s="94"/>
      <c r="L83" s="94"/>
      <c r="M83" s="94"/>
      <c r="N83" s="91"/>
      <c r="O83" s="91"/>
      <c r="P83" s="91"/>
      <c r="Q83" s="91"/>
    </row>
    <row r="84" spans="1:17" s="101" customFormat="1" x14ac:dyDescent="0.35">
      <c r="A84" s="90"/>
      <c r="B84" s="91"/>
      <c r="C84" s="91"/>
      <c r="D84" s="91"/>
      <c r="E84" s="91"/>
      <c r="F84" s="91"/>
      <c r="G84" s="91"/>
      <c r="H84" s="91"/>
      <c r="I84" s="91"/>
      <c r="J84" s="91"/>
      <c r="K84" s="94"/>
      <c r="L84" s="94"/>
      <c r="M84" s="94"/>
      <c r="N84" s="91"/>
      <c r="O84" s="91"/>
      <c r="P84" s="91"/>
      <c r="Q84" s="91"/>
    </row>
    <row r="85" spans="1:17" s="101" customFormat="1" x14ac:dyDescent="0.35">
      <c r="A85" s="90"/>
      <c r="B85" s="91"/>
      <c r="C85" s="91"/>
      <c r="D85" s="91"/>
      <c r="E85" s="91"/>
      <c r="F85" s="91"/>
      <c r="G85" s="91"/>
      <c r="H85" s="91"/>
      <c r="I85" s="91"/>
      <c r="J85" s="91"/>
      <c r="K85" s="94"/>
      <c r="L85" s="94"/>
      <c r="M85" s="94"/>
      <c r="N85" s="91"/>
      <c r="O85" s="91"/>
      <c r="P85" s="91"/>
      <c r="Q85" s="91"/>
    </row>
    <row r="86" spans="1:17" s="101" customFormat="1" x14ac:dyDescent="0.35">
      <c r="A86" s="90"/>
      <c r="B86" s="91"/>
      <c r="C86" s="91"/>
      <c r="D86" s="91"/>
      <c r="E86" s="91"/>
      <c r="F86" s="91"/>
      <c r="G86" s="91"/>
      <c r="H86" s="91"/>
      <c r="I86" s="91"/>
      <c r="J86" s="91"/>
      <c r="K86" s="94"/>
      <c r="L86" s="94"/>
      <c r="M86" s="94"/>
      <c r="N86" s="91"/>
      <c r="O86" s="91"/>
      <c r="P86" s="91"/>
      <c r="Q86" s="91"/>
    </row>
    <row r="87" spans="1:17" s="101" customFormat="1" x14ac:dyDescent="0.35">
      <c r="A87" s="90"/>
      <c r="B87" s="91"/>
      <c r="C87" s="91"/>
      <c r="D87" s="91"/>
      <c r="E87" s="91"/>
      <c r="F87" s="91"/>
      <c r="G87" s="91"/>
      <c r="H87" s="91"/>
      <c r="I87" s="91"/>
      <c r="J87" s="91"/>
      <c r="K87" s="94"/>
      <c r="L87" s="94"/>
      <c r="M87" s="94"/>
      <c r="N87" s="91"/>
      <c r="O87" s="91"/>
      <c r="P87" s="91"/>
      <c r="Q87" s="91"/>
    </row>
    <row r="88" spans="1:17" s="101" customFormat="1" x14ac:dyDescent="0.35">
      <c r="A88" s="90"/>
      <c r="B88" s="91"/>
      <c r="C88" s="91"/>
      <c r="D88" s="91"/>
      <c r="E88" s="91"/>
      <c r="F88" s="91"/>
      <c r="G88" s="91"/>
      <c r="H88" s="91"/>
      <c r="I88" s="91"/>
      <c r="J88" s="91"/>
      <c r="K88" s="94"/>
      <c r="L88" s="94"/>
      <c r="M88" s="94"/>
      <c r="N88" s="91"/>
      <c r="O88" s="91"/>
      <c r="P88" s="91"/>
      <c r="Q88" s="91"/>
    </row>
    <row r="89" spans="1:17" s="101" customFormat="1" x14ac:dyDescent="0.35">
      <c r="A89" s="90"/>
      <c r="B89" s="91"/>
      <c r="C89" s="91"/>
      <c r="D89" s="91"/>
      <c r="E89" s="91"/>
      <c r="F89" s="91"/>
      <c r="G89" s="91"/>
      <c r="H89" s="91"/>
      <c r="I89" s="91"/>
      <c r="J89" s="91"/>
      <c r="K89" s="94"/>
      <c r="L89" s="94"/>
      <c r="M89" s="94"/>
      <c r="N89" s="91"/>
      <c r="O89" s="91"/>
      <c r="P89" s="91"/>
      <c r="Q89" s="91"/>
    </row>
    <row r="90" spans="1:17" s="101" customFormat="1" x14ac:dyDescent="0.35">
      <c r="A90" s="90"/>
      <c r="B90" s="91"/>
      <c r="C90" s="91"/>
      <c r="D90" s="91"/>
      <c r="E90" s="91"/>
      <c r="F90" s="91"/>
      <c r="G90" s="91"/>
      <c r="H90" s="91"/>
      <c r="I90" s="91"/>
      <c r="J90" s="91"/>
      <c r="K90" s="94"/>
      <c r="L90" s="94"/>
      <c r="M90" s="94"/>
      <c r="N90" s="91"/>
      <c r="O90" s="91"/>
      <c r="P90" s="91"/>
      <c r="Q90" s="91"/>
    </row>
    <row r="91" spans="1:17" s="101" customFormat="1" x14ac:dyDescent="0.35">
      <c r="A91" s="90"/>
      <c r="B91" s="91"/>
      <c r="C91" s="91"/>
      <c r="D91" s="91"/>
      <c r="E91" s="91"/>
      <c r="F91" s="91"/>
      <c r="G91" s="91"/>
      <c r="H91" s="91"/>
      <c r="I91" s="91"/>
      <c r="J91" s="91"/>
      <c r="K91" s="94"/>
      <c r="L91" s="94"/>
      <c r="M91" s="94"/>
      <c r="N91" s="91"/>
      <c r="O91" s="91"/>
      <c r="P91" s="91"/>
      <c r="Q91" s="91"/>
    </row>
    <row r="92" spans="1:17" s="101" customFormat="1" x14ac:dyDescent="0.35">
      <c r="A92" s="90"/>
      <c r="B92" s="91"/>
      <c r="C92" s="91"/>
      <c r="D92" s="91"/>
      <c r="E92" s="91"/>
      <c r="F92" s="91"/>
      <c r="G92" s="91"/>
      <c r="H92" s="91"/>
      <c r="I92" s="91"/>
      <c r="J92" s="91"/>
      <c r="K92" s="94"/>
      <c r="L92" s="94"/>
      <c r="M92" s="94"/>
      <c r="N92" s="91"/>
      <c r="O92" s="91"/>
      <c r="P92" s="91"/>
      <c r="Q92" s="91"/>
    </row>
    <row r="93" spans="1:17" s="101" customFormat="1" x14ac:dyDescent="0.35">
      <c r="A93" s="90"/>
      <c r="B93" s="91"/>
      <c r="C93" s="91"/>
      <c r="D93" s="91"/>
      <c r="E93" s="91"/>
      <c r="F93" s="91"/>
      <c r="G93" s="91"/>
      <c r="H93" s="91"/>
      <c r="I93" s="91"/>
      <c r="J93" s="91"/>
      <c r="K93" s="94"/>
      <c r="L93" s="94"/>
      <c r="M93" s="94"/>
      <c r="N93" s="91"/>
      <c r="O93" s="91"/>
      <c r="P93" s="91"/>
      <c r="Q93" s="91"/>
    </row>
    <row r="94" spans="1:17" s="101" customFormat="1" x14ac:dyDescent="0.35">
      <c r="A94" s="90"/>
      <c r="B94" s="91"/>
      <c r="C94" s="91"/>
      <c r="D94" s="91"/>
      <c r="E94" s="91"/>
      <c r="F94" s="91"/>
      <c r="G94" s="91"/>
      <c r="H94" s="91"/>
      <c r="I94" s="91"/>
      <c r="J94" s="91"/>
      <c r="K94" s="94"/>
      <c r="L94" s="94"/>
      <c r="M94" s="94"/>
      <c r="N94" s="91"/>
      <c r="O94" s="91"/>
      <c r="P94" s="91"/>
      <c r="Q94" s="91"/>
    </row>
    <row r="95" spans="1:17" s="101" customFormat="1" x14ac:dyDescent="0.35">
      <c r="A95" s="90"/>
      <c r="B95" s="91"/>
      <c r="C95" s="91"/>
      <c r="D95" s="91"/>
      <c r="E95" s="91"/>
      <c r="F95" s="91"/>
      <c r="G95" s="91"/>
      <c r="H95" s="91"/>
      <c r="I95" s="91"/>
      <c r="J95" s="91"/>
      <c r="K95" s="94"/>
      <c r="L95" s="94"/>
      <c r="M95" s="94"/>
      <c r="N95" s="91"/>
      <c r="O95" s="91"/>
      <c r="P95" s="91"/>
      <c r="Q95" s="91"/>
    </row>
    <row r="96" spans="1:17" s="101" customFormat="1" x14ac:dyDescent="0.35">
      <c r="A96" s="90"/>
      <c r="B96" s="91"/>
      <c r="C96" s="91"/>
      <c r="D96" s="91"/>
      <c r="E96" s="91"/>
      <c r="F96" s="91"/>
      <c r="G96" s="91"/>
      <c r="H96" s="91"/>
      <c r="I96" s="91"/>
      <c r="J96" s="91"/>
      <c r="K96" s="94"/>
      <c r="L96" s="94"/>
      <c r="M96" s="94"/>
      <c r="N96" s="91"/>
      <c r="O96" s="91"/>
      <c r="P96" s="91"/>
      <c r="Q96" s="91"/>
    </row>
    <row r="97" spans="1:17" s="101" customFormat="1" x14ac:dyDescent="0.35">
      <c r="A97" s="90"/>
      <c r="B97" s="91"/>
      <c r="C97" s="91"/>
      <c r="D97" s="91"/>
      <c r="E97" s="91"/>
      <c r="F97" s="91"/>
      <c r="G97" s="91"/>
      <c r="H97" s="91"/>
      <c r="I97" s="91"/>
      <c r="J97" s="91"/>
      <c r="K97" s="94"/>
      <c r="L97" s="94"/>
      <c r="M97" s="94"/>
      <c r="N97" s="91"/>
      <c r="O97" s="91"/>
      <c r="P97" s="91"/>
      <c r="Q97" s="91"/>
    </row>
    <row r="98" spans="1:17" s="101" customFormat="1" x14ac:dyDescent="0.35">
      <c r="A98" s="90"/>
      <c r="B98" s="91"/>
      <c r="C98" s="91"/>
      <c r="D98" s="91"/>
      <c r="E98" s="91"/>
      <c r="F98" s="91"/>
      <c r="G98" s="91"/>
      <c r="H98" s="91"/>
      <c r="I98" s="91"/>
      <c r="J98" s="91"/>
      <c r="K98" s="94"/>
      <c r="L98" s="94"/>
      <c r="M98" s="94"/>
      <c r="N98" s="91"/>
      <c r="O98" s="91"/>
      <c r="P98" s="91"/>
      <c r="Q98" s="91"/>
    </row>
    <row r="99" spans="1:17" s="101" customFormat="1" x14ac:dyDescent="0.35">
      <c r="A99" s="90"/>
      <c r="B99" s="91"/>
      <c r="C99" s="91"/>
      <c r="D99" s="91"/>
      <c r="E99" s="91"/>
      <c r="F99" s="91"/>
      <c r="G99" s="91"/>
      <c r="H99" s="91"/>
      <c r="I99" s="91"/>
      <c r="J99" s="91"/>
      <c r="K99" s="94"/>
      <c r="L99" s="94"/>
      <c r="M99" s="94"/>
      <c r="N99" s="91"/>
      <c r="O99" s="91"/>
      <c r="P99" s="91"/>
      <c r="Q99" s="91"/>
    </row>
    <row r="100" spans="1:17" s="101" customFormat="1" x14ac:dyDescent="0.35">
      <c r="A100" s="90"/>
      <c r="B100" s="91"/>
      <c r="C100" s="91"/>
      <c r="D100" s="91"/>
      <c r="E100" s="91"/>
      <c r="F100" s="91"/>
      <c r="G100" s="91"/>
      <c r="H100" s="91"/>
      <c r="I100" s="91"/>
      <c r="J100" s="91"/>
      <c r="K100" s="94"/>
      <c r="L100" s="94"/>
      <c r="M100" s="94"/>
      <c r="N100" s="91"/>
      <c r="O100" s="91"/>
      <c r="P100" s="91"/>
      <c r="Q100" s="91"/>
    </row>
    <row r="101" spans="1:17" s="101" customFormat="1" x14ac:dyDescent="0.35">
      <c r="A101" s="90"/>
      <c r="B101" s="91"/>
      <c r="C101" s="91"/>
      <c r="D101" s="91"/>
      <c r="E101" s="91"/>
      <c r="F101" s="91"/>
      <c r="G101" s="91"/>
      <c r="H101" s="91"/>
      <c r="I101" s="91"/>
      <c r="J101" s="91"/>
      <c r="K101" s="94"/>
      <c r="L101" s="94"/>
      <c r="M101" s="94"/>
      <c r="N101" s="91"/>
      <c r="O101" s="91"/>
      <c r="P101" s="91"/>
      <c r="Q101" s="91"/>
    </row>
    <row r="102" spans="1:17" s="101" customFormat="1" x14ac:dyDescent="0.35">
      <c r="A102" s="90"/>
      <c r="B102" s="91"/>
      <c r="C102" s="91"/>
      <c r="D102" s="91"/>
      <c r="E102" s="91"/>
      <c r="F102" s="91"/>
      <c r="G102" s="91"/>
      <c r="H102" s="91"/>
      <c r="I102" s="91"/>
      <c r="J102" s="91"/>
      <c r="K102" s="94"/>
      <c r="L102" s="94"/>
      <c r="M102" s="94"/>
      <c r="N102" s="91"/>
      <c r="O102" s="91"/>
      <c r="P102" s="91"/>
      <c r="Q102" s="91"/>
    </row>
    <row r="103" spans="1:17" s="101" customFormat="1" x14ac:dyDescent="0.35">
      <c r="A103" s="90"/>
      <c r="B103" s="91"/>
      <c r="C103" s="91"/>
      <c r="D103" s="91"/>
      <c r="E103" s="91"/>
      <c r="F103" s="91"/>
      <c r="G103" s="91"/>
      <c r="H103" s="91"/>
      <c r="I103" s="91"/>
      <c r="J103" s="91"/>
      <c r="K103" s="94"/>
      <c r="L103" s="94"/>
      <c r="M103" s="94"/>
      <c r="N103" s="91"/>
      <c r="O103" s="91"/>
      <c r="P103" s="91"/>
      <c r="Q103" s="91"/>
    </row>
    <row r="104" spans="1:17" s="101" customFormat="1" x14ac:dyDescent="0.35">
      <c r="A104" s="90"/>
      <c r="B104" s="91"/>
      <c r="C104" s="91"/>
      <c r="D104" s="91"/>
      <c r="E104" s="91"/>
      <c r="F104" s="91"/>
      <c r="G104" s="91"/>
      <c r="H104" s="91"/>
      <c r="I104" s="91"/>
      <c r="J104" s="91"/>
      <c r="K104" s="94"/>
      <c r="L104" s="94"/>
      <c r="M104" s="94"/>
      <c r="N104" s="91"/>
      <c r="O104" s="91"/>
      <c r="P104" s="91"/>
      <c r="Q104" s="91"/>
    </row>
    <row r="105" spans="1:17" s="101" customFormat="1" x14ac:dyDescent="0.35">
      <c r="A105" s="90"/>
      <c r="B105" s="91"/>
      <c r="C105" s="91"/>
      <c r="D105" s="91"/>
      <c r="E105" s="91"/>
      <c r="F105" s="91"/>
      <c r="G105" s="91"/>
      <c r="H105" s="91"/>
      <c r="I105" s="91"/>
      <c r="J105" s="91"/>
      <c r="K105" s="94"/>
      <c r="L105" s="94"/>
      <c r="M105" s="94"/>
      <c r="N105" s="91"/>
      <c r="O105" s="91"/>
      <c r="P105" s="91"/>
      <c r="Q105" s="91"/>
    </row>
    <row r="106" spans="1:17" s="101" customFormat="1" x14ac:dyDescent="0.35">
      <c r="A106" s="90"/>
      <c r="B106" s="91"/>
      <c r="C106" s="91"/>
      <c r="D106" s="91"/>
      <c r="E106" s="91"/>
      <c r="F106" s="91"/>
      <c r="G106" s="91"/>
      <c r="H106" s="91"/>
      <c r="I106" s="91"/>
      <c r="J106" s="91"/>
      <c r="K106" s="94"/>
      <c r="L106" s="94"/>
      <c r="M106" s="94"/>
      <c r="N106" s="91"/>
      <c r="O106" s="91"/>
      <c r="P106" s="91"/>
      <c r="Q106" s="91"/>
    </row>
    <row r="107" spans="1:17" s="101" customFormat="1" x14ac:dyDescent="0.35">
      <c r="A107" s="90"/>
      <c r="B107" s="91"/>
      <c r="C107" s="91"/>
      <c r="D107" s="91"/>
      <c r="E107" s="91"/>
      <c r="F107" s="91"/>
      <c r="G107" s="91"/>
      <c r="H107" s="91"/>
      <c r="I107" s="91"/>
      <c r="J107" s="91"/>
      <c r="K107" s="94"/>
      <c r="L107" s="94"/>
      <c r="M107" s="94"/>
      <c r="N107" s="91"/>
      <c r="O107" s="91"/>
      <c r="P107" s="91"/>
      <c r="Q107" s="91"/>
    </row>
    <row r="108" spans="1:17" s="101" customFormat="1" x14ac:dyDescent="0.35">
      <c r="A108" s="90"/>
      <c r="B108" s="91"/>
      <c r="C108" s="91"/>
      <c r="D108" s="91"/>
      <c r="E108" s="91"/>
      <c r="F108" s="91"/>
      <c r="G108" s="91"/>
      <c r="H108" s="91"/>
      <c r="I108" s="91"/>
      <c r="J108" s="91"/>
      <c r="K108" s="94"/>
      <c r="L108" s="94"/>
      <c r="M108" s="94"/>
      <c r="N108" s="91"/>
      <c r="O108" s="91"/>
      <c r="P108" s="91"/>
      <c r="Q108" s="91"/>
    </row>
    <row r="109" spans="1:17" s="101" customFormat="1" x14ac:dyDescent="0.35">
      <c r="A109" s="90"/>
      <c r="B109" s="91"/>
      <c r="C109" s="91"/>
      <c r="D109" s="91"/>
      <c r="E109" s="91"/>
      <c r="F109" s="91"/>
      <c r="G109" s="91"/>
      <c r="H109" s="91"/>
      <c r="I109" s="91"/>
      <c r="J109" s="91"/>
      <c r="K109" s="94"/>
      <c r="L109" s="94"/>
      <c r="M109" s="94"/>
      <c r="N109" s="91"/>
      <c r="O109" s="91"/>
      <c r="P109" s="91"/>
      <c r="Q109" s="91"/>
    </row>
    <row r="110" spans="1:17" s="101" customFormat="1" x14ac:dyDescent="0.35">
      <c r="A110" s="90"/>
      <c r="B110" s="91"/>
      <c r="C110" s="91"/>
      <c r="D110" s="91"/>
      <c r="E110" s="91"/>
      <c r="F110" s="91"/>
      <c r="G110" s="91"/>
      <c r="H110" s="91"/>
      <c r="I110" s="91"/>
      <c r="J110" s="91"/>
      <c r="K110" s="94"/>
      <c r="L110" s="94"/>
      <c r="M110" s="94"/>
      <c r="N110" s="91"/>
      <c r="O110" s="91"/>
      <c r="P110" s="91"/>
      <c r="Q110" s="91"/>
    </row>
    <row r="111" spans="1:17" s="101" customFormat="1" x14ac:dyDescent="0.35">
      <c r="A111" s="90"/>
      <c r="B111" s="91"/>
      <c r="C111" s="91"/>
      <c r="D111" s="91"/>
      <c r="E111" s="91"/>
      <c r="F111" s="91"/>
      <c r="G111" s="91"/>
      <c r="H111" s="91"/>
      <c r="I111" s="91"/>
      <c r="J111" s="91"/>
      <c r="K111" s="94"/>
      <c r="L111" s="94"/>
      <c r="M111" s="94"/>
      <c r="N111" s="91"/>
      <c r="O111" s="91"/>
      <c r="P111" s="91"/>
      <c r="Q111" s="91"/>
    </row>
    <row r="112" spans="1:17" s="101" customFormat="1" x14ac:dyDescent="0.35">
      <c r="A112" s="90"/>
      <c r="B112" s="91"/>
      <c r="C112" s="91"/>
      <c r="D112" s="91"/>
      <c r="E112" s="91"/>
      <c r="F112" s="91"/>
      <c r="G112" s="91"/>
      <c r="H112" s="91"/>
      <c r="I112" s="91"/>
      <c r="J112" s="91"/>
      <c r="K112" s="94"/>
      <c r="L112" s="94"/>
      <c r="M112" s="94"/>
      <c r="N112" s="91"/>
      <c r="O112" s="91"/>
      <c r="P112" s="91"/>
      <c r="Q112" s="91"/>
    </row>
    <row r="113" spans="1:17" s="101" customFormat="1" x14ac:dyDescent="0.35">
      <c r="A113" s="90"/>
      <c r="B113" s="91"/>
      <c r="C113" s="91"/>
      <c r="D113" s="91"/>
      <c r="E113" s="91"/>
      <c r="F113" s="91"/>
      <c r="G113" s="91"/>
      <c r="H113" s="91"/>
      <c r="I113" s="91"/>
      <c r="J113" s="91"/>
      <c r="K113" s="94"/>
      <c r="L113" s="94"/>
      <c r="M113" s="94"/>
      <c r="N113" s="91"/>
      <c r="O113" s="91"/>
      <c r="P113" s="91"/>
      <c r="Q113" s="91"/>
    </row>
    <row r="114" spans="1:17" s="101" customFormat="1" x14ac:dyDescent="0.35">
      <c r="A114" s="90"/>
      <c r="B114" s="91"/>
      <c r="C114" s="91"/>
      <c r="D114" s="91"/>
      <c r="E114" s="91"/>
      <c r="F114" s="91"/>
      <c r="G114" s="91"/>
      <c r="H114" s="91"/>
      <c r="I114" s="91"/>
      <c r="J114" s="91"/>
      <c r="K114" s="94"/>
      <c r="L114" s="94"/>
      <c r="M114" s="94"/>
      <c r="N114" s="91"/>
      <c r="O114" s="91"/>
      <c r="P114" s="91"/>
      <c r="Q114" s="91"/>
    </row>
    <row r="115" spans="1:17" s="101" customFormat="1" x14ac:dyDescent="0.35">
      <c r="A115" s="90"/>
      <c r="B115" s="91"/>
      <c r="C115" s="91"/>
      <c r="D115" s="91"/>
      <c r="E115" s="91"/>
      <c r="F115" s="91"/>
      <c r="G115" s="91"/>
      <c r="H115" s="91"/>
      <c r="I115" s="91"/>
      <c r="J115" s="91"/>
      <c r="K115" s="94"/>
      <c r="L115" s="94"/>
      <c r="M115" s="94"/>
      <c r="N115" s="91"/>
      <c r="O115" s="91"/>
      <c r="P115" s="91"/>
      <c r="Q115" s="91"/>
    </row>
    <row r="116" spans="1:17" s="101" customFormat="1" x14ac:dyDescent="0.35">
      <c r="A116" s="90"/>
      <c r="B116" s="91"/>
      <c r="C116" s="91"/>
      <c r="D116" s="91"/>
      <c r="E116" s="91"/>
      <c r="F116" s="91"/>
      <c r="G116" s="91"/>
      <c r="H116" s="91"/>
      <c r="I116" s="91"/>
      <c r="J116" s="91"/>
      <c r="K116" s="94"/>
      <c r="L116" s="94"/>
      <c r="M116" s="94"/>
      <c r="N116" s="91"/>
      <c r="O116" s="91"/>
      <c r="P116" s="91"/>
      <c r="Q116" s="91"/>
    </row>
    <row r="117" spans="1:17" s="101" customFormat="1" x14ac:dyDescent="0.35">
      <c r="A117" s="90"/>
      <c r="B117" s="91"/>
      <c r="C117" s="91"/>
      <c r="D117" s="91"/>
      <c r="E117" s="91"/>
      <c r="F117" s="91"/>
      <c r="G117" s="91"/>
      <c r="H117" s="91"/>
      <c r="I117" s="91"/>
      <c r="J117" s="91"/>
      <c r="K117" s="94"/>
      <c r="L117" s="94"/>
      <c r="M117" s="94"/>
      <c r="N117" s="91"/>
      <c r="O117" s="91"/>
      <c r="P117" s="91"/>
      <c r="Q117" s="91"/>
    </row>
    <row r="118" spans="1:17" s="101" customFormat="1" x14ac:dyDescent="0.35">
      <c r="A118" s="90"/>
      <c r="B118" s="91"/>
      <c r="C118" s="91"/>
      <c r="D118" s="91"/>
      <c r="E118" s="91"/>
      <c r="F118" s="91"/>
      <c r="G118" s="91"/>
      <c r="H118" s="91"/>
      <c r="I118" s="91"/>
      <c r="J118" s="91"/>
      <c r="K118" s="94"/>
      <c r="L118" s="94"/>
      <c r="M118" s="94"/>
      <c r="N118" s="91"/>
      <c r="O118" s="91"/>
      <c r="P118" s="91"/>
      <c r="Q118" s="91"/>
    </row>
    <row r="119" spans="1:17" s="101" customFormat="1" x14ac:dyDescent="0.35">
      <c r="A119" s="90"/>
      <c r="B119" s="91"/>
      <c r="C119" s="91"/>
      <c r="D119" s="91"/>
      <c r="E119" s="91"/>
      <c r="F119" s="91"/>
      <c r="G119" s="91"/>
      <c r="H119" s="91"/>
      <c r="I119" s="91"/>
      <c r="J119" s="91"/>
      <c r="K119" s="94"/>
      <c r="L119" s="94"/>
      <c r="M119" s="94"/>
      <c r="N119" s="91"/>
      <c r="O119" s="91"/>
      <c r="P119" s="91"/>
      <c r="Q119" s="91"/>
    </row>
    <row r="120" spans="1:17" s="101" customFormat="1" x14ac:dyDescent="0.35">
      <c r="A120" s="90"/>
      <c r="B120" s="91"/>
      <c r="C120" s="91"/>
      <c r="D120" s="91"/>
      <c r="E120" s="91"/>
      <c r="F120" s="91"/>
      <c r="G120" s="91"/>
      <c r="H120" s="91"/>
      <c r="I120" s="91"/>
      <c r="J120" s="91"/>
      <c r="K120" s="94"/>
      <c r="L120" s="94"/>
      <c r="M120" s="94"/>
      <c r="N120" s="91"/>
      <c r="O120" s="91"/>
      <c r="P120" s="91"/>
      <c r="Q120" s="91"/>
    </row>
    <row r="121" spans="1:17" s="101" customFormat="1" x14ac:dyDescent="0.35">
      <c r="A121" s="90"/>
      <c r="B121" s="91"/>
      <c r="C121" s="91"/>
      <c r="D121" s="91"/>
      <c r="E121" s="91"/>
      <c r="F121" s="91"/>
      <c r="G121" s="91"/>
      <c r="H121" s="91"/>
      <c r="I121" s="91"/>
      <c r="J121" s="91"/>
      <c r="K121" s="94"/>
      <c r="L121" s="94"/>
      <c r="M121" s="94"/>
      <c r="N121" s="91"/>
      <c r="O121" s="91"/>
      <c r="P121" s="91"/>
      <c r="Q121" s="91"/>
    </row>
    <row r="122" spans="1:17" s="101" customFormat="1" x14ac:dyDescent="0.35">
      <c r="A122" s="90"/>
      <c r="B122" s="91"/>
      <c r="C122" s="91"/>
      <c r="D122" s="91"/>
      <c r="E122" s="91"/>
      <c r="F122" s="91"/>
      <c r="G122" s="91"/>
      <c r="H122" s="91"/>
      <c r="I122" s="91"/>
      <c r="J122" s="91"/>
      <c r="K122" s="94"/>
      <c r="L122" s="94"/>
      <c r="M122" s="94"/>
      <c r="N122" s="91"/>
      <c r="O122" s="91"/>
      <c r="P122" s="91"/>
      <c r="Q122" s="91"/>
    </row>
    <row r="123" spans="1:17" s="101" customFormat="1" x14ac:dyDescent="0.35">
      <c r="A123" s="90"/>
      <c r="B123" s="91"/>
      <c r="C123" s="91"/>
      <c r="D123" s="91"/>
      <c r="E123" s="91"/>
      <c r="F123" s="91"/>
      <c r="G123" s="91"/>
      <c r="H123" s="91"/>
      <c r="I123" s="91"/>
      <c r="J123" s="91"/>
      <c r="K123" s="94"/>
      <c r="L123" s="94"/>
      <c r="M123" s="94"/>
      <c r="N123" s="91"/>
      <c r="O123" s="91"/>
      <c r="P123" s="91"/>
      <c r="Q123" s="91"/>
    </row>
    <row r="124" spans="1:17" s="101" customFormat="1" x14ac:dyDescent="0.35">
      <c r="A124" s="90"/>
      <c r="B124" s="91"/>
      <c r="C124" s="91"/>
      <c r="D124" s="91"/>
      <c r="E124" s="91"/>
      <c r="F124" s="91"/>
      <c r="G124" s="91"/>
      <c r="H124" s="91"/>
      <c r="I124" s="91"/>
      <c r="J124" s="91"/>
      <c r="K124" s="94"/>
      <c r="L124" s="94"/>
      <c r="M124" s="94"/>
      <c r="N124" s="91"/>
      <c r="O124" s="91"/>
      <c r="P124" s="91"/>
      <c r="Q124" s="91"/>
    </row>
    <row r="125" spans="1:17" s="101" customFormat="1" x14ac:dyDescent="0.35">
      <c r="A125" s="90"/>
      <c r="B125" s="91"/>
      <c r="C125" s="91"/>
      <c r="D125" s="91"/>
      <c r="E125" s="91"/>
      <c r="F125" s="91"/>
      <c r="G125" s="91"/>
      <c r="H125" s="91"/>
      <c r="I125" s="91"/>
      <c r="J125" s="91"/>
      <c r="K125" s="94"/>
      <c r="L125" s="94"/>
      <c r="M125" s="94"/>
      <c r="N125" s="91"/>
      <c r="O125" s="91"/>
      <c r="P125" s="91"/>
      <c r="Q125" s="91"/>
    </row>
    <row r="126" spans="1:17" s="101" customFormat="1" x14ac:dyDescent="0.35">
      <c r="A126" s="90"/>
      <c r="B126" s="91"/>
      <c r="C126" s="91"/>
      <c r="D126" s="91"/>
      <c r="E126" s="91"/>
      <c r="F126" s="91"/>
      <c r="G126" s="91"/>
      <c r="H126" s="91"/>
      <c r="I126" s="91"/>
      <c r="J126" s="91"/>
      <c r="K126" s="94"/>
      <c r="L126" s="94"/>
      <c r="M126" s="94"/>
      <c r="N126" s="91"/>
      <c r="O126" s="91"/>
      <c r="P126" s="91"/>
      <c r="Q126" s="91"/>
    </row>
    <row r="127" spans="1:17" s="101" customFormat="1" x14ac:dyDescent="0.35">
      <c r="A127" s="90"/>
      <c r="B127" s="91"/>
      <c r="C127" s="91"/>
      <c r="D127" s="91"/>
      <c r="E127" s="91"/>
      <c r="F127" s="91"/>
      <c r="G127" s="91"/>
      <c r="H127" s="91"/>
      <c r="I127" s="91"/>
      <c r="J127" s="91"/>
      <c r="K127" s="94"/>
      <c r="L127" s="94"/>
      <c r="M127" s="94"/>
      <c r="N127" s="91"/>
      <c r="O127" s="91"/>
      <c r="P127" s="91"/>
      <c r="Q127" s="91"/>
    </row>
    <row r="128" spans="1:17" s="101" customFormat="1" x14ac:dyDescent="0.35">
      <c r="A128" s="90"/>
      <c r="B128" s="91"/>
      <c r="C128" s="91"/>
      <c r="D128" s="91"/>
      <c r="E128" s="91"/>
      <c r="F128" s="91"/>
      <c r="G128" s="91"/>
      <c r="H128" s="91"/>
      <c r="I128" s="91"/>
      <c r="J128" s="91"/>
      <c r="K128" s="94"/>
      <c r="L128" s="94"/>
      <c r="M128" s="94"/>
      <c r="N128" s="91"/>
      <c r="O128" s="91"/>
      <c r="P128" s="91"/>
      <c r="Q128" s="91"/>
    </row>
    <row r="129" spans="1:17" s="101" customFormat="1" x14ac:dyDescent="0.35">
      <c r="A129" s="90"/>
      <c r="B129" s="91"/>
      <c r="C129" s="91"/>
      <c r="D129" s="91"/>
      <c r="E129" s="91"/>
      <c r="F129" s="91"/>
      <c r="G129" s="91"/>
      <c r="H129" s="91"/>
      <c r="I129" s="91"/>
      <c r="J129" s="91"/>
      <c r="K129" s="94"/>
      <c r="L129" s="94"/>
      <c r="M129" s="94"/>
      <c r="N129" s="91"/>
      <c r="O129" s="91"/>
      <c r="P129" s="91"/>
      <c r="Q129" s="91"/>
    </row>
    <row r="130" spans="1:17" s="101" customFormat="1" x14ac:dyDescent="0.35">
      <c r="A130" s="90"/>
      <c r="B130" s="91"/>
      <c r="C130" s="91"/>
      <c r="D130" s="91"/>
      <c r="E130" s="91"/>
      <c r="F130" s="91"/>
      <c r="G130" s="91"/>
      <c r="H130" s="91"/>
      <c r="I130" s="91"/>
      <c r="J130" s="91"/>
      <c r="K130" s="94"/>
      <c r="L130" s="94"/>
      <c r="M130" s="94"/>
      <c r="N130" s="91"/>
      <c r="O130" s="91"/>
      <c r="P130" s="91"/>
      <c r="Q130" s="91"/>
    </row>
    <row r="131" spans="1:17" s="101" customFormat="1" x14ac:dyDescent="0.35">
      <c r="A131" s="90"/>
      <c r="B131" s="91"/>
      <c r="C131" s="91"/>
      <c r="D131" s="91"/>
      <c r="E131" s="91"/>
      <c r="F131" s="91"/>
      <c r="G131" s="91"/>
      <c r="H131" s="91"/>
      <c r="I131" s="91"/>
      <c r="J131" s="91"/>
      <c r="K131" s="94"/>
      <c r="L131" s="94"/>
      <c r="M131" s="94"/>
      <c r="N131" s="91"/>
      <c r="O131" s="91"/>
      <c r="P131" s="91"/>
      <c r="Q131" s="91"/>
    </row>
    <row r="132" spans="1:17" s="101" customFormat="1" x14ac:dyDescent="0.35">
      <c r="A132" s="90"/>
      <c r="B132" s="91"/>
      <c r="C132" s="91"/>
      <c r="D132" s="91"/>
      <c r="E132" s="91"/>
      <c r="F132" s="91"/>
      <c r="G132" s="91"/>
      <c r="H132" s="91"/>
      <c r="I132" s="91"/>
      <c r="J132" s="91"/>
      <c r="K132" s="94"/>
      <c r="L132" s="94"/>
      <c r="M132" s="94"/>
      <c r="N132" s="91"/>
      <c r="O132" s="91"/>
      <c r="P132" s="91"/>
      <c r="Q132" s="91"/>
    </row>
    <row r="133" spans="1:17" s="101" customFormat="1" x14ac:dyDescent="0.35">
      <c r="A133" s="90"/>
      <c r="B133" s="91"/>
      <c r="C133" s="91"/>
      <c r="D133" s="91"/>
      <c r="E133" s="91"/>
      <c r="F133" s="91"/>
      <c r="G133" s="91"/>
      <c r="H133" s="91"/>
      <c r="I133" s="91"/>
      <c r="J133" s="91"/>
      <c r="K133" s="94"/>
      <c r="L133" s="94"/>
      <c r="M133" s="94"/>
      <c r="N133" s="91"/>
      <c r="O133" s="91"/>
      <c r="P133" s="91"/>
      <c r="Q133" s="91"/>
    </row>
    <row r="134" spans="1:17" s="101" customFormat="1" x14ac:dyDescent="0.35">
      <c r="A134" s="90"/>
      <c r="B134" s="91"/>
      <c r="C134" s="91"/>
      <c r="D134" s="91"/>
      <c r="E134" s="91"/>
      <c r="F134" s="91"/>
      <c r="G134" s="91"/>
      <c r="H134" s="91"/>
      <c r="I134" s="91"/>
      <c r="J134" s="91"/>
      <c r="K134" s="94"/>
      <c r="L134" s="94"/>
      <c r="M134" s="94"/>
      <c r="N134" s="91"/>
      <c r="O134" s="91"/>
      <c r="P134" s="91"/>
      <c r="Q134" s="91"/>
    </row>
    <row r="135" spans="1:17" s="101" customFormat="1" x14ac:dyDescent="0.35">
      <c r="A135" s="90"/>
      <c r="B135" s="91"/>
      <c r="C135" s="91"/>
      <c r="D135" s="91"/>
      <c r="E135" s="91"/>
      <c r="F135" s="91"/>
      <c r="G135" s="91"/>
      <c r="H135" s="91"/>
      <c r="I135" s="91"/>
      <c r="J135" s="91"/>
      <c r="K135" s="94"/>
      <c r="L135" s="94"/>
      <c r="M135" s="94"/>
      <c r="N135" s="91"/>
      <c r="O135" s="91"/>
      <c r="P135" s="91"/>
      <c r="Q135" s="91"/>
    </row>
    <row r="136" spans="1:17" s="101" customFormat="1" x14ac:dyDescent="0.35">
      <c r="A136" s="90"/>
      <c r="B136" s="91"/>
      <c r="C136" s="91"/>
      <c r="D136" s="91"/>
      <c r="E136" s="91"/>
      <c r="F136" s="91"/>
      <c r="G136" s="91"/>
      <c r="H136" s="91"/>
      <c r="I136" s="91"/>
      <c r="J136" s="91"/>
      <c r="K136" s="94"/>
      <c r="L136" s="94"/>
      <c r="M136" s="94"/>
      <c r="N136" s="91"/>
      <c r="O136" s="91"/>
      <c r="P136" s="91"/>
      <c r="Q136" s="91"/>
    </row>
    <row r="137" spans="1:17" s="101" customFormat="1" x14ac:dyDescent="0.35">
      <c r="A137" s="90"/>
      <c r="B137" s="91"/>
      <c r="C137" s="91"/>
      <c r="D137" s="91"/>
      <c r="E137" s="91"/>
      <c r="F137" s="91"/>
      <c r="G137" s="91"/>
      <c r="H137" s="91"/>
      <c r="I137" s="91"/>
      <c r="J137" s="91"/>
      <c r="K137" s="94"/>
      <c r="L137" s="94"/>
      <c r="M137" s="94"/>
      <c r="N137" s="91"/>
      <c r="O137" s="91"/>
      <c r="P137" s="91"/>
      <c r="Q137" s="91"/>
    </row>
    <row r="138" spans="1:17" s="101" customFormat="1" x14ac:dyDescent="0.35">
      <c r="A138" s="90"/>
      <c r="B138" s="91"/>
      <c r="C138" s="91"/>
      <c r="D138" s="91"/>
      <c r="E138" s="91"/>
      <c r="F138" s="91"/>
      <c r="G138" s="91"/>
      <c r="H138" s="91"/>
      <c r="I138" s="91"/>
      <c r="J138" s="91"/>
      <c r="K138" s="94"/>
      <c r="L138" s="94"/>
      <c r="M138" s="94"/>
      <c r="N138" s="91"/>
      <c r="O138" s="91"/>
      <c r="P138" s="91"/>
      <c r="Q138" s="91"/>
    </row>
    <row r="139" spans="1:17" s="101" customFormat="1" x14ac:dyDescent="0.35">
      <c r="A139" s="90"/>
      <c r="B139" s="91"/>
      <c r="C139" s="91"/>
      <c r="D139" s="91"/>
      <c r="E139" s="91"/>
      <c r="F139" s="91"/>
      <c r="G139" s="91"/>
      <c r="H139" s="91"/>
      <c r="I139" s="91"/>
      <c r="J139" s="91"/>
      <c r="K139" s="94"/>
      <c r="L139" s="94"/>
      <c r="M139" s="94"/>
      <c r="N139" s="91"/>
      <c r="O139" s="91"/>
      <c r="P139" s="91"/>
      <c r="Q139" s="91"/>
    </row>
    <row r="140" spans="1:17" s="101" customFormat="1" x14ac:dyDescent="0.35">
      <c r="A140" s="90"/>
      <c r="B140" s="91"/>
      <c r="C140" s="91"/>
      <c r="D140" s="91"/>
      <c r="E140" s="91"/>
      <c r="F140" s="91"/>
      <c r="G140" s="91"/>
      <c r="H140" s="91"/>
      <c r="I140" s="91"/>
      <c r="J140" s="91"/>
      <c r="K140" s="94"/>
      <c r="L140" s="94"/>
      <c r="M140" s="94"/>
      <c r="N140" s="91"/>
      <c r="O140" s="91"/>
      <c r="P140" s="91"/>
      <c r="Q140" s="91"/>
    </row>
    <row r="141" spans="1:17" s="101" customFormat="1" x14ac:dyDescent="0.35">
      <c r="A141" s="90"/>
      <c r="B141" s="91"/>
      <c r="C141" s="91"/>
      <c r="D141" s="91"/>
      <c r="E141" s="91"/>
      <c r="F141" s="91"/>
      <c r="G141" s="91"/>
      <c r="H141" s="91"/>
      <c r="I141" s="91"/>
      <c r="J141" s="91"/>
      <c r="K141" s="94"/>
      <c r="L141" s="94"/>
      <c r="M141" s="94"/>
      <c r="N141" s="91"/>
      <c r="O141" s="91"/>
      <c r="P141" s="91"/>
      <c r="Q141" s="91"/>
    </row>
    <row r="142" spans="1:17" s="101" customFormat="1" x14ac:dyDescent="0.35">
      <c r="A142" s="90"/>
      <c r="B142" s="91"/>
      <c r="C142" s="91"/>
      <c r="D142" s="91"/>
      <c r="E142" s="91"/>
      <c r="F142" s="91"/>
      <c r="G142" s="91"/>
      <c r="H142" s="91"/>
      <c r="I142" s="91"/>
      <c r="J142" s="91"/>
      <c r="K142" s="94"/>
      <c r="L142" s="94"/>
      <c r="M142" s="94"/>
      <c r="N142" s="91"/>
      <c r="O142" s="91"/>
      <c r="P142" s="91"/>
      <c r="Q142" s="91"/>
    </row>
    <row r="143" spans="1:17" s="101" customFormat="1" x14ac:dyDescent="0.35">
      <c r="A143" s="90"/>
      <c r="B143" s="91"/>
      <c r="C143" s="91"/>
      <c r="D143" s="91"/>
      <c r="E143" s="91"/>
      <c r="F143" s="91"/>
      <c r="G143" s="91"/>
      <c r="H143" s="91"/>
      <c r="I143" s="91"/>
      <c r="J143" s="91"/>
      <c r="K143" s="94"/>
      <c r="L143" s="94"/>
      <c r="M143" s="94"/>
      <c r="N143" s="91"/>
      <c r="O143" s="91"/>
      <c r="P143" s="91"/>
      <c r="Q143" s="91"/>
    </row>
    <row r="144" spans="1:17" s="101" customFormat="1" x14ac:dyDescent="0.35">
      <c r="A144" s="90"/>
      <c r="B144" s="91"/>
      <c r="C144" s="91"/>
      <c r="D144" s="91"/>
      <c r="E144" s="91"/>
      <c r="F144" s="91"/>
      <c r="G144" s="91"/>
      <c r="H144" s="91"/>
      <c r="I144" s="91"/>
      <c r="J144" s="91"/>
      <c r="K144" s="94"/>
      <c r="L144" s="94"/>
      <c r="M144" s="94"/>
      <c r="N144" s="91"/>
      <c r="O144" s="91"/>
      <c r="P144" s="91"/>
      <c r="Q144" s="91"/>
    </row>
    <row r="145" spans="1:17" s="101" customFormat="1" x14ac:dyDescent="0.35">
      <c r="A145" s="90"/>
      <c r="B145" s="91"/>
      <c r="C145" s="91"/>
      <c r="D145" s="91"/>
      <c r="E145" s="91"/>
      <c r="F145" s="91"/>
      <c r="G145" s="91"/>
      <c r="H145" s="91"/>
      <c r="I145" s="91"/>
      <c r="J145" s="91"/>
      <c r="K145" s="94"/>
      <c r="L145" s="94"/>
      <c r="M145" s="94"/>
      <c r="N145" s="91"/>
      <c r="O145" s="91"/>
      <c r="P145" s="91"/>
      <c r="Q145" s="91"/>
    </row>
    <row r="146" spans="1:17" s="101" customFormat="1" x14ac:dyDescent="0.35">
      <c r="A146" s="90"/>
      <c r="B146" s="91"/>
      <c r="C146" s="91"/>
      <c r="D146" s="91"/>
      <c r="E146" s="91"/>
      <c r="F146" s="91"/>
      <c r="G146" s="91"/>
      <c r="H146" s="91"/>
      <c r="I146" s="91"/>
      <c r="J146" s="91"/>
      <c r="K146" s="94"/>
      <c r="L146" s="94"/>
      <c r="M146" s="94"/>
      <c r="N146" s="91"/>
      <c r="O146" s="91"/>
      <c r="P146" s="91"/>
      <c r="Q146" s="91"/>
    </row>
    <row r="147" spans="1:17" s="101" customFormat="1" x14ac:dyDescent="0.35">
      <c r="A147" s="90"/>
      <c r="B147" s="91"/>
      <c r="C147" s="91"/>
      <c r="D147" s="91"/>
      <c r="E147" s="91"/>
      <c r="F147" s="91"/>
      <c r="G147" s="91"/>
      <c r="H147" s="91"/>
      <c r="I147" s="91"/>
      <c r="J147" s="91"/>
      <c r="K147" s="94"/>
      <c r="L147" s="94"/>
      <c r="M147" s="94"/>
      <c r="N147" s="91"/>
      <c r="O147" s="91"/>
      <c r="P147" s="91"/>
      <c r="Q147" s="91"/>
    </row>
    <row r="148" spans="1:17" s="101" customFormat="1" x14ac:dyDescent="0.35">
      <c r="A148" s="90"/>
      <c r="B148" s="91"/>
      <c r="C148" s="91"/>
      <c r="D148" s="91"/>
      <c r="E148" s="91"/>
      <c r="F148" s="91"/>
      <c r="G148" s="91"/>
      <c r="H148" s="91"/>
      <c r="I148" s="91"/>
      <c r="J148" s="91"/>
      <c r="K148" s="94"/>
      <c r="L148" s="94"/>
      <c r="M148" s="94"/>
      <c r="N148" s="91"/>
      <c r="O148" s="91"/>
      <c r="P148" s="91"/>
      <c r="Q148" s="91"/>
    </row>
    <row r="149" spans="1:17" s="101" customFormat="1" x14ac:dyDescent="0.35">
      <c r="A149" s="90"/>
      <c r="B149" s="91"/>
      <c r="C149" s="91"/>
      <c r="D149" s="91"/>
      <c r="E149" s="91"/>
      <c r="F149" s="91"/>
      <c r="G149" s="91"/>
      <c r="H149" s="91"/>
      <c r="I149" s="91"/>
      <c r="J149" s="91"/>
      <c r="K149" s="94"/>
      <c r="L149" s="94"/>
      <c r="M149" s="94"/>
      <c r="N149" s="91"/>
      <c r="O149" s="91"/>
      <c r="P149" s="91"/>
      <c r="Q149" s="91"/>
    </row>
    <row r="150" spans="1:17" s="101" customFormat="1" x14ac:dyDescent="0.35">
      <c r="A150" s="90"/>
      <c r="B150" s="91"/>
      <c r="C150" s="91"/>
      <c r="D150" s="91"/>
      <c r="E150" s="91"/>
      <c r="F150" s="91"/>
      <c r="G150" s="91"/>
      <c r="H150" s="91"/>
      <c r="I150" s="91"/>
      <c r="J150" s="91"/>
      <c r="K150" s="94"/>
      <c r="L150" s="94"/>
      <c r="M150" s="94"/>
      <c r="N150" s="91"/>
      <c r="O150" s="91"/>
      <c r="P150" s="91"/>
      <c r="Q150" s="91"/>
    </row>
    <row r="151" spans="1:17" s="101" customFormat="1" x14ac:dyDescent="0.35">
      <c r="A151" s="90"/>
      <c r="B151" s="91"/>
      <c r="C151" s="91"/>
      <c r="D151" s="91"/>
      <c r="E151" s="91"/>
      <c r="F151" s="91"/>
      <c r="G151" s="91"/>
      <c r="H151" s="91"/>
      <c r="I151" s="91"/>
      <c r="J151" s="91"/>
      <c r="K151" s="94"/>
      <c r="L151" s="94"/>
      <c r="M151" s="94"/>
      <c r="N151" s="91"/>
      <c r="O151" s="91"/>
      <c r="P151" s="91"/>
      <c r="Q151" s="91"/>
    </row>
    <row r="152" spans="1:17" s="101" customFormat="1" x14ac:dyDescent="0.35">
      <c r="A152" s="90"/>
      <c r="B152" s="91"/>
      <c r="C152" s="91"/>
      <c r="D152" s="91"/>
      <c r="E152" s="91"/>
      <c r="F152" s="91"/>
      <c r="G152" s="91"/>
      <c r="H152" s="91"/>
      <c r="I152" s="91"/>
      <c r="J152" s="91"/>
      <c r="K152" s="94"/>
      <c r="L152" s="94"/>
      <c r="M152" s="94"/>
      <c r="N152" s="91"/>
      <c r="O152" s="91"/>
      <c r="P152" s="91"/>
      <c r="Q152" s="91"/>
    </row>
    <row r="153" spans="1:17" s="101" customFormat="1" x14ac:dyDescent="0.35">
      <c r="A153" s="90"/>
      <c r="B153" s="91"/>
      <c r="C153" s="91"/>
      <c r="D153" s="91"/>
      <c r="E153" s="91"/>
      <c r="F153" s="91"/>
      <c r="G153" s="91"/>
      <c r="H153" s="91"/>
      <c r="I153" s="91"/>
      <c r="J153" s="91"/>
      <c r="K153" s="94"/>
      <c r="L153" s="94"/>
      <c r="M153" s="94"/>
      <c r="N153" s="91"/>
      <c r="O153" s="91"/>
      <c r="P153" s="91"/>
      <c r="Q153" s="91"/>
    </row>
    <row r="154" spans="1:17" s="101" customFormat="1" x14ac:dyDescent="0.35">
      <c r="A154" s="90"/>
      <c r="B154" s="91"/>
      <c r="C154" s="91"/>
      <c r="D154" s="91"/>
      <c r="E154" s="91"/>
      <c r="F154" s="91"/>
      <c r="G154" s="91"/>
      <c r="H154" s="91"/>
      <c r="I154" s="91"/>
      <c r="J154" s="91"/>
      <c r="K154" s="94"/>
      <c r="L154" s="94"/>
      <c r="M154" s="94"/>
      <c r="N154" s="91"/>
      <c r="O154" s="91"/>
      <c r="P154" s="91"/>
      <c r="Q154" s="91"/>
    </row>
    <row r="155" spans="1:17" s="101" customFormat="1" x14ac:dyDescent="0.35">
      <c r="A155" s="90"/>
      <c r="B155" s="91"/>
      <c r="C155" s="91"/>
      <c r="D155" s="91"/>
      <c r="E155" s="91"/>
      <c r="F155" s="91"/>
      <c r="G155" s="91"/>
      <c r="H155" s="91"/>
      <c r="I155" s="91"/>
      <c r="J155" s="91"/>
      <c r="K155" s="94"/>
      <c r="L155" s="94"/>
      <c r="M155" s="94"/>
      <c r="N155" s="91"/>
      <c r="O155" s="91"/>
      <c r="P155" s="91"/>
      <c r="Q155" s="91"/>
    </row>
    <row r="156" spans="1:17" s="101" customFormat="1" x14ac:dyDescent="0.35">
      <c r="A156" s="90"/>
      <c r="B156" s="91"/>
      <c r="C156" s="91"/>
      <c r="D156" s="91"/>
      <c r="E156" s="91"/>
      <c r="F156" s="91"/>
      <c r="G156" s="91"/>
      <c r="H156" s="91"/>
      <c r="I156" s="91"/>
      <c r="J156" s="91"/>
      <c r="K156" s="94"/>
      <c r="L156" s="94"/>
      <c r="M156" s="94"/>
      <c r="N156" s="91"/>
      <c r="O156" s="91"/>
      <c r="P156" s="91"/>
      <c r="Q156" s="91"/>
    </row>
    <row r="157" spans="1:17" s="101" customFormat="1" x14ac:dyDescent="0.35">
      <c r="A157" s="90"/>
      <c r="B157" s="91"/>
      <c r="C157" s="91"/>
      <c r="D157" s="91"/>
      <c r="E157" s="91"/>
      <c r="F157" s="91"/>
      <c r="G157" s="91"/>
      <c r="H157" s="91"/>
      <c r="I157" s="91"/>
      <c r="J157" s="91"/>
      <c r="K157" s="94"/>
      <c r="L157" s="94"/>
      <c r="M157" s="94"/>
      <c r="N157" s="91"/>
      <c r="O157" s="91"/>
      <c r="P157" s="91"/>
      <c r="Q157" s="91"/>
    </row>
    <row r="158" spans="1:17" s="101" customFormat="1" x14ac:dyDescent="0.35">
      <c r="A158" s="90"/>
      <c r="B158" s="91"/>
      <c r="C158" s="91"/>
      <c r="D158" s="91"/>
      <c r="E158" s="91"/>
      <c r="F158" s="91"/>
      <c r="G158" s="91"/>
      <c r="H158" s="91"/>
      <c r="I158" s="91"/>
      <c r="J158" s="91"/>
      <c r="K158" s="94"/>
      <c r="L158" s="94"/>
      <c r="M158" s="94"/>
      <c r="N158" s="91"/>
      <c r="O158" s="91"/>
      <c r="P158" s="91"/>
      <c r="Q158" s="91"/>
    </row>
    <row r="159" spans="1:17" s="101" customFormat="1" x14ac:dyDescent="0.35">
      <c r="A159" s="90"/>
      <c r="B159" s="91"/>
      <c r="C159" s="91"/>
      <c r="D159" s="91"/>
      <c r="E159" s="91"/>
      <c r="F159" s="91"/>
      <c r="G159" s="91"/>
      <c r="H159" s="91"/>
      <c r="I159" s="91"/>
      <c r="J159" s="91"/>
      <c r="K159" s="94"/>
      <c r="L159" s="94"/>
      <c r="M159" s="94"/>
      <c r="N159" s="91"/>
      <c r="O159" s="91"/>
      <c r="P159" s="91"/>
      <c r="Q159" s="91"/>
    </row>
    <row r="160" spans="1:17" s="101" customFormat="1" x14ac:dyDescent="0.35">
      <c r="A160" s="90"/>
      <c r="B160" s="91"/>
      <c r="C160" s="91"/>
      <c r="D160" s="91"/>
      <c r="E160" s="91"/>
      <c r="F160" s="91"/>
      <c r="G160" s="91"/>
      <c r="H160" s="91"/>
      <c r="I160" s="91"/>
      <c r="J160" s="91"/>
      <c r="K160" s="94"/>
      <c r="L160" s="94"/>
      <c r="M160" s="94"/>
      <c r="N160" s="91"/>
      <c r="O160" s="91"/>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c r="P188" s="91"/>
    </row>
    <row r="189" spans="1:17" x14ac:dyDescent="0.35">
      <c r="A189" s="90"/>
      <c r="B189" s="91"/>
      <c r="C189" s="91"/>
      <c r="D189" s="91"/>
      <c r="E189" s="91"/>
      <c r="F189" s="91"/>
      <c r="G189" s="91"/>
      <c r="H189" s="91"/>
      <c r="I189" s="91"/>
      <c r="J189" s="91"/>
      <c r="K189" s="91"/>
      <c r="L189" s="91"/>
      <c r="M189" s="91"/>
      <c r="N189" s="91"/>
      <c r="O189" s="91"/>
      <c r="P189" s="91"/>
    </row>
    <row r="190" spans="1:17" x14ac:dyDescent="0.35">
      <c r="A190" s="90"/>
      <c r="B190" s="91"/>
      <c r="C190" s="91"/>
      <c r="D190" s="91"/>
      <c r="E190" s="91"/>
      <c r="F190" s="91"/>
      <c r="G190" s="91"/>
      <c r="H190" s="91"/>
      <c r="I190" s="91"/>
      <c r="J190" s="91"/>
      <c r="K190" s="91"/>
      <c r="L190" s="91"/>
      <c r="M190" s="91"/>
      <c r="N190" s="91"/>
      <c r="O190" s="91"/>
      <c r="P190" s="91"/>
    </row>
    <row r="191" spans="1:17" x14ac:dyDescent="0.35">
      <c r="A191" s="90"/>
      <c r="B191" s="91"/>
      <c r="C191" s="91"/>
      <c r="D191" s="91"/>
      <c r="E191" s="91"/>
      <c r="F191" s="91"/>
      <c r="G191" s="91"/>
      <c r="H191" s="91"/>
      <c r="I191" s="91"/>
      <c r="J191" s="91"/>
      <c r="K191" s="91"/>
      <c r="L191" s="91"/>
      <c r="M191" s="91"/>
      <c r="N191" s="91"/>
      <c r="O191" s="91"/>
      <c r="P191" s="91"/>
    </row>
    <row r="192" spans="1:17" x14ac:dyDescent="0.35">
      <c r="A192" s="90"/>
      <c r="B192" s="91"/>
      <c r="C192" s="91"/>
      <c r="D192" s="91"/>
      <c r="E192" s="91"/>
      <c r="F192" s="91"/>
      <c r="G192" s="91"/>
      <c r="H192" s="91"/>
      <c r="I192" s="91"/>
      <c r="J192" s="91"/>
      <c r="K192" s="91"/>
      <c r="L192" s="91"/>
      <c r="M192" s="91"/>
      <c r="N192" s="91"/>
      <c r="O192" s="91"/>
      <c r="P192" s="91"/>
    </row>
    <row r="193" spans="1:16" x14ac:dyDescent="0.35">
      <c r="A193" s="90"/>
      <c r="B193" s="91"/>
      <c r="C193" s="91"/>
      <c r="D193" s="91"/>
      <c r="E193" s="91"/>
      <c r="F193" s="91"/>
      <c r="G193" s="91"/>
      <c r="H193" s="91"/>
      <c r="I193" s="91"/>
      <c r="J193" s="91"/>
      <c r="K193" s="91"/>
      <c r="L193" s="91"/>
      <c r="M193" s="91"/>
      <c r="N193" s="91"/>
      <c r="O193" s="91"/>
      <c r="P193" s="91"/>
    </row>
    <row r="194" spans="1:16" x14ac:dyDescent="0.35">
      <c r="A194" s="90"/>
      <c r="B194" s="91"/>
      <c r="C194" s="91"/>
      <c r="D194" s="91"/>
      <c r="E194" s="91"/>
      <c r="F194" s="91"/>
      <c r="G194" s="91"/>
      <c r="H194" s="91"/>
      <c r="I194" s="91"/>
      <c r="J194" s="91"/>
      <c r="K194" s="91"/>
      <c r="L194" s="91"/>
      <c r="M194" s="91"/>
      <c r="N194" s="91"/>
      <c r="O194" s="91"/>
      <c r="P194" s="91"/>
    </row>
    <row r="195" spans="1:16" x14ac:dyDescent="0.35">
      <c r="A195" s="90"/>
      <c r="B195" s="91"/>
      <c r="C195" s="91"/>
      <c r="D195" s="91"/>
      <c r="E195" s="91"/>
      <c r="F195" s="91"/>
      <c r="G195" s="91"/>
      <c r="H195" s="91"/>
      <c r="I195" s="91"/>
      <c r="J195" s="91"/>
      <c r="K195" s="91"/>
      <c r="L195" s="91"/>
      <c r="M195" s="91"/>
      <c r="N195" s="91"/>
      <c r="O195" s="91"/>
      <c r="P195" s="91"/>
    </row>
    <row r="196" spans="1:16" x14ac:dyDescent="0.35">
      <c r="A196" s="90"/>
      <c r="B196" s="91"/>
      <c r="C196" s="91"/>
      <c r="D196" s="91"/>
      <c r="E196" s="91"/>
      <c r="F196" s="91"/>
      <c r="G196" s="91"/>
      <c r="H196" s="91"/>
      <c r="I196" s="91"/>
      <c r="J196" s="91"/>
      <c r="K196" s="91"/>
      <c r="L196" s="91"/>
      <c r="M196" s="91"/>
      <c r="N196" s="91"/>
      <c r="O196" s="91"/>
      <c r="P196" s="91"/>
    </row>
    <row r="197" spans="1:16" x14ac:dyDescent="0.35">
      <c r="A197" s="90"/>
      <c r="B197" s="91"/>
      <c r="C197" s="91"/>
      <c r="D197" s="91"/>
      <c r="E197" s="91"/>
      <c r="F197" s="91"/>
      <c r="G197" s="91"/>
      <c r="H197" s="91"/>
      <c r="I197" s="91"/>
      <c r="J197" s="91"/>
      <c r="K197" s="91"/>
      <c r="L197" s="91"/>
      <c r="M197" s="91"/>
      <c r="N197" s="91"/>
      <c r="O197" s="91"/>
      <c r="P197" s="91"/>
    </row>
    <row r="198" spans="1:16" x14ac:dyDescent="0.35">
      <c r="A198" s="90"/>
      <c r="B198" s="91"/>
      <c r="C198" s="91"/>
      <c r="D198" s="91"/>
      <c r="E198" s="91"/>
      <c r="F198" s="91"/>
      <c r="G198" s="91"/>
      <c r="H198" s="91"/>
      <c r="I198" s="91"/>
      <c r="J198" s="91"/>
      <c r="K198" s="91"/>
      <c r="L198" s="91"/>
      <c r="M198" s="91"/>
      <c r="N198" s="91"/>
      <c r="O198" s="91"/>
      <c r="P198" s="91"/>
    </row>
    <row r="199" spans="1:16" x14ac:dyDescent="0.35">
      <c r="A199" s="90"/>
      <c r="B199" s="91"/>
      <c r="C199" s="91"/>
      <c r="D199" s="91"/>
      <c r="E199" s="91"/>
      <c r="F199" s="91"/>
      <c r="G199" s="91"/>
      <c r="H199" s="91"/>
      <c r="I199" s="91"/>
      <c r="J199" s="91"/>
      <c r="K199" s="91"/>
      <c r="L199" s="91"/>
      <c r="M199" s="91"/>
      <c r="N199" s="91"/>
      <c r="O199" s="91"/>
    </row>
    <row r="200" spans="1:16" x14ac:dyDescent="0.35">
      <c r="A200" s="90"/>
      <c r="B200" s="91"/>
      <c r="C200" s="91"/>
      <c r="D200" s="91"/>
      <c r="E200" s="91"/>
      <c r="F200" s="91"/>
      <c r="G200" s="91"/>
      <c r="H200" s="91"/>
      <c r="I200" s="91"/>
      <c r="J200" s="91"/>
      <c r="K200" s="91"/>
      <c r="L200" s="91"/>
      <c r="M200" s="91"/>
      <c r="N200" s="91"/>
      <c r="O200" s="91"/>
    </row>
    <row r="201" spans="1:16" x14ac:dyDescent="0.35">
      <c r="A201" s="90"/>
      <c r="B201" s="91"/>
      <c r="C201" s="91"/>
      <c r="D201" s="91"/>
      <c r="E201" s="91"/>
      <c r="F201" s="91"/>
      <c r="G201" s="91"/>
      <c r="H201" s="91"/>
      <c r="I201" s="91"/>
      <c r="J201" s="91"/>
      <c r="K201" s="91"/>
      <c r="L201" s="91"/>
      <c r="M201" s="91"/>
      <c r="N201" s="91"/>
      <c r="O201" s="91"/>
    </row>
    <row r="202" spans="1:16" x14ac:dyDescent="0.35">
      <c r="A202" s="90"/>
      <c r="B202" s="91"/>
      <c r="C202" s="91"/>
      <c r="D202" s="91"/>
      <c r="E202" s="91"/>
      <c r="F202" s="91"/>
      <c r="G202" s="91"/>
      <c r="H202" s="91"/>
      <c r="I202" s="91"/>
      <c r="J202" s="91"/>
      <c r="K202" s="91"/>
      <c r="L202" s="91"/>
      <c r="M202" s="91"/>
      <c r="N202" s="91"/>
      <c r="O202" s="91"/>
    </row>
    <row r="203" spans="1:16" x14ac:dyDescent="0.35">
      <c r="A203" s="90"/>
      <c r="B203" s="91"/>
      <c r="C203" s="91"/>
      <c r="D203" s="91"/>
      <c r="E203" s="91"/>
      <c r="F203" s="91"/>
      <c r="G203" s="91"/>
      <c r="H203" s="91"/>
      <c r="I203" s="91"/>
      <c r="J203" s="91"/>
      <c r="K203" s="91"/>
      <c r="L203" s="91"/>
      <c r="M203" s="91"/>
      <c r="N203" s="91"/>
      <c r="O203" s="91"/>
    </row>
    <row r="204" spans="1:16" x14ac:dyDescent="0.35">
      <c r="A204" s="90"/>
      <c r="B204" s="91"/>
      <c r="C204" s="91"/>
      <c r="D204" s="91"/>
      <c r="E204" s="91"/>
      <c r="F204" s="91"/>
      <c r="G204" s="91"/>
      <c r="H204" s="91"/>
      <c r="I204" s="91"/>
      <c r="J204" s="91"/>
      <c r="K204" s="91"/>
      <c r="L204" s="91"/>
      <c r="M204" s="91"/>
      <c r="N204" s="91"/>
      <c r="O204" s="91"/>
    </row>
    <row r="205" spans="1:16" x14ac:dyDescent="0.35">
      <c r="A205" s="90"/>
      <c r="B205" s="91"/>
      <c r="C205" s="91"/>
      <c r="D205" s="91"/>
      <c r="E205" s="91"/>
      <c r="F205" s="91"/>
      <c r="G205" s="91"/>
      <c r="H205" s="91"/>
      <c r="I205" s="91"/>
      <c r="J205" s="91"/>
      <c r="K205" s="91"/>
      <c r="L205" s="91"/>
      <c r="M205" s="91"/>
      <c r="N205" s="91"/>
      <c r="O205" s="91"/>
    </row>
    <row r="207" spans="1:16" x14ac:dyDescent="0.35">
      <c r="A207" s="92"/>
    </row>
    <row r="208" spans="1:16"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162:O205 B5:Q36 Q37:Q187 P162:P198 B37:P161">
    <cfRule type="cellIs" dxfId="9" priority="1" stopIfTrue="1" operator="equal">
      <formula>0</formula>
    </cfRule>
  </conditionalFormatting>
  <conditionalFormatting sqref="B48:J176 B5:K55">
    <cfRule type="cellIs" priority="2" stopIfTrue="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2"/>
  </sheetPr>
  <dimension ref="A2:Q216"/>
  <sheetViews>
    <sheetView showGridLines="0" showRowColHeaders="0" zoomScale="85" zoomScaleNormal="85" workbookViewId="0">
      <pane xSplit="1" ySplit="4" topLeftCell="B5" activePane="bottomRight" state="frozen"/>
      <selection activeCell="C35" sqref="C35"/>
      <selection pane="topRight" activeCell="C35" sqref="C35"/>
      <selection pane="bottomLeft" activeCell="C35" sqref="C35"/>
      <selection pane="bottomRight" activeCell="C15" sqref="A4:P1048576"/>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261</v>
      </c>
    </row>
    <row r="4" spans="1:17" s="101" customFormat="1" x14ac:dyDescent="0.35">
      <c r="A4" s="212"/>
      <c r="B4" s="212"/>
      <c r="C4" s="212"/>
      <c r="D4" s="212"/>
      <c r="E4" s="212"/>
      <c r="F4" s="212"/>
      <c r="G4" s="212"/>
      <c r="H4" s="212"/>
      <c r="I4" s="212"/>
      <c r="J4" s="212"/>
      <c r="K4" s="212"/>
      <c r="L4" s="212"/>
      <c r="M4" s="212"/>
      <c r="N4" s="212"/>
      <c r="O4" s="212"/>
      <c r="P4" s="212"/>
    </row>
    <row r="5" spans="1:17" s="101" customFormat="1" x14ac:dyDescent="0.35">
      <c r="A5" s="212"/>
      <c r="B5" s="214"/>
      <c r="C5" s="214"/>
      <c r="D5" s="214"/>
      <c r="E5" s="214"/>
      <c r="F5" s="214"/>
      <c r="G5" s="214"/>
      <c r="H5" s="214"/>
      <c r="I5" s="214"/>
      <c r="J5" s="214"/>
      <c r="K5" s="214"/>
      <c r="L5" s="213"/>
      <c r="M5" s="213"/>
      <c r="N5" s="213"/>
      <c r="O5" s="214"/>
      <c r="P5" s="214"/>
      <c r="Q5" s="91"/>
    </row>
    <row r="6" spans="1:17" s="101" customFormat="1" x14ac:dyDescent="0.35">
      <c r="A6" s="215"/>
      <c r="B6" s="216"/>
      <c r="C6" s="216"/>
      <c r="D6" s="216"/>
      <c r="E6" s="216"/>
      <c r="F6" s="216"/>
      <c r="G6" s="216"/>
      <c r="H6" s="216"/>
      <c r="I6" s="216"/>
      <c r="J6" s="216"/>
      <c r="K6" s="216"/>
      <c r="L6" s="217"/>
      <c r="M6" s="217"/>
      <c r="N6" s="217"/>
      <c r="O6" s="216"/>
      <c r="P6" s="216"/>
      <c r="Q6" s="91"/>
    </row>
    <row r="7" spans="1:17" s="101" customFormat="1" x14ac:dyDescent="0.35">
      <c r="A7" s="90"/>
      <c r="B7" s="91"/>
      <c r="C7" s="91"/>
      <c r="D7" s="91"/>
      <c r="E7" s="91"/>
      <c r="F7" s="91"/>
      <c r="G7" s="91"/>
      <c r="H7" s="91"/>
      <c r="I7" s="91"/>
      <c r="J7" s="91"/>
      <c r="K7" s="91"/>
      <c r="L7" s="213"/>
      <c r="M7" s="213"/>
      <c r="N7" s="213"/>
      <c r="O7" s="214"/>
      <c r="P7" s="214"/>
      <c r="Q7" s="91"/>
    </row>
    <row r="8" spans="1:17" s="101" customFormat="1" x14ac:dyDescent="0.35">
      <c r="A8" s="90"/>
      <c r="B8" s="91"/>
      <c r="C8" s="91"/>
      <c r="D8" s="91"/>
      <c r="E8" s="91"/>
      <c r="F8" s="91"/>
      <c r="G8" s="91"/>
      <c r="H8" s="91"/>
      <c r="I8" s="91"/>
      <c r="J8" s="91"/>
      <c r="K8" s="91"/>
      <c r="L8" s="213"/>
      <c r="M8" s="213"/>
      <c r="N8" s="213"/>
      <c r="O8" s="214"/>
      <c r="P8" s="214"/>
      <c r="Q8" s="91"/>
    </row>
    <row r="9" spans="1:17" s="101" customFormat="1" x14ac:dyDescent="0.35">
      <c r="A9" s="90"/>
      <c r="B9" s="91"/>
      <c r="C9" s="91"/>
      <c r="D9" s="91"/>
      <c r="E9" s="91"/>
      <c r="F9" s="91"/>
      <c r="G9" s="91"/>
      <c r="H9" s="91"/>
      <c r="I9" s="91"/>
      <c r="J9" s="91"/>
      <c r="K9" s="91"/>
      <c r="L9" s="213"/>
      <c r="M9" s="213"/>
      <c r="N9" s="213"/>
      <c r="O9" s="214"/>
      <c r="P9" s="214"/>
      <c r="Q9" s="91"/>
    </row>
    <row r="10" spans="1:17" s="101" customFormat="1" x14ac:dyDescent="0.35">
      <c r="A10" s="90"/>
      <c r="B10" s="91"/>
      <c r="C10" s="91"/>
      <c r="D10" s="91"/>
      <c r="E10" s="91"/>
      <c r="F10" s="91"/>
      <c r="G10" s="91"/>
      <c r="H10" s="91"/>
      <c r="I10" s="91"/>
      <c r="J10" s="91"/>
      <c r="K10" s="91"/>
      <c r="L10" s="213"/>
      <c r="M10" s="213"/>
      <c r="N10" s="213"/>
      <c r="O10" s="214"/>
      <c r="P10" s="214"/>
      <c r="Q10" s="91"/>
    </row>
    <row r="11" spans="1:17" s="101" customFormat="1" x14ac:dyDescent="0.35">
      <c r="A11" s="90"/>
      <c r="B11" s="91"/>
      <c r="C11" s="91"/>
      <c r="D11" s="91"/>
      <c r="E11" s="91"/>
      <c r="F11" s="91"/>
      <c r="G11" s="91"/>
      <c r="H11" s="91"/>
      <c r="I11" s="91"/>
      <c r="J11" s="91"/>
      <c r="K11" s="91"/>
      <c r="L11" s="213"/>
      <c r="M11" s="213"/>
      <c r="N11" s="213"/>
      <c r="O11" s="214"/>
      <c r="P11" s="214"/>
      <c r="Q11" s="91"/>
    </row>
    <row r="12" spans="1:17" s="101" customFormat="1" x14ac:dyDescent="0.35">
      <c r="A12" s="90"/>
      <c r="B12" s="91"/>
      <c r="C12" s="91"/>
      <c r="D12" s="91"/>
      <c r="E12" s="91"/>
      <c r="F12" s="91"/>
      <c r="G12" s="91"/>
      <c r="H12" s="91"/>
      <c r="I12" s="91"/>
      <c r="J12" s="91"/>
      <c r="K12" s="91"/>
      <c r="L12" s="213"/>
      <c r="M12" s="213"/>
      <c r="N12" s="213"/>
      <c r="O12" s="214"/>
      <c r="P12" s="214"/>
      <c r="Q12" s="91"/>
    </row>
    <row r="13" spans="1:17" s="101" customFormat="1" x14ac:dyDescent="0.35">
      <c r="A13" s="90"/>
      <c r="B13" s="91"/>
      <c r="C13" s="91"/>
      <c r="D13" s="91"/>
      <c r="E13" s="91"/>
      <c r="F13" s="91"/>
      <c r="G13" s="91"/>
      <c r="H13" s="91"/>
      <c r="I13" s="91"/>
      <c r="J13" s="91"/>
      <c r="K13" s="91"/>
      <c r="L13" s="213"/>
      <c r="M13" s="213"/>
      <c r="N13" s="213"/>
      <c r="O13" s="214"/>
      <c r="P13" s="214"/>
      <c r="Q13" s="91"/>
    </row>
    <row r="14" spans="1:17" s="101" customFormat="1" x14ac:dyDescent="0.35">
      <c r="A14" s="90"/>
      <c r="B14" s="91"/>
      <c r="C14" s="91"/>
      <c r="D14" s="91"/>
      <c r="E14" s="91"/>
      <c r="F14" s="91"/>
      <c r="G14" s="91"/>
      <c r="H14" s="91"/>
      <c r="I14" s="91"/>
      <c r="J14" s="91"/>
      <c r="K14" s="91"/>
      <c r="L14" s="213"/>
      <c r="M14" s="213"/>
      <c r="N14" s="213"/>
      <c r="O14" s="214"/>
      <c r="P14" s="214"/>
      <c r="Q14" s="91"/>
    </row>
    <row r="15" spans="1:17" s="101" customFormat="1" x14ac:dyDescent="0.35">
      <c r="A15" s="90"/>
      <c r="B15" s="91"/>
      <c r="C15" s="91"/>
      <c r="D15" s="91"/>
      <c r="E15" s="91"/>
      <c r="F15" s="91"/>
      <c r="G15" s="91"/>
      <c r="H15" s="91"/>
      <c r="I15" s="91"/>
      <c r="J15" s="91"/>
      <c r="K15" s="91"/>
      <c r="L15" s="213"/>
      <c r="M15" s="213"/>
      <c r="N15" s="213"/>
      <c r="O15" s="214"/>
      <c r="P15" s="214"/>
      <c r="Q15" s="91"/>
    </row>
    <row r="16" spans="1:17" s="101" customFormat="1" x14ac:dyDescent="0.35">
      <c r="A16" s="215"/>
      <c r="B16" s="216"/>
      <c r="C16" s="216"/>
      <c r="D16" s="216"/>
      <c r="E16" s="216"/>
      <c r="F16" s="216"/>
      <c r="G16" s="216"/>
      <c r="H16" s="216"/>
      <c r="I16" s="216"/>
      <c r="J16" s="216"/>
      <c r="K16" s="216"/>
      <c r="L16" s="217"/>
      <c r="M16" s="217"/>
      <c r="N16" s="217"/>
      <c r="O16" s="216"/>
      <c r="P16" s="216"/>
      <c r="Q16" s="91"/>
    </row>
    <row r="17" spans="1:17" s="101" customFormat="1" x14ac:dyDescent="0.35">
      <c r="A17" s="90"/>
      <c r="B17" s="91"/>
      <c r="C17" s="91"/>
      <c r="D17" s="91"/>
      <c r="E17" s="91"/>
      <c r="F17" s="91"/>
      <c r="G17" s="91"/>
      <c r="H17" s="91"/>
      <c r="I17" s="91"/>
      <c r="J17" s="91"/>
      <c r="K17" s="91"/>
      <c r="L17" s="213"/>
      <c r="M17" s="213"/>
      <c r="N17" s="213"/>
      <c r="O17" s="214"/>
      <c r="P17" s="214"/>
      <c r="Q17" s="91"/>
    </row>
    <row r="18" spans="1:17" s="101" customFormat="1" x14ac:dyDescent="0.35">
      <c r="A18" s="90"/>
      <c r="B18" s="91"/>
      <c r="C18" s="91"/>
      <c r="D18" s="91"/>
      <c r="E18" s="91"/>
      <c r="F18" s="91"/>
      <c r="G18" s="91"/>
      <c r="H18" s="91"/>
      <c r="I18" s="91"/>
      <c r="J18" s="91"/>
      <c r="K18" s="91"/>
      <c r="L18" s="213"/>
      <c r="M18" s="213"/>
      <c r="N18" s="213"/>
      <c r="O18" s="214"/>
      <c r="P18" s="214"/>
      <c r="Q18" s="91"/>
    </row>
    <row r="19" spans="1:17" s="101" customFormat="1" x14ac:dyDescent="0.35">
      <c r="A19" s="90"/>
      <c r="B19" s="91"/>
      <c r="C19" s="91"/>
      <c r="D19" s="91"/>
      <c r="E19" s="91"/>
      <c r="F19" s="91"/>
      <c r="G19" s="91"/>
      <c r="H19" s="91"/>
      <c r="I19" s="91"/>
      <c r="J19" s="91"/>
      <c r="K19" s="91"/>
      <c r="L19" s="213"/>
      <c r="M19" s="213"/>
      <c r="N19" s="213"/>
      <c r="O19" s="214"/>
      <c r="P19" s="214"/>
      <c r="Q19" s="91"/>
    </row>
    <row r="20" spans="1:17" s="101" customFormat="1" x14ac:dyDescent="0.35">
      <c r="A20" s="90"/>
      <c r="B20" s="91"/>
      <c r="C20" s="91"/>
      <c r="D20" s="91"/>
      <c r="E20" s="91"/>
      <c r="F20" s="91"/>
      <c r="G20" s="91"/>
      <c r="H20" s="91"/>
      <c r="I20" s="91"/>
      <c r="J20" s="91"/>
      <c r="K20" s="91"/>
      <c r="L20" s="213"/>
      <c r="M20" s="213"/>
      <c r="N20" s="213"/>
      <c r="O20" s="214"/>
      <c r="P20" s="214"/>
      <c r="Q20" s="91"/>
    </row>
    <row r="21" spans="1:17" s="101" customFormat="1" x14ac:dyDescent="0.35">
      <c r="A21" s="90"/>
      <c r="B21" s="91"/>
      <c r="C21" s="91"/>
      <c r="D21" s="91"/>
      <c r="E21" s="91"/>
      <c r="F21" s="91"/>
      <c r="G21" s="91"/>
      <c r="H21" s="91"/>
      <c r="I21" s="91"/>
      <c r="J21" s="91"/>
      <c r="K21" s="91"/>
      <c r="L21" s="213"/>
      <c r="M21" s="213"/>
      <c r="N21" s="213"/>
      <c r="O21" s="214"/>
      <c r="P21" s="214"/>
      <c r="Q21" s="91"/>
    </row>
    <row r="22" spans="1:17" s="101" customFormat="1" x14ac:dyDescent="0.35">
      <c r="A22" s="90"/>
      <c r="B22" s="91"/>
      <c r="C22" s="91"/>
      <c r="D22" s="91"/>
      <c r="E22" s="91"/>
      <c r="F22" s="91"/>
      <c r="G22" s="91"/>
      <c r="H22" s="91"/>
      <c r="I22" s="91"/>
      <c r="J22" s="91"/>
      <c r="K22" s="91"/>
      <c r="L22" s="213"/>
      <c r="M22" s="213"/>
      <c r="N22" s="213"/>
      <c r="O22" s="214"/>
      <c r="P22" s="214"/>
      <c r="Q22" s="91"/>
    </row>
    <row r="23" spans="1:17" s="101" customFormat="1" x14ac:dyDescent="0.35">
      <c r="A23" s="90"/>
      <c r="B23" s="91"/>
      <c r="C23" s="91"/>
      <c r="D23" s="91"/>
      <c r="E23" s="91"/>
      <c r="F23" s="91"/>
      <c r="G23" s="91"/>
      <c r="H23" s="91"/>
      <c r="I23" s="91"/>
      <c r="J23" s="91"/>
      <c r="K23" s="91"/>
      <c r="L23" s="213"/>
      <c r="M23" s="213"/>
      <c r="N23" s="213"/>
      <c r="O23" s="214"/>
      <c r="P23" s="214"/>
      <c r="Q23" s="91"/>
    </row>
    <row r="24" spans="1:17" s="101" customFormat="1" x14ac:dyDescent="0.35">
      <c r="A24" s="90"/>
      <c r="B24" s="91"/>
      <c r="C24" s="91"/>
      <c r="D24" s="91"/>
      <c r="E24" s="91"/>
      <c r="F24" s="91"/>
      <c r="G24" s="91"/>
      <c r="H24" s="91"/>
      <c r="I24" s="91"/>
      <c r="J24" s="91"/>
      <c r="K24" s="91"/>
      <c r="L24" s="213"/>
      <c r="M24" s="213"/>
      <c r="N24" s="213"/>
      <c r="O24" s="214"/>
      <c r="P24" s="214"/>
      <c r="Q24" s="91"/>
    </row>
    <row r="25" spans="1:17" s="101" customFormat="1" x14ac:dyDescent="0.35">
      <c r="A25" s="90"/>
      <c r="B25" s="91"/>
      <c r="C25" s="91"/>
      <c r="D25" s="91"/>
      <c r="E25" s="91"/>
      <c r="F25" s="91"/>
      <c r="G25" s="91"/>
      <c r="H25" s="91"/>
      <c r="I25" s="91"/>
      <c r="J25" s="91"/>
      <c r="K25" s="91"/>
      <c r="L25" s="213"/>
      <c r="M25" s="213"/>
      <c r="N25" s="213"/>
      <c r="O25" s="214"/>
      <c r="P25" s="214"/>
      <c r="Q25" s="91"/>
    </row>
    <row r="26" spans="1:17" s="101" customFormat="1" x14ac:dyDescent="0.35">
      <c r="A26" s="90"/>
      <c r="B26" s="91"/>
      <c r="C26" s="91"/>
      <c r="D26" s="91"/>
      <c r="E26" s="91"/>
      <c r="F26" s="91"/>
      <c r="G26" s="91"/>
      <c r="H26" s="91"/>
      <c r="I26" s="91"/>
      <c r="J26" s="91"/>
      <c r="K26" s="91"/>
      <c r="L26" s="213"/>
      <c r="M26" s="213"/>
      <c r="N26" s="213"/>
      <c r="O26" s="214"/>
      <c r="P26" s="214"/>
      <c r="Q26" s="91"/>
    </row>
    <row r="27" spans="1:17" s="101" customFormat="1" x14ac:dyDescent="0.35">
      <c r="A27" s="90"/>
      <c r="B27" s="91"/>
      <c r="C27" s="91"/>
      <c r="D27" s="91"/>
      <c r="E27" s="91"/>
      <c r="F27" s="91"/>
      <c r="G27" s="91"/>
      <c r="H27" s="91"/>
      <c r="I27" s="91"/>
      <c r="J27" s="91"/>
      <c r="K27" s="91"/>
      <c r="L27" s="213"/>
      <c r="M27" s="213"/>
      <c r="N27" s="213"/>
      <c r="O27" s="214"/>
      <c r="P27" s="214"/>
      <c r="Q27" s="91"/>
    </row>
    <row r="28" spans="1:17" s="101" customFormat="1" x14ac:dyDescent="0.35">
      <c r="A28" s="90"/>
      <c r="B28" s="91"/>
      <c r="C28" s="91"/>
      <c r="D28" s="91"/>
      <c r="E28" s="91"/>
      <c r="F28" s="91"/>
      <c r="G28" s="91"/>
      <c r="H28" s="91"/>
      <c r="I28" s="91"/>
      <c r="J28" s="91"/>
      <c r="K28" s="91"/>
      <c r="L28" s="213"/>
      <c r="M28" s="213"/>
      <c r="N28" s="213"/>
      <c r="O28" s="214"/>
      <c r="P28" s="214"/>
      <c r="Q28" s="91"/>
    </row>
    <row r="29" spans="1:17" s="101" customFormat="1" x14ac:dyDescent="0.35">
      <c r="A29" s="90"/>
      <c r="B29" s="91"/>
      <c r="C29" s="91"/>
      <c r="D29" s="91"/>
      <c r="E29" s="91"/>
      <c r="F29" s="91"/>
      <c r="G29" s="91"/>
      <c r="H29" s="91"/>
      <c r="I29" s="91"/>
      <c r="J29" s="91"/>
      <c r="K29" s="91"/>
      <c r="L29" s="213"/>
      <c r="M29" s="213"/>
      <c r="N29" s="213"/>
      <c r="O29" s="214"/>
      <c r="P29" s="214"/>
      <c r="Q29" s="91"/>
    </row>
    <row r="30" spans="1:17" s="101" customFormat="1" x14ac:dyDescent="0.35">
      <c r="A30" s="215"/>
      <c r="B30" s="216"/>
      <c r="C30" s="216"/>
      <c r="D30" s="216"/>
      <c r="E30" s="216"/>
      <c r="F30" s="216"/>
      <c r="G30" s="216"/>
      <c r="H30" s="216"/>
      <c r="I30" s="216"/>
      <c r="J30" s="216"/>
      <c r="K30" s="216"/>
      <c r="L30" s="217"/>
      <c r="M30" s="217"/>
      <c r="N30" s="217"/>
      <c r="O30" s="216"/>
      <c r="P30" s="216"/>
      <c r="Q30" s="91"/>
    </row>
    <row r="31" spans="1:17" s="101" customFormat="1" x14ac:dyDescent="0.35">
      <c r="A31" s="90"/>
      <c r="B31" s="91"/>
      <c r="C31" s="91"/>
      <c r="D31" s="91"/>
      <c r="E31" s="91"/>
      <c r="F31" s="91"/>
      <c r="G31" s="91"/>
      <c r="H31" s="91"/>
      <c r="I31" s="91"/>
      <c r="J31" s="91"/>
      <c r="K31" s="91"/>
      <c r="L31" s="213"/>
      <c r="M31" s="213"/>
      <c r="N31" s="213"/>
      <c r="O31" s="214"/>
      <c r="P31" s="214"/>
      <c r="Q31" s="91"/>
    </row>
    <row r="32" spans="1:17" s="101" customFormat="1" x14ac:dyDescent="0.35">
      <c r="A32" s="90"/>
      <c r="B32" s="91"/>
      <c r="C32" s="91"/>
      <c r="D32" s="91"/>
      <c r="E32" s="91"/>
      <c r="F32" s="91"/>
      <c r="G32" s="91"/>
      <c r="H32" s="91"/>
      <c r="I32" s="91"/>
      <c r="J32" s="91"/>
      <c r="K32" s="91"/>
      <c r="L32" s="213"/>
      <c r="M32" s="213"/>
      <c r="N32" s="213"/>
      <c r="O32" s="214"/>
      <c r="P32" s="214"/>
      <c r="Q32" s="91"/>
    </row>
    <row r="33" spans="1:17" s="101" customFormat="1" x14ac:dyDescent="0.35">
      <c r="A33" s="90"/>
      <c r="B33" s="91"/>
      <c r="C33" s="91"/>
      <c r="D33" s="91"/>
      <c r="E33" s="91"/>
      <c r="F33" s="91"/>
      <c r="G33" s="91"/>
      <c r="H33" s="91"/>
      <c r="I33" s="91"/>
      <c r="J33" s="91"/>
      <c r="K33" s="91"/>
      <c r="L33" s="213"/>
      <c r="M33" s="213"/>
      <c r="N33" s="213"/>
      <c r="O33" s="214"/>
      <c r="P33" s="214"/>
      <c r="Q33" s="91"/>
    </row>
    <row r="34" spans="1:17" s="101" customFormat="1" x14ac:dyDescent="0.35">
      <c r="A34" s="90"/>
      <c r="B34" s="91"/>
      <c r="C34" s="91"/>
      <c r="D34" s="91"/>
      <c r="E34" s="91"/>
      <c r="F34" s="91"/>
      <c r="G34" s="91"/>
      <c r="H34" s="91"/>
      <c r="I34" s="91"/>
      <c r="J34" s="91"/>
      <c r="K34" s="91"/>
      <c r="L34" s="213"/>
      <c r="M34" s="213"/>
      <c r="N34" s="213"/>
      <c r="O34" s="214"/>
      <c r="P34" s="214"/>
      <c r="Q34" s="91"/>
    </row>
    <row r="35" spans="1:17" s="101" customFormat="1" x14ac:dyDescent="0.35">
      <c r="A35" s="90"/>
      <c r="B35" s="91"/>
      <c r="C35" s="91"/>
      <c r="D35" s="91"/>
      <c r="E35" s="91"/>
      <c r="F35" s="91"/>
      <c r="G35" s="91"/>
      <c r="H35" s="91"/>
      <c r="I35" s="91"/>
      <c r="J35" s="91"/>
      <c r="K35" s="91"/>
      <c r="L35" s="213"/>
      <c r="M35" s="213"/>
      <c r="N35" s="213"/>
      <c r="O35" s="214"/>
      <c r="P35" s="214"/>
      <c r="Q35" s="91"/>
    </row>
    <row r="36" spans="1:17" s="101" customFormat="1" x14ac:dyDescent="0.35">
      <c r="A36" s="218"/>
      <c r="B36" s="219"/>
      <c r="C36" s="219"/>
      <c r="D36" s="219"/>
      <c r="E36" s="219"/>
      <c r="F36" s="219"/>
      <c r="G36" s="219"/>
      <c r="H36" s="219"/>
      <c r="I36" s="219"/>
      <c r="J36" s="219"/>
      <c r="K36" s="219"/>
      <c r="L36" s="217"/>
      <c r="M36" s="217"/>
      <c r="N36" s="217"/>
      <c r="O36" s="216"/>
      <c r="P36" s="216"/>
      <c r="Q36" s="91"/>
    </row>
    <row r="37" spans="1:17" s="101" customFormat="1" x14ac:dyDescent="0.35">
      <c r="A37" s="212"/>
      <c r="B37" s="91"/>
      <c r="C37" s="91"/>
      <c r="D37" s="91"/>
      <c r="E37" s="91"/>
      <c r="F37" s="91"/>
      <c r="G37" s="91"/>
      <c r="H37" s="91"/>
      <c r="I37" s="91"/>
      <c r="J37" s="91"/>
      <c r="K37" s="91"/>
      <c r="L37" s="213"/>
      <c r="M37" s="213"/>
      <c r="N37" s="213"/>
      <c r="O37" s="214"/>
      <c r="P37" s="214"/>
      <c r="Q37" s="91"/>
    </row>
    <row r="38" spans="1:17" s="101" customFormat="1" x14ac:dyDescent="0.35">
      <c r="A38" s="90"/>
      <c r="B38" s="91"/>
      <c r="C38" s="91"/>
      <c r="D38" s="91"/>
      <c r="E38" s="91"/>
      <c r="F38" s="91"/>
      <c r="G38" s="91"/>
      <c r="H38" s="91"/>
      <c r="I38" s="91"/>
      <c r="J38" s="91"/>
      <c r="K38" s="91"/>
      <c r="L38" s="213"/>
      <c r="M38" s="213"/>
      <c r="N38" s="213"/>
      <c r="O38" s="214"/>
      <c r="P38" s="214"/>
      <c r="Q38" s="91"/>
    </row>
    <row r="39" spans="1:17" s="101" customFormat="1" x14ac:dyDescent="0.35">
      <c r="A39" s="90"/>
      <c r="B39" s="91"/>
      <c r="C39" s="91"/>
      <c r="D39" s="91"/>
      <c r="E39" s="91"/>
      <c r="F39" s="91"/>
      <c r="G39" s="91"/>
      <c r="H39" s="91"/>
      <c r="I39" s="91"/>
      <c r="J39" s="91"/>
      <c r="K39" s="91"/>
      <c r="L39" s="213"/>
      <c r="M39" s="213"/>
      <c r="N39" s="213"/>
      <c r="O39" s="214"/>
      <c r="P39" s="214"/>
      <c r="Q39" s="91"/>
    </row>
    <row r="40" spans="1:17" s="101" customFormat="1" x14ac:dyDescent="0.35">
      <c r="A40" s="90"/>
      <c r="B40" s="91"/>
      <c r="C40" s="91"/>
      <c r="D40" s="91"/>
      <c r="E40" s="91"/>
      <c r="F40" s="91"/>
      <c r="G40" s="91"/>
      <c r="H40" s="91"/>
      <c r="I40" s="91"/>
      <c r="J40" s="91"/>
      <c r="K40" s="91"/>
      <c r="L40" s="213"/>
      <c r="M40" s="213"/>
      <c r="N40" s="213"/>
      <c r="O40" s="214"/>
      <c r="P40" s="214"/>
      <c r="Q40" s="91"/>
    </row>
    <row r="41" spans="1:17" s="101" customFormat="1" x14ac:dyDescent="0.35">
      <c r="A41" s="90"/>
      <c r="B41" s="91"/>
      <c r="C41" s="91"/>
      <c r="D41" s="91"/>
      <c r="E41" s="91"/>
      <c r="F41" s="91"/>
      <c r="G41" s="91"/>
      <c r="H41" s="91"/>
      <c r="I41" s="91"/>
      <c r="J41" s="91"/>
      <c r="K41" s="91"/>
      <c r="L41" s="213"/>
      <c r="M41" s="213"/>
      <c r="N41" s="213"/>
      <c r="O41" s="214"/>
      <c r="P41" s="214"/>
      <c r="Q41" s="91"/>
    </row>
    <row r="42" spans="1:17" s="101" customFormat="1" x14ac:dyDescent="0.35">
      <c r="A42" s="90"/>
      <c r="B42" s="91"/>
      <c r="C42" s="91"/>
      <c r="D42" s="91"/>
      <c r="E42" s="91"/>
      <c r="F42" s="91"/>
      <c r="G42" s="91"/>
      <c r="H42" s="91"/>
      <c r="I42" s="91"/>
      <c r="J42" s="91"/>
      <c r="K42" s="91"/>
      <c r="L42" s="213"/>
      <c r="M42" s="213"/>
      <c r="N42" s="213"/>
      <c r="O42" s="214"/>
      <c r="P42" s="214"/>
      <c r="Q42" s="91"/>
    </row>
    <row r="43" spans="1:17" s="101" customFormat="1" x14ac:dyDescent="0.35">
      <c r="A43" s="90"/>
      <c r="B43" s="91"/>
      <c r="C43" s="91"/>
      <c r="D43" s="91"/>
      <c r="E43" s="91"/>
      <c r="F43" s="91"/>
      <c r="G43" s="91"/>
      <c r="H43" s="91"/>
      <c r="I43" s="91"/>
      <c r="J43" s="91"/>
      <c r="K43" s="91"/>
      <c r="L43" s="213"/>
      <c r="M43" s="213"/>
      <c r="N43" s="213"/>
      <c r="O43" s="214"/>
      <c r="P43" s="214"/>
      <c r="Q43" s="91"/>
    </row>
    <row r="44" spans="1:17" s="101" customFormat="1" x14ac:dyDescent="0.35">
      <c r="A44" s="90"/>
      <c r="B44" s="91"/>
      <c r="C44" s="91"/>
      <c r="D44" s="91"/>
      <c r="E44" s="91"/>
      <c r="F44" s="91"/>
      <c r="G44" s="91"/>
      <c r="H44" s="91"/>
      <c r="I44" s="91"/>
      <c r="J44" s="91"/>
      <c r="K44" s="91"/>
      <c r="L44" s="213"/>
      <c r="M44" s="213"/>
      <c r="N44" s="213"/>
      <c r="O44" s="214"/>
      <c r="P44" s="214"/>
      <c r="Q44" s="91"/>
    </row>
    <row r="45" spans="1:17" s="101" customFormat="1" x14ac:dyDescent="0.35">
      <c r="A45" s="90"/>
      <c r="B45" s="91"/>
      <c r="C45" s="91"/>
      <c r="D45" s="91"/>
      <c r="E45" s="91"/>
      <c r="F45" s="91"/>
      <c r="G45" s="91"/>
      <c r="H45" s="91"/>
      <c r="I45" s="91"/>
      <c r="J45" s="91"/>
      <c r="K45" s="91"/>
      <c r="L45" s="213"/>
      <c r="M45" s="213"/>
      <c r="N45" s="213"/>
      <c r="O45" s="214"/>
      <c r="P45" s="214"/>
      <c r="Q45" s="91"/>
    </row>
    <row r="46" spans="1:17" s="101" customFormat="1" x14ac:dyDescent="0.35">
      <c r="A46" s="90"/>
      <c r="B46" s="91"/>
      <c r="C46" s="91"/>
      <c r="D46" s="91"/>
      <c r="E46" s="91"/>
      <c r="F46" s="91"/>
      <c r="G46" s="91"/>
      <c r="H46" s="91"/>
      <c r="I46" s="91"/>
      <c r="J46" s="91"/>
      <c r="K46" s="91"/>
      <c r="L46" s="94"/>
      <c r="M46" s="94"/>
      <c r="N46" s="94"/>
      <c r="O46" s="91"/>
      <c r="P46" s="91"/>
      <c r="Q46" s="91"/>
    </row>
    <row r="47" spans="1:17" s="101" customFormat="1" x14ac:dyDescent="0.35">
      <c r="A47" s="90"/>
      <c r="B47" s="91"/>
      <c r="C47" s="91"/>
      <c r="D47" s="91"/>
      <c r="E47" s="91"/>
      <c r="F47" s="91"/>
      <c r="G47" s="91"/>
      <c r="H47" s="91"/>
      <c r="I47" s="91"/>
      <c r="J47" s="91"/>
      <c r="K47" s="91"/>
      <c r="L47" s="94"/>
      <c r="M47" s="94"/>
      <c r="N47" s="94"/>
      <c r="O47" s="91"/>
      <c r="P47" s="91"/>
      <c r="Q47" s="91"/>
    </row>
    <row r="48" spans="1:17" s="101" customFormat="1" x14ac:dyDescent="0.35">
      <c r="A48" s="90"/>
      <c r="B48" s="91"/>
      <c r="C48" s="91"/>
      <c r="D48" s="91"/>
      <c r="E48" s="91"/>
      <c r="F48" s="91"/>
      <c r="G48" s="91"/>
      <c r="H48" s="91"/>
      <c r="I48" s="91"/>
      <c r="J48" s="91"/>
      <c r="K48" s="91"/>
      <c r="L48" s="94"/>
      <c r="M48" s="94"/>
      <c r="N48" s="94"/>
      <c r="O48" s="91"/>
      <c r="P48" s="91"/>
      <c r="Q48" s="91"/>
    </row>
    <row r="49" spans="1:17" s="101" customFormat="1" x14ac:dyDescent="0.35">
      <c r="A49" s="90"/>
      <c r="B49" s="91"/>
      <c r="C49" s="91"/>
      <c r="D49" s="91"/>
      <c r="E49" s="91"/>
      <c r="F49" s="91"/>
      <c r="G49" s="91"/>
      <c r="H49" s="91"/>
      <c r="I49" s="91"/>
      <c r="J49" s="91"/>
      <c r="K49" s="91"/>
      <c r="L49" s="94"/>
      <c r="M49" s="94"/>
      <c r="N49" s="94"/>
      <c r="O49" s="91"/>
      <c r="P49" s="91"/>
      <c r="Q49" s="91"/>
    </row>
    <row r="50" spans="1:17" s="101" customFormat="1" x14ac:dyDescent="0.35">
      <c r="A50" s="90"/>
      <c r="B50" s="91"/>
      <c r="C50" s="91"/>
      <c r="D50" s="91"/>
      <c r="E50" s="91"/>
      <c r="F50" s="91"/>
      <c r="G50" s="91"/>
      <c r="H50" s="91"/>
      <c r="I50" s="91"/>
      <c r="J50" s="91"/>
      <c r="K50" s="91"/>
      <c r="L50" s="94"/>
      <c r="M50" s="94"/>
      <c r="N50" s="94"/>
      <c r="O50" s="91"/>
      <c r="P50" s="91"/>
      <c r="Q50" s="91"/>
    </row>
    <row r="51" spans="1:17" s="101" customFormat="1" x14ac:dyDescent="0.35">
      <c r="A51" s="90"/>
      <c r="B51" s="91"/>
      <c r="C51" s="91"/>
      <c r="D51" s="91"/>
      <c r="E51" s="91"/>
      <c r="F51" s="91"/>
      <c r="G51" s="91"/>
      <c r="H51" s="91"/>
      <c r="I51" s="91"/>
      <c r="J51" s="91"/>
      <c r="K51" s="91"/>
      <c r="L51" s="94"/>
      <c r="M51" s="94"/>
      <c r="N51" s="94"/>
      <c r="O51" s="91"/>
      <c r="P51" s="91"/>
      <c r="Q51" s="91"/>
    </row>
    <row r="52" spans="1:17" s="101" customFormat="1" x14ac:dyDescent="0.35">
      <c r="A52" s="90"/>
      <c r="B52" s="91"/>
      <c r="C52" s="91"/>
      <c r="D52" s="91"/>
      <c r="E52" s="91"/>
      <c r="F52" s="91"/>
      <c r="G52" s="91"/>
      <c r="H52" s="91"/>
      <c r="I52" s="91"/>
      <c r="J52" s="91"/>
      <c r="K52" s="91"/>
      <c r="L52" s="94"/>
      <c r="M52" s="94"/>
      <c r="N52" s="94"/>
      <c r="O52" s="91"/>
      <c r="P52" s="91"/>
      <c r="Q52" s="91"/>
    </row>
    <row r="53" spans="1:17" s="101" customFormat="1" x14ac:dyDescent="0.35">
      <c r="A53" s="90"/>
      <c r="B53" s="91"/>
      <c r="C53" s="91"/>
      <c r="D53" s="91"/>
      <c r="E53" s="91"/>
      <c r="F53" s="91"/>
      <c r="G53" s="91"/>
      <c r="H53" s="91"/>
      <c r="I53" s="91"/>
      <c r="J53" s="91"/>
      <c r="K53" s="91"/>
      <c r="L53" s="94"/>
      <c r="M53" s="94"/>
      <c r="N53" s="94"/>
      <c r="O53" s="91"/>
      <c r="P53" s="91"/>
      <c r="Q53" s="91"/>
    </row>
    <row r="54" spans="1:17" s="101" customFormat="1" x14ac:dyDescent="0.35">
      <c r="A54" s="90"/>
      <c r="B54" s="91"/>
      <c r="C54" s="91"/>
      <c r="D54" s="91"/>
      <c r="E54" s="91"/>
      <c r="F54" s="91"/>
      <c r="G54" s="91"/>
      <c r="H54" s="91"/>
      <c r="I54" s="91"/>
      <c r="J54" s="91"/>
      <c r="K54" s="91"/>
      <c r="L54" s="94"/>
      <c r="M54" s="94"/>
      <c r="N54" s="94"/>
      <c r="O54" s="91"/>
      <c r="P54" s="91"/>
      <c r="Q54" s="91"/>
    </row>
    <row r="55" spans="1:17" s="101" customFormat="1" x14ac:dyDescent="0.35">
      <c r="A55" s="90"/>
      <c r="B55" s="91"/>
      <c r="C55" s="91"/>
      <c r="D55" s="91"/>
      <c r="E55" s="91"/>
      <c r="F55" s="91"/>
      <c r="G55" s="91"/>
      <c r="H55" s="91"/>
      <c r="I55" s="91"/>
      <c r="J55" s="91"/>
      <c r="K55" s="91"/>
      <c r="L55" s="94"/>
      <c r="M55" s="94"/>
      <c r="N55" s="94"/>
      <c r="O55" s="91"/>
      <c r="P55" s="91"/>
      <c r="Q55" s="91"/>
    </row>
    <row r="56" spans="1:17" s="101" customFormat="1" x14ac:dyDescent="0.35">
      <c r="A56" s="90"/>
      <c r="B56" s="91"/>
      <c r="C56" s="91"/>
      <c r="D56" s="91"/>
      <c r="E56" s="91"/>
      <c r="F56" s="91"/>
      <c r="G56" s="91"/>
      <c r="H56" s="91"/>
      <c r="I56" s="91"/>
      <c r="J56" s="91"/>
      <c r="K56" s="94"/>
      <c r="L56" s="94"/>
      <c r="M56" s="94"/>
      <c r="N56" s="91"/>
      <c r="O56" s="91"/>
      <c r="P56" s="91"/>
      <c r="Q56" s="91"/>
    </row>
    <row r="57" spans="1:17" s="101" customFormat="1" x14ac:dyDescent="0.35">
      <c r="A57" s="90"/>
      <c r="B57" s="91"/>
      <c r="C57" s="91"/>
      <c r="D57" s="91"/>
      <c r="E57" s="91"/>
      <c r="F57" s="91"/>
      <c r="G57" s="91"/>
      <c r="H57" s="91"/>
      <c r="I57" s="91"/>
      <c r="J57" s="91"/>
      <c r="K57" s="94"/>
      <c r="L57" s="94"/>
      <c r="M57" s="94"/>
      <c r="N57" s="91"/>
      <c r="O57" s="91"/>
      <c r="P57" s="91"/>
      <c r="Q57" s="91"/>
    </row>
    <row r="58" spans="1:17" s="101" customFormat="1" x14ac:dyDescent="0.35">
      <c r="A58" s="90"/>
      <c r="B58" s="91"/>
      <c r="C58" s="91"/>
      <c r="D58" s="91"/>
      <c r="E58" s="91"/>
      <c r="F58" s="91"/>
      <c r="G58" s="91"/>
      <c r="H58" s="91"/>
      <c r="I58" s="91"/>
      <c r="J58" s="91"/>
      <c r="K58" s="94"/>
      <c r="L58" s="94"/>
      <c r="M58" s="94"/>
      <c r="N58" s="91"/>
      <c r="O58" s="91"/>
      <c r="P58" s="91"/>
      <c r="Q58" s="91"/>
    </row>
    <row r="59" spans="1:17" s="101" customFormat="1" x14ac:dyDescent="0.35">
      <c r="A59" s="90"/>
      <c r="B59" s="91"/>
      <c r="C59" s="91"/>
      <c r="D59" s="91"/>
      <c r="E59" s="91"/>
      <c r="F59" s="91"/>
      <c r="G59" s="91"/>
      <c r="H59" s="91"/>
      <c r="I59" s="91"/>
      <c r="J59" s="91"/>
      <c r="K59" s="94"/>
      <c r="L59" s="94"/>
      <c r="M59" s="94"/>
      <c r="N59" s="91"/>
      <c r="O59" s="91"/>
      <c r="P59" s="91"/>
      <c r="Q59" s="91"/>
    </row>
    <row r="60" spans="1:17" s="101" customFormat="1" x14ac:dyDescent="0.35">
      <c r="A60" s="90"/>
      <c r="B60" s="91"/>
      <c r="C60" s="91"/>
      <c r="D60" s="91"/>
      <c r="E60" s="91"/>
      <c r="F60" s="91"/>
      <c r="G60" s="91"/>
      <c r="H60" s="91"/>
      <c r="I60" s="91"/>
      <c r="J60" s="91"/>
      <c r="K60" s="94"/>
      <c r="L60" s="94"/>
      <c r="M60" s="94"/>
      <c r="N60" s="91"/>
      <c r="O60" s="91"/>
      <c r="P60" s="91"/>
      <c r="Q60" s="91"/>
    </row>
    <row r="61" spans="1:17" s="101" customFormat="1" x14ac:dyDescent="0.35">
      <c r="A61" s="90"/>
      <c r="B61" s="91"/>
      <c r="C61" s="91"/>
      <c r="D61" s="91"/>
      <c r="E61" s="91"/>
      <c r="F61" s="91"/>
      <c r="G61" s="91"/>
      <c r="H61" s="91"/>
      <c r="I61" s="91"/>
      <c r="J61" s="91"/>
      <c r="K61" s="94"/>
      <c r="L61" s="94"/>
      <c r="M61" s="94"/>
      <c r="N61" s="91"/>
      <c r="O61" s="91"/>
      <c r="P61" s="91"/>
      <c r="Q61" s="91"/>
    </row>
    <row r="62" spans="1:17" s="101" customFormat="1" x14ac:dyDescent="0.35">
      <c r="A62" s="90"/>
      <c r="B62" s="91"/>
      <c r="C62" s="91"/>
      <c r="D62" s="91"/>
      <c r="E62" s="91"/>
      <c r="F62" s="91"/>
      <c r="G62" s="91"/>
      <c r="H62" s="91"/>
      <c r="I62" s="91"/>
      <c r="J62" s="91"/>
      <c r="K62" s="94"/>
      <c r="L62" s="94"/>
      <c r="M62" s="94"/>
      <c r="N62" s="91"/>
      <c r="O62" s="91"/>
      <c r="P62" s="91"/>
      <c r="Q62" s="91"/>
    </row>
    <row r="63" spans="1:17" s="101" customFormat="1" x14ac:dyDescent="0.35">
      <c r="A63" s="90"/>
      <c r="B63" s="91"/>
      <c r="C63" s="91"/>
      <c r="D63" s="91"/>
      <c r="E63" s="91"/>
      <c r="F63" s="91"/>
      <c r="G63" s="91"/>
      <c r="H63" s="91"/>
      <c r="I63" s="91"/>
      <c r="J63" s="91"/>
      <c r="K63" s="94"/>
      <c r="L63" s="94"/>
      <c r="M63" s="94"/>
      <c r="N63" s="91"/>
      <c r="O63" s="91"/>
      <c r="P63" s="91"/>
      <c r="Q63" s="91"/>
    </row>
    <row r="64" spans="1:17" s="101" customFormat="1" x14ac:dyDescent="0.35">
      <c r="A64" s="90"/>
      <c r="B64" s="91"/>
      <c r="C64" s="91"/>
      <c r="D64" s="91"/>
      <c r="E64" s="91"/>
      <c r="F64" s="91"/>
      <c r="G64" s="91"/>
      <c r="H64" s="91"/>
      <c r="I64" s="91"/>
      <c r="J64" s="91"/>
      <c r="K64" s="94"/>
      <c r="L64" s="94"/>
      <c r="M64" s="94"/>
      <c r="N64" s="91"/>
      <c r="O64" s="91"/>
      <c r="P64" s="91"/>
      <c r="Q64" s="91"/>
    </row>
    <row r="65" spans="1:17" s="101" customFormat="1" x14ac:dyDescent="0.35">
      <c r="A65" s="90"/>
      <c r="B65" s="91"/>
      <c r="C65" s="91"/>
      <c r="D65" s="91"/>
      <c r="E65" s="91"/>
      <c r="F65" s="91"/>
      <c r="G65" s="91"/>
      <c r="H65" s="91"/>
      <c r="I65" s="91"/>
      <c r="J65" s="91"/>
      <c r="K65" s="94"/>
      <c r="L65" s="94"/>
      <c r="M65" s="94"/>
      <c r="N65" s="91"/>
      <c r="O65" s="91"/>
      <c r="P65" s="91"/>
      <c r="Q65" s="91"/>
    </row>
    <row r="66" spans="1:17" s="101" customFormat="1" x14ac:dyDescent="0.35">
      <c r="A66" s="90"/>
      <c r="B66" s="91"/>
      <c r="C66" s="91"/>
      <c r="D66" s="91"/>
      <c r="E66" s="91"/>
      <c r="F66" s="91"/>
      <c r="G66" s="91"/>
      <c r="H66" s="91"/>
      <c r="I66" s="91"/>
      <c r="J66" s="91"/>
      <c r="K66" s="94"/>
      <c r="L66" s="94"/>
      <c r="M66" s="94"/>
      <c r="N66" s="91"/>
      <c r="O66" s="91"/>
      <c r="P66" s="91"/>
      <c r="Q66" s="91"/>
    </row>
    <row r="67" spans="1:17" s="101" customFormat="1" x14ac:dyDescent="0.35">
      <c r="A67" s="90"/>
      <c r="B67" s="91"/>
      <c r="C67" s="91"/>
      <c r="D67" s="91"/>
      <c r="E67" s="91"/>
      <c r="F67" s="91"/>
      <c r="G67" s="91"/>
      <c r="H67" s="91"/>
      <c r="I67" s="91"/>
      <c r="J67" s="91"/>
      <c r="K67" s="94"/>
      <c r="L67" s="94"/>
      <c r="M67" s="94"/>
      <c r="N67" s="91"/>
      <c r="O67" s="91"/>
      <c r="P67" s="91"/>
      <c r="Q67" s="91"/>
    </row>
    <row r="68" spans="1:17" s="101" customFormat="1" x14ac:dyDescent="0.35">
      <c r="A68" s="90"/>
      <c r="B68" s="91"/>
      <c r="C68" s="91"/>
      <c r="D68" s="91"/>
      <c r="E68" s="91"/>
      <c r="F68" s="91"/>
      <c r="G68" s="91"/>
      <c r="H68" s="91"/>
      <c r="I68" s="91"/>
      <c r="J68" s="91"/>
      <c r="K68" s="94"/>
      <c r="L68" s="94"/>
      <c r="M68" s="94"/>
      <c r="N68" s="91"/>
      <c r="O68" s="91"/>
      <c r="P68" s="91"/>
      <c r="Q68" s="91"/>
    </row>
    <row r="69" spans="1:17" s="101" customFormat="1" x14ac:dyDescent="0.35">
      <c r="A69" s="90"/>
      <c r="B69" s="91"/>
      <c r="C69" s="91"/>
      <c r="D69" s="91"/>
      <c r="E69" s="91"/>
      <c r="F69" s="91"/>
      <c r="G69" s="91"/>
      <c r="H69" s="91"/>
      <c r="I69" s="91"/>
      <c r="J69" s="91"/>
      <c r="K69" s="94"/>
      <c r="L69" s="94"/>
      <c r="M69" s="94"/>
      <c r="N69" s="91"/>
      <c r="O69" s="91"/>
      <c r="P69" s="91"/>
      <c r="Q69" s="91"/>
    </row>
    <row r="70" spans="1:17" s="101" customFormat="1" x14ac:dyDescent="0.35">
      <c r="A70" s="90"/>
      <c r="B70" s="91"/>
      <c r="C70" s="91"/>
      <c r="D70" s="91"/>
      <c r="E70" s="91"/>
      <c r="F70" s="91"/>
      <c r="G70" s="91"/>
      <c r="H70" s="91"/>
      <c r="I70" s="91"/>
      <c r="J70" s="91"/>
      <c r="K70" s="94"/>
      <c r="L70" s="94"/>
      <c r="M70" s="94"/>
      <c r="N70" s="91"/>
      <c r="O70" s="91"/>
      <c r="P70" s="91"/>
      <c r="Q70" s="91"/>
    </row>
    <row r="71" spans="1:17" s="101" customFormat="1" x14ac:dyDescent="0.35">
      <c r="A71" s="90"/>
      <c r="B71" s="91"/>
      <c r="C71" s="91"/>
      <c r="D71" s="91"/>
      <c r="E71" s="91"/>
      <c r="F71" s="91"/>
      <c r="G71" s="91"/>
      <c r="H71" s="91"/>
      <c r="I71" s="91"/>
      <c r="J71" s="91"/>
      <c r="K71" s="94"/>
      <c r="L71" s="94"/>
      <c r="M71" s="94"/>
      <c r="N71" s="91"/>
      <c r="O71" s="91"/>
      <c r="P71" s="91"/>
      <c r="Q71" s="91"/>
    </row>
    <row r="72" spans="1:17" s="101" customFormat="1" x14ac:dyDescent="0.35">
      <c r="A72" s="90"/>
      <c r="B72" s="91"/>
      <c r="C72" s="91"/>
      <c r="D72" s="91"/>
      <c r="E72" s="91"/>
      <c r="F72" s="91"/>
      <c r="G72" s="91"/>
      <c r="H72" s="91"/>
      <c r="I72" s="91"/>
      <c r="J72" s="91"/>
      <c r="K72" s="94"/>
      <c r="L72" s="94"/>
      <c r="M72" s="94"/>
      <c r="N72" s="91"/>
      <c r="O72" s="91"/>
      <c r="P72" s="91"/>
      <c r="Q72" s="91"/>
    </row>
    <row r="73" spans="1:17" s="101" customFormat="1" x14ac:dyDescent="0.35">
      <c r="A73" s="90"/>
      <c r="B73" s="91"/>
      <c r="C73" s="91"/>
      <c r="D73" s="91"/>
      <c r="E73" s="91"/>
      <c r="F73" s="91"/>
      <c r="G73" s="91"/>
      <c r="H73" s="91"/>
      <c r="I73" s="91"/>
      <c r="J73" s="91"/>
      <c r="K73" s="94"/>
      <c r="L73" s="94"/>
      <c r="M73" s="94"/>
      <c r="N73" s="91"/>
      <c r="O73" s="91"/>
      <c r="P73" s="91"/>
      <c r="Q73" s="91"/>
    </row>
    <row r="74" spans="1:17" s="101" customFormat="1" x14ac:dyDescent="0.35">
      <c r="A74" s="90"/>
      <c r="B74" s="91"/>
      <c r="C74" s="91"/>
      <c r="D74" s="91"/>
      <c r="E74" s="91"/>
      <c r="F74" s="91"/>
      <c r="G74" s="91"/>
      <c r="H74" s="91"/>
      <c r="I74" s="91"/>
      <c r="J74" s="91"/>
      <c r="K74" s="94"/>
      <c r="L74" s="94"/>
      <c r="M74" s="94"/>
      <c r="N74" s="91"/>
      <c r="O74" s="91"/>
      <c r="P74" s="91"/>
      <c r="Q74" s="91"/>
    </row>
    <row r="75" spans="1:17" s="101" customFormat="1" x14ac:dyDescent="0.35">
      <c r="A75" s="90"/>
      <c r="B75" s="91"/>
      <c r="C75" s="91"/>
      <c r="D75" s="91"/>
      <c r="E75" s="91"/>
      <c r="F75" s="91"/>
      <c r="G75" s="91"/>
      <c r="H75" s="91"/>
      <c r="I75" s="91"/>
      <c r="J75" s="91"/>
      <c r="K75" s="94"/>
      <c r="L75" s="94"/>
      <c r="M75" s="94"/>
      <c r="N75" s="91"/>
      <c r="O75" s="91"/>
      <c r="P75" s="91"/>
      <c r="Q75" s="91"/>
    </row>
    <row r="76" spans="1:17" s="101" customFormat="1" x14ac:dyDescent="0.35">
      <c r="A76" s="90"/>
      <c r="B76" s="91"/>
      <c r="C76" s="91"/>
      <c r="D76" s="91"/>
      <c r="E76" s="91"/>
      <c r="F76" s="91"/>
      <c r="G76" s="91"/>
      <c r="H76" s="91"/>
      <c r="I76" s="91"/>
      <c r="J76" s="91"/>
      <c r="K76" s="94"/>
      <c r="L76" s="94"/>
      <c r="M76" s="94"/>
      <c r="N76" s="91"/>
      <c r="O76" s="91"/>
      <c r="P76" s="91"/>
      <c r="Q76" s="91"/>
    </row>
    <row r="77" spans="1:17" s="101" customFormat="1" x14ac:dyDescent="0.35">
      <c r="A77" s="90"/>
      <c r="B77" s="91"/>
      <c r="C77" s="91"/>
      <c r="D77" s="91"/>
      <c r="E77" s="91"/>
      <c r="F77" s="91"/>
      <c r="G77" s="91"/>
      <c r="H77" s="91"/>
      <c r="I77" s="91"/>
      <c r="J77" s="91"/>
      <c r="K77" s="94"/>
      <c r="L77" s="94"/>
      <c r="M77" s="94"/>
      <c r="N77" s="91"/>
      <c r="O77" s="91"/>
      <c r="P77" s="91"/>
      <c r="Q77" s="91"/>
    </row>
    <row r="78" spans="1:17" s="101" customFormat="1" x14ac:dyDescent="0.35">
      <c r="A78" s="90"/>
      <c r="B78" s="91"/>
      <c r="C78" s="91"/>
      <c r="D78" s="91"/>
      <c r="E78" s="91"/>
      <c r="F78" s="91"/>
      <c r="G78" s="91"/>
      <c r="H78" s="91"/>
      <c r="I78" s="91"/>
      <c r="J78" s="91"/>
      <c r="K78" s="94"/>
      <c r="L78" s="94"/>
      <c r="M78" s="94"/>
      <c r="N78" s="91"/>
      <c r="O78" s="91"/>
      <c r="P78" s="91"/>
      <c r="Q78" s="91"/>
    </row>
    <row r="79" spans="1:17" s="101" customFormat="1" x14ac:dyDescent="0.35">
      <c r="A79" s="90"/>
      <c r="B79" s="91"/>
      <c r="C79" s="91"/>
      <c r="D79" s="91"/>
      <c r="E79" s="91"/>
      <c r="F79" s="91"/>
      <c r="G79" s="91"/>
      <c r="H79" s="91"/>
      <c r="I79" s="91"/>
      <c r="J79" s="91"/>
      <c r="K79" s="94"/>
      <c r="L79" s="94"/>
      <c r="M79" s="94"/>
      <c r="N79" s="91"/>
      <c r="O79" s="91"/>
      <c r="P79" s="91"/>
      <c r="Q79" s="91"/>
    </row>
    <row r="80" spans="1:17" s="101" customFormat="1" x14ac:dyDescent="0.35">
      <c r="A80" s="90"/>
      <c r="B80" s="91"/>
      <c r="C80" s="91"/>
      <c r="D80" s="91"/>
      <c r="E80" s="91"/>
      <c r="F80" s="91"/>
      <c r="G80" s="91"/>
      <c r="H80" s="91"/>
      <c r="I80" s="91"/>
      <c r="J80" s="91"/>
      <c r="K80" s="94"/>
      <c r="L80" s="94"/>
      <c r="M80" s="94"/>
      <c r="N80" s="91"/>
      <c r="O80" s="91"/>
      <c r="P80" s="91"/>
      <c r="Q80" s="91"/>
    </row>
    <row r="81" spans="1:17" s="101" customFormat="1" x14ac:dyDescent="0.35">
      <c r="A81" s="90"/>
      <c r="B81" s="91"/>
      <c r="C81" s="91"/>
      <c r="D81" s="91"/>
      <c r="E81" s="91"/>
      <c r="F81" s="91"/>
      <c r="G81" s="91"/>
      <c r="H81" s="91"/>
      <c r="I81" s="91"/>
      <c r="J81" s="91"/>
      <c r="K81" s="94"/>
      <c r="L81" s="94"/>
      <c r="M81" s="94"/>
      <c r="N81" s="91"/>
      <c r="O81" s="91"/>
      <c r="P81" s="91"/>
      <c r="Q81" s="91"/>
    </row>
    <row r="82" spans="1:17" s="101" customFormat="1" x14ac:dyDescent="0.35">
      <c r="A82" s="90"/>
      <c r="B82" s="91"/>
      <c r="C82" s="91"/>
      <c r="D82" s="91"/>
      <c r="E82" s="91"/>
      <c r="F82" s="91"/>
      <c r="G82" s="91"/>
      <c r="H82" s="91"/>
      <c r="I82" s="91"/>
      <c r="J82" s="91"/>
      <c r="K82" s="94"/>
      <c r="L82" s="94"/>
      <c r="M82" s="94"/>
      <c r="N82" s="91"/>
      <c r="O82" s="91"/>
      <c r="P82" s="91"/>
      <c r="Q82" s="91"/>
    </row>
    <row r="83" spans="1:17" s="101" customFormat="1" x14ac:dyDescent="0.35">
      <c r="A83" s="90"/>
      <c r="B83" s="91"/>
      <c r="C83" s="91"/>
      <c r="D83" s="91"/>
      <c r="E83" s="91"/>
      <c r="F83" s="91"/>
      <c r="G83" s="91"/>
      <c r="H83" s="91"/>
      <c r="I83" s="91"/>
      <c r="J83" s="91"/>
      <c r="K83" s="94"/>
      <c r="L83" s="94"/>
      <c r="M83" s="94"/>
      <c r="N83" s="91"/>
      <c r="O83" s="91"/>
      <c r="P83" s="91"/>
      <c r="Q83" s="91"/>
    </row>
    <row r="84" spans="1:17" s="101" customFormat="1" x14ac:dyDescent="0.35">
      <c r="A84" s="90"/>
      <c r="B84" s="91"/>
      <c r="C84" s="91"/>
      <c r="D84" s="91"/>
      <c r="E84" s="91"/>
      <c r="F84" s="91"/>
      <c r="G84" s="91"/>
      <c r="H84" s="91"/>
      <c r="I84" s="91"/>
      <c r="J84" s="91"/>
      <c r="K84" s="94"/>
      <c r="L84" s="94"/>
      <c r="M84" s="94"/>
      <c r="N84" s="91"/>
      <c r="O84" s="91"/>
      <c r="P84" s="91"/>
      <c r="Q84" s="91"/>
    </row>
    <row r="85" spans="1:17" s="101" customFormat="1" x14ac:dyDescent="0.35">
      <c r="A85" s="90"/>
      <c r="B85" s="91"/>
      <c r="C85" s="91"/>
      <c r="D85" s="91"/>
      <c r="E85" s="91"/>
      <c r="F85" s="91"/>
      <c r="G85" s="91"/>
      <c r="H85" s="91"/>
      <c r="I85" s="91"/>
      <c r="J85" s="91"/>
      <c r="K85" s="94"/>
      <c r="L85" s="94"/>
      <c r="M85" s="94"/>
      <c r="N85" s="91"/>
      <c r="O85" s="91"/>
      <c r="P85" s="91"/>
      <c r="Q85" s="91"/>
    </row>
    <row r="86" spans="1:17" s="101" customFormat="1" x14ac:dyDescent="0.35">
      <c r="A86" s="90"/>
      <c r="B86" s="91"/>
      <c r="C86" s="91"/>
      <c r="D86" s="91"/>
      <c r="E86" s="91"/>
      <c r="F86" s="91"/>
      <c r="G86" s="91"/>
      <c r="H86" s="91"/>
      <c r="I86" s="91"/>
      <c r="J86" s="91"/>
      <c r="K86" s="94"/>
      <c r="L86" s="94"/>
      <c r="M86" s="94"/>
      <c r="N86" s="91"/>
      <c r="O86" s="91"/>
      <c r="P86" s="91"/>
      <c r="Q86" s="91"/>
    </row>
    <row r="87" spans="1:17" s="101" customFormat="1" x14ac:dyDescent="0.35">
      <c r="A87" s="90"/>
      <c r="B87" s="91"/>
      <c r="C87" s="91"/>
      <c r="D87" s="91"/>
      <c r="E87" s="91"/>
      <c r="F87" s="91"/>
      <c r="G87" s="91"/>
      <c r="H87" s="91"/>
      <c r="I87" s="91"/>
      <c r="J87" s="91"/>
      <c r="K87" s="94"/>
      <c r="L87" s="94"/>
      <c r="M87" s="94"/>
      <c r="N87" s="91"/>
      <c r="O87" s="91"/>
      <c r="P87" s="91"/>
      <c r="Q87" s="91"/>
    </row>
    <row r="88" spans="1:17" s="101" customFormat="1" x14ac:dyDescent="0.35">
      <c r="A88" s="90"/>
      <c r="B88" s="91"/>
      <c r="C88" s="91"/>
      <c r="D88" s="91"/>
      <c r="E88" s="91"/>
      <c r="F88" s="91"/>
      <c r="G88" s="91"/>
      <c r="H88" s="91"/>
      <c r="I88" s="91"/>
      <c r="J88" s="91"/>
      <c r="K88" s="94"/>
      <c r="L88" s="94"/>
      <c r="M88" s="94"/>
      <c r="N88" s="91"/>
      <c r="O88" s="91"/>
      <c r="P88" s="91"/>
      <c r="Q88" s="91"/>
    </row>
    <row r="89" spans="1:17" s="101" customFormat="1" x14ac:dyDescent="0.35">
      <c r="A89" s="90"/>
      <c r="B89" s="91"/>
      <c r="C89" s="91"/>
      <c r="D89" s="91"/>
      <c r="E89" s="91"/>
      <c r="F89" s="91"/>
      <c r="G89" s="91"/>
      <c r="H89" s="91"/>
      <c r="I89" s="91"/>
      <c r="J89" s="91"/>
      <c r="K89" s="94"/>
      <c r="L89" s="94"/>
      <c r="M89" s="94"/>
      <c r="N89" s="91"/>
      <c r="O89" s="91"/>
      <c r="P89" s="91"/>
      <c r="Q89" s="91"/>
    </row>
    <row r="90" spans="1:17" s="101" customFormat="1" x14ac:dyDescent="0.35">
      <c r="A90" s="90"/>
      <c r="B90" s="91"/>
      <c r="C90" s="91"/>
      <c r="D90" s="91"/>
      <c r="E90" s="91"/>
      <c r="F90" s="91"/>
      <c r="G90" s="91"/>
      <c r="H90" s="91"/>
      <c r="I90" s="91"/>
      <c r="J90" s="91"/>
      <c r="K90" s="94"/>
      <c r="L90" s="94"/>
      <c r="M90" s="94"/>
      <c r="N90" s="91"/>
      <c r="O90" s="91"/>
      <c r="P90" s="91"/>
      <c r="Q90" s="91"/>
    </row>
    <row r="91" spans="1:17" s="101" customFormat="1" x14ac:dyDescent="0.35">
      <c r="A91" s="90"/>
      <c r="B91" s="91"/>
      <c r="C91" s="91"/>
      <c r="D91" s="91"/>
      <c r="E91" s="91"/>
      <c r="F91" s="91"/>
      <c r="G91" s="91"/>
      <c r="H91" s="91"/>
      <c r="I91" s="91"/>
      <c r="J91" s="91"/>
      <c r="K91" s="94"/>
      <c r="L91" s="94"/>
      <c r="M91" s="94"/>
      <c r="N91" s="91"/>
      <c r="O91" s="91"/>
      <c r="P91" s="91"/>
      <c r="Q91" s="91"/>
    </row>
    <row r="92" spans="1:17" s="101" customFormat="1" x14ac:dyDescent="0.35">
      <c r="A92" s="90"/>
      <c r="B92" s="91"/>
      <c r="C92" s="91"/>
      <c r="D92" s="91"/>
      <c r="E92" s="91"/>
      <c r="F92" s="91"/>
      <c r="G92" s="91"/>
      <c r="H92" s="91"/>
      <c r="I92" s="91"/>
      <c r="J92" s="91"/>
      <c r="K92" s="94"/>
      <c r="L92" s="94"/>
      <c r="M92" s="94"/>
      <c r="N92" s="91"/>
      <c r="O92" s="91"/>
      <c r="P92" s="91"/>
      <c r="Q92" s="91"/>
    </row>
    <row r="93" spans="1:17" s="101" customFormat="1" x14ac:dyDescent="0.35">
      <c r="A93" s="90"/>
      <c r="B93" s="91"/>
      <c r="C93" s="91"/>
      <c r="D93" s="91"/>
      <c r="E93" s="91"/>
      <c r="F93" s="91"/>
      <c r="G93" s="91"/>
      <c r="H93" s="91"/>
      <c r="I93" s="91"/>
      <c r="J93" s="91"/>
      <c r="K93" s="94"/>
      <c r="L93" s="94"/>
      <c r="M93" s="94"/>
      <c r="N93" s="91"/>
      <c r="O93" s="91"/>
      <c r="P93" s="91"/>
      <c r="Q93" s="91"/>
    </row>
    <row r="94" spans="1:17" s="101" customFormat="1" x14ac:dyDescent="0.35">
      <c r="A94" s="90"/>
      <c r="B94" s="91"/>
      <c r="C94" s="91"/>
      <c r="D94" s="91"/>
      <c r="E94" s="91"/>
      <c r="F94" s="91"/>
      <c r="G94" s="91"/>
      <c r="H94" s="91"/>
      <c r="I94" s="91"/>
      <c r="J94" s="91"/>
      <c r="K94" s="94"/>
      <c r="L94" s="94"/>
      <c r="M94" s="94"/>
      <c r="N94" s="91"/>
      <c r="O94" s="91"/>
      <c r="P94" s="91"/>
      <c r="Q94" s="91"/>
    </row>
    <row r="95" spans="1:17" s="101" customFormat="1" x14ac:dyDescent="0.35">
      <c r="A95" s="90"/>
      <c r="B95" s="91"/>
      <c r="C95" s="91"/>
      <c r="D95" s="91"/>
      <c r="E95" s="91"/>
      <c r="F95" s="91"/>
      <c r="G95" s="91"/>
      <c r="H95" s="91"/>
      <c r="I95" s="91"/>
      <c r="J95" s="91"/>
      <c r="K95" s="94"/>
      <c r="L95" s="94"/>
      <c r="M95" s="94"/>
      <c r="N95" s="91"/>
      <c r="O95" s="91"/>
      <c r="P95" s="91"/>
      <c r="Q95" s="91"/>
    </row>
    <row r="96" spans="1:17" s="101" customFormat="1" x14ac:dyDescent="0.35">
      <c r="A96" s="90"/>
      <c r="B96" s="91"/>
      <c r="C96" s="91"/>
      <c r="D96" s="91"/>
      <c r="E96" s="91"/>
      <c r="F96" s="91"/>
      <c r="G96" s="91"/>
      <c r="H96" s="91"/>
      <c r="I96" s="91"/>
      <c r="J96" s="91"/>
      <c r="K96" s="94"/>
      <c r="L96" s="94"/>
      <c r="M96" s="94"/>
      <c r="N96" s="91"/>
      <c r="O96" s="91"/>
      <c r="P96" s="91"/>
      <c r="Q96" s="91"/>
    </row>
    <row r="97" spans="1:17" s="101" customFormat="1" x14ac:dyDescent="0.35">
      <c r="A97" s="90"/>
      <c r="B97" s="91"/>
      <c r="C97" s="91"/>
      <c r="D97" s="91"/>
      <c r="E97" s="91"/>
      <c r="F97" s="91"/>
      <c r="G97" s="91"/>
      <c r="H97" s="91"/>
      <c r="I97" s="91"/>
      <c r="J97" s="91"/>
      <c r="K97" s="94"/>
      <c r="L97" s="94"/>
      <c r="M97" s="94"/>
      <c r="N97" s="91"/>
      <c r="O97" s="91"/>
      <c r="P97" s="91"/>
      <c r="Q97" s="91"/>
    </row>
    <row r="98" spans="1:17" s="101" customFormat="1" x14ac:dyDescent="0.35">
      <c r="A98" s="90"/>
      <c r="B98" s="91"/>
      <c r="C98" s="91"/>
      <c r="D98" s="91"/>
      <c r="E98" s="91"/>
      <c r="F98" s="91"/>
      <c r="G98" s="91"/>
      <c r="H98" s="91"/>
      <c r="I98" s="91"/>
      <c r="J98" s="91"/>
      <c r="K98" s="94"/>
      <c r="L98" s="94"/>
      <c r="M98" s="94"/>
      <c r="N98" s="91"/>
      <c r="O98" s="91"/>
      <c r="P98" s="91"/>
      <c r="Q98" s="91"/>
    </row>
    <row r="99" spans="1:17" s="101" customFormat="1" x14ac:dyDescent="0.35">
      <c r="A99" s="90"/>
      <c r="B99" s="91"/>
      <c r="C99" s="91"/>
      <c r="D99" s="91"/>
      <c r="E99" s="91"/>
      <c r="F99" s="91"/>
      <c r="G99" s="91"/>
      <c r="H99" s="91"/>
      <c r="I99" s="91"/>
      <c r="J99" s="91"/>
      <c r="K99" s="94"/>
      <c r="L99" s="94"/>
      <c r="M99" s="94"/>
      <c r="N99" s="91"/>
      <c r="O99" s="91"/>
      <c r="P99" s="91"/>
      <c r="Q99" s="91"/>
    </row>
    <row r="100" spans="1:17" s="101" customFormat="1" x14ac:dyDescent="0.35">
      <c r="A100" s="90"/>
      <c r="B100" s="91"/>
      <c r="C100" s="91"/>
      <c r="D100" s="91"/>
      <c r="E100" s="91"/>
      <c r="F100" s="91"/>
      <c r="G100" s="91"/>
      <c r="H100" s="91"/>
      <c r="I100" s="91"/>
      <c r="J100" s="91"/>
      <c r="K100" s="94"/>
      <c r="L100" s="94"/>
      <c r="M100" s="94"/>
      <c r="N100" s="91"/>
      <c r="O100" s="91"/>
      <c r="P100" s="91"/>
      <c r="Q100" s="91"/>
    </row>
    <row r="101" spans="1:17" s="101" customFormat="1" x14ac:dyDescent="0.35">
      <c r="A101" s="90"/>
      <c r="B101" s="91"/>
      <c r="C101" s="91"/>
      <c r="D101" s="91"/>
      <c r="E101" s="91"/>
      <c r="F101" s="91"/>
      <c r="G101" s="91"/>
      <c r="H101" s="91"/>
      <c r="I101" s="91"/>
      <c r="J101" s="91"/>
      <c r="K101" s="94"/>
      <c r="L101" s="94"/>
      <c r="M101" s="94"/>
      <c r="N101" s="91"/>
      <c r="O101" s="91"/>
      <c r="P101" s="91"/>
      <c r="Q101" s="91"/>
    </row>
    <row r="102" spans="1:17" s="101" customFormat="1" x14ac:dyDescent="0.35">
      <c r="A102" s="90"/>
      <c r="B102" s="91"/>
      <c r="C102" s="91"/>
      <c r="D102" s="91"/>
      <c r="E102" s="91"/>
      <c r="F102" s="91"/>
      <c r="G102" s="91"/>
      <c r="H102" s="91"/>
      <c r="I102" s="91"/>
      <c r="J102" s="91"/>
      <c r="K102" s="94"/>
      <c r="L102" s="94"/>
      <c r="M102" s="94"/>
      <c r="N102" s="91"/>
      <c r="O102" s="91"/>
      <c r="P102" s="91"/>
      <c r="Q102" s="91"/>
    </row>
    <row r="103" spans="1:17" s="101" customFormat="1" x14ac:dyDescent="0.35">
      <c r="A103" s="90"/>
      <c r="B103" s="91"/>
      <c r="C103" s="91"/>
      <c r="D103" s="91"/>
      <c r="E103" s="91"/>
      <c r="F103" s="91"/>
      <c r="G103" s="91"/>
      <c r="H103" s="91"/>
      <c r="I103" s="91"/>
      <c r="J103" s="91"/>
      <c r="K103" s="94"/>
      <c r="L103" s="94"/>
      <c r="M103" s="94"/>
      <c r="N103" s="91"/>
      <c r="O103" s="91"/>
      <c r="P103" s="91"/>
      <c r="Q103" s="91"/>
    </row>
    <row r="104" spans="1:17" s="101" customFormat="1" x14ac:dyDescent="0.35">
      <c r="A104" s="90"/>
      <c r="B104" s="91"/>
      <c r="C104" s="91"/>
      <c r="D104" s="91"/>
      <c r="E104" s="91"/>
      <c r="F104" s="91"/>
      <c r="G104" s="91"/>
      <c r="H104" s="91"/>
      <c r="I104" s="91"/>
      <c r="J104" s="91"/>
      <c r="K104" s="94"/>
      <c r="L104" s="94"/>
      <c r="M104" s="94"/>
      <c r="N104" s="91"/>
      <c r="O104" s="91"/>
      <c r="P104" s="91"/>
      <c r="Q104" s="91"/>
    </row>
    <row r="105" spans="1:17" s="101" customFormat="1" x14ac:dyDescent="0.35">
      <c r="A105" s="90"/>
      <c r="B105" s="91"/>
      <c r="C105" s="91"/>
      <c r="D105" s="91"/>
      <c r="E105" s="91"/>
      <c r="F105" s="91"/>
      <c r="G105" s="91"/>
      <c r="H105" s="91"/>
      <c r="I105" s="91"/>
      <c r="J105" s="91"/>
      <c r="K105" s="94"/>
      <c r="L105" s="94"/>
      <c r="M105" s="94"/>
      <c r="N105" s="91"/>
      <c r="O105" s="91"/>
      <c r="P105" s="91"/>
      <c r="Q105" s="91"/>
    </row>
    <row r="106" spans="1:17" s="101" customFormat="1" x14ac:dyDescent="0.35">
      <c r="A106" s="90"/>
      <c r="B106" s="91"/>
      <c r="C106" s="91"/>
      <c r="D106" s="91"/>
      <c r="E106" s="91"/>
      <c r="F106" s="91"/>
      <c r="G106" s="91"/>
      <c r="H106" s="91"/>
      <c r="I106" s="91"/>
      <c r="J106" s="91"/>
      <c r="K106" s="94"/>
      <c r="L106" s="94"/>
      <c r="M106" s="94"/>
      <c r="N106" s="91"/>
      <c r="O106" s="91"/>
      <c r="P106" s="91"/>
      <c r="Q106" s="91"/>
    </row>
    <row r="107" spans="1:17" s="101" customFormat="1" x14ac:dyDescent="0.35">
      <c r="A107" s="90"/>
      <c r="B107" s="91"/>
      <c r="C107" s="91"/>
      <c r="D107" s="91"/>
      <c r="E107" s="91"/>
      <c r="F107" s="91"/>
      <c r="G107" s="91"/>
      <c r="H107" s="91"/>
      <c r="I107" s="91"/>
      <c r="J107" s="91"/>
      <c r="K107" s="94"/>
      <c r="L107" s="94"/>
      <c r="M107" s="94"/>
      <c r="N107" s="91"/>
      <c r="O107" s="91"/>
      <c r="P107" s="91"/>
      <c r="Q107" s="91"/>
    </row>
    <row r="108" spans="1:17" s="101" customFormat="1" x14ac:dyDescent="0.35">
      <c r="A108" s="90"/>
      <c r="B108" s="91"/>
      <c r="C108" s="91"/>
      <c r="D108" s="91"/>
      <c r="E108" s="91"/>
      <c r="F108" s="91"/>
      <c r="G108" s="91"/>
      <c r="H108" s="91"/>
      <c r="I108" s="91"/>
      <c r="J108" s="91"/>
      <c r="K108" s="94"/>
      <c r="L108" s="94"/>
      <c r="M108" s="94"/>
      <c r="N108" s="91"/>
      <c r="O108" s="91"/>
      <c r="P108" s="91"/>
      <c r="Q108" s="91"/>
    </row>
    <row r="109" spans="1:17" s="101" customFormat="1" x14ac:dyDescent="0.35">
      <c r="A109" s="90"/>
      <c r="B109" s="91"/>
      <c r="C109" s="91"/>
      <c r="D109" s="91"/>
      <c r="E109" s="91"/>
      <c r="F109" s="91"/>
      <c r="G109" s="91"/>
      <c r="H109" s="91"/>
      <c r="I109" s="91"/>
      <c r="J109" s="91"/>
      <c r="K109" s="94"/>
      <c r="L109" s="94"/>
      <c r="M109" s="94"/>
      <c r="N109" s="91"/>
      <c r="O109" s="91"/>
      <c r="P109" s="91"/>
      <c r="Q109" s="91"/>
    </row>
    <row r="110" spans="1:17" s="101" customFormat="1" x14ac:dyDescent="0.35">
      <c r="A110" s="90"/>
      <c r="B110" s="91"/>
      <c r="C110" s="91"/>
      <c r="D110" s="91"/>
      <c r="E110" s="91"/>
      <c r="F110" s="91"/>
      <c r="G110" s="91"/>
      <c r="H110" s="91"/>
      <c r="I110" s="91"/>
      <c r="J110" s="91"/>
      <c r="K110" s="94"/>
      <c r="L110" s="94"/>
      <c r="M110" s="94"/>
      <c r="N110" s="91"/>
      <c r="O110" s="91"/>
      <c r="P110" s="91"/>
      <c r="Q110" s="91"/>
    </row>
    <row r="111" spans="1:17" s="101" customFormat="1" x14ac:dyDescent="0.35">
      <c r="A111" s="90"/>
      <c r="B111" s="91"/>
      <c r="C111" s="91"/>
      <c r="D111" s="91"/>
      <c r="E111" s="91"/>
      <c r="F111" s="91"/>
      <c r="G111" s="91"/>
      <c r="H111" s="91"/>
      <c r="I111" s="91"/>
      <c r="J111" s="91"/>
      <c r="K111" s="94"/>
      <c r="L111" s="94"/>
      <c r="M111" s="94"/>
      <c r="N111" s="91"/>
      <c r="O111" s="91"/>
      <c r="P111" s="91"/>
      <c r="Q111" s="91"/>
    </row>
    <row r="112" spans="1:17" s="101" customFormat="1" x14ac:dyDescent="0.35">
      <c r="A112" s="90"/>
      <c r="B112" s="91"/>
      <c r="C112" s="91"/>
      <c r="D112" s="91"/>
      <c r="E112" s="91"/>
      <c r="F112" s="91"/>
      <c r="G112" s="91"/>
      <c r="H112" s="91"/>
      <c r="I112" s="91"/>
      <c r="J112" s="91"/>
      <c r="K112" s="94"/>
      <c r="L112" s="94"/>
      <c r="M112" s="94"/>
      <c r="N112" s="91"/>
      <c r="O112" s="91"/>
      <c r="P112" s="91"/>
      <c r="Q112" s="91"/>
    </row>
    <row r="113" spans="1:17" s="101" customFormat="1" x14ac:dyDescent="0.35">
      <c r="A113" s="90"/>
      <c r="B113" s="91"/>
      <c r="C113" s="91"/>
      <c r="D113" s="91"/>
      <c r="E113" s="91"/>
      <c r="F113" s="91"/>
      <c r="G113" s="91"/>
      <c r="H113" s="91"/>
      <c r="I113" s="91"/>
      <c r="J113" s="91"/>
      <c r="K113" s="94"/>
      <c r="L113" s="94"/>
      <c r="M113" s="94"/>
      <c r="N113" s="91"/>
      <c r="O113" s="91"/>
      <c r="P113" s="91"/>
      <c r="Q113" s="91"/>
    </row>
    <row r="114" spans="1:17" s="101" customFormat="1" x14ac:dyDescent="0.35">
      <c r="A114" s="90"/>
      <c r="B114" s="91"/>
      <c r="C114" s="91"/>
      <c r="D114" s="91"/>
      <c r="E114" s="91"/>
      <c r="F114" s="91"/>
      <c r="G114" s="91"/>
      <c r="H114" s="91"/>
      <c r="I114" s="91"/>
      <c r="J114" s="91"/>
      <c r="K114" s="94"/>
      <c r="L114" s="94"/>
      <c r="M114" s="94"/>
      <c r="N114" s="91"/>
      <c r="O114" s="91"/>
      <c r="P114" s="91"/>
      <c r="Q114" s="91"/>
    </row>
    <row r="115" spans="1:17" s="101" customFormat="1" x14ac:dyDescent="0.35">
      <c r="A115" s="90"/>
      <c r="B115" s="91"/>
      <c r="C115" s="91"/>
      <c r="D115" s="91"/>
      <c r="E115" s="91"/>
      <c r="F115" s="91"/>
      <c r="G115" s="91"/>
      <c r="H115" s="91"/>
      <c r="I115" s="91"/>
      <c r="J115" s="91"/>
      <c r="K115" s="94"/>
      <c r="L115" s="94"/>
      <c r="M115" s="94"/>
      <c r="N115" s="91"/>
      <c r="O115" s="91"/>
      <c r="P115" s="91"/>
      <c r="Q115" s="91"/>
    </row>
    <row r="116" spans="1:17" s="101" customFormat="1" x14ac:dyDescent="0.35">
      <c r="A116" s="90"/>
      <c r="B116" s="91"/>
      <c r="C116" s="91"/>
      <c r="D116" s="91"/>
      <c r="E116" s="91"/>
      <c r="F116" s="91"/>
      <c r="G116" s="91"/>
      <c r="H116" s="91"/>
      <c r="I116" s="91"/>
      <c r="J116" s="91"/>
      <c r="K116" s="94"/>
      <c r="L116" s="94"/>
      <c r="M116" s="94"/>
      <c r="N116" s="91"/>
      <c r="O116" s="91"/>
      <c r="P116" s="91"/>
      <c r="Q116" s="91"/>
    </row>
    <row r="117" spans="1:17" s="101" customFormat="1" x14ac:dyDescent="0.35">
      <c r="A117" s="90"/>
      <c r="B117" s="91"/>
      <c r="C117" s="91"/>
      <c r="D117" s="91"/>
      <c r="E117" s="91"/>
      <c r="F117" s="91"/>
      <c r="G117" s="91"/>
      <c r="H117" s="91"/>
      <c r="I117" s="91"/>
      <c r="J117" s="91"/>
      <c r="K117" s="94"/>
      <c r="L117" s="94"/>
      <c r="M117" s="94"/>
      <c r="N117" s="91"/>
      <c r="O117" s="91"/>
      <c r="P117" s="91"/>
      <c r="Q117" s="91"/>
    </row>
    <row r="118" spans="1:17" s="101" customFormat="1" x14ac:dyDescent="0.35">
      <c r="A118" s="90"/>
      <c r="B118" s="91"/>
      <c r="C118" s="91"/>
      <c r="D118" s="91"/>
      <c r="E118" s="91"/>
      <c r="F118" s="91"/>
      <c r="G118" s="91"/>
      <c r="H118" s="91"/>
      <c r="I118" s="91"/>
      <c r="J118" s="91"/>
      <c r="K118" s="94"/>
      <c r="L118" s="94"/>
      <c r="M118" s="94"/>
      <c r="N118" s="91"/>
      <c r="O118" s="91"/>
      <c r="P118" s="91"/>
      <c r="Q118" s="91"/>
    </row>
    <row r="119" spans="1:17" s="101" customFormat="1" x14ac:dyDescent="0.35">
      <c r="A119" s="90"/>
      <c r="B119" s="91"/>
      <c r="C119" s="91"/>
      <c r="D119" s="91"/>
      <c r="E119" s="91"/>
      <c r="F119" s="91"/>
      <c r="G119" s="91"/>
      <c r="H119" s="91"/>
      <c r="I119" s="91"/>
      <c r="J119" s="91"/>
      <c r="K119" s="94"/>
      <c r="L119" s="94"/>
      <c r="M119" s="94"/>
      <c r="N119" s="91"/>
      <c r="O119" s="91"/>
      <c r="P119" s="91"/>
      <c r="Q119" s="91"/>
    </row>
    <row r="120" spans="1:17" s="101" customFormat="1" x14ac:dyDescent="0.35">
      <c r="A120" s="90"/>
      <c r="B120" s="91"/>
      <c r="C120" s="91"/>
      <c r="D120" s="91"/>
      <c r="E120" s="91"/>
      <c r="F120" s="91"/>
      <c r="G120" s="91"/>
      <c r="H120" s="91"/>
      <c r="I120" s="91"/>
      <c r="J120" s="91"/>
      <c r="K120" s="94"/>
      <c r="L120" s="94"/>
      <c r="M120" s="94"/>
      <c r="N120" s="91"/>
      <c r="O120" s="91"/>
      <c r="P120" s="91"/>
      <c r="Q120" s="91"/>
    </row>
    <row r="121" spans="1:17" s="101" customFormat="1" x14ac:dyDescent="0.35">
      <c r="A121" s="90"/>
      <c r="B121" s="91"/>
      <c r="C121" s="91"/>
      <c r="D121" s="91"/>
      <c r="E121" s="91"/>
      <c r="F121" s="91"/>
      <c r="G121" s="91"/>
      <c r="H121" s="91"/>
      <c r="I121" s="91"/>
      <c r="J121" s="91"/>
      <c r="K121" s="94"/>
      <c r="L121" s="94"/>
      <c r="M121" s="94"/>
      <c r="N121" s="91"/>
      <c r="O121" s="91"/>
      <c r="P121" s="91"/>
      <c r="Q121" s="91"/>
    </row>
    <row r="122" spans="1:17" s="101" customFormat="1" x14ac:dyDescent="0.35">
      <c r="A122" s="90"/>
      <c r="B122" s="91"/>
      <c r="C122" s="91"/>
      <c r="D122" s="91"/>
      <c r="E122" s="91"/>
      <c r="F122" s="91"/>
      <c r="G122" s="91"/>
      <c r="H122" s="91"/>
      <c r="I122" s="91"/>
      <c r="J122" s="91"/>
      <c r="K122" s="94"/>
      <c r="L122" s="94"/>
      <c r="M122" s="94"/>
      <c r="N122" s="91"/>
      <c r="O122" s="91"/>
      <c r="P122" s="91"/>
      <c r="Q122" s="91"/>
    </row>
    <row r="123" spans="1:17" s="101" customFormat="1" x14ac:dyDescent="0.35">
      <c r="A123" s="90"/>
      <c r="B123" s="91"/>
      <c r="C123" s="91"/>
      <c r="D123" s="91"/>
      <c r="E123" s="91"/>
      <c r="F123" s="91"/>
      <c r="G123" s="91"/>
      <c r="H123" s="91"/>
      <c r="I123" s="91"/>
      <c r="J123" s="91"/>
      <c r="K123" s="94"/>
      <c r="L123" s="94"/>
      <c r="M123" s="94"/>
      <c r="N123" s="91"/>
      <c r="O123" s="91"/>
      <c r="P123" s="91"/>
      <c r="Q123" s="91"/>
    </row>
    <row r="124" spans="1:17" s="101" customFormat="1" x14ac:dyDescent="0.35">
      <c r="A124" s="90"/>
      <c r="B124" s="91"/>
      <c r="C124" s="91"/>
      <c r="D124" s="91"/>
      <c r="E124" s="91"/>
      <c r="F124" s="91"/>
      <c r="G124" s="91"/>
      <c r="H124" s="91"/>
      <c r="I124" s="91"/>
      <c r="J124" s="91"/>
      <c r="K124" s="94"/>
      <c r="L124" s="94"/>
      <c r="M124" s="94"/>
      <c r="N124" s="91"/>
      <c r="O124" s="91"/>
      <c r="P124" s="91"/>
      <c r="Q124" s="91"/>
    </row>
    <row r="125" spans="1:17" s="101" customFormat="1" x14ac:dyDescent="0.35">
      <c r="A125" s="90"/>
      <c r="B125" s="91"/>
      <c r="C125" s="91"/>
      <c r="D125" s="91"/>
      <c r="E125" s="91"/>
      <c r="F125" s="91"/>
      <c r="G125" s="91"/>
      <c r="H125" s="91"/>
      <c r="I125" s="91"/>
      <c r="J125" s="91"/>
      <c r="K125" s="94"/>
      <c r="L125" s="94"/>
      <c r="M125" s="94"/>
      <c r="N125" s="91"/>
      <c r="O125" s="91"/>
      <c r="P125" s="91"/>
      <c r="Q125" s="91"/>
    </row>
    <row r="126" spans="1:17" s="101" customFormat="1" x14ac:dyDescent="0.35">
      <c r="A126" s="90"/>
      <c r="B126" s="91"/>
      <c r="C126" s="91"/>
      <c r="D126" s="91"/>
      <c r="E126" s="91"/>
      <c r="F126" s="91"/>
      <c r="G126" s="91"/>
      <c r="H126" s="91"/>
      <c r="I126" s="91"/>
      <c r="J126" s="91"/>
      <c r="K126" s="94"/>
      <c r="L126" s="94"/>
      <c r="M126" s="94"/>
      <c r="N126" s="91"/>
      <c r="O126" s="91"/>
      <c r="P126" s="91"/>
      <c r="Q126" s="91"/>
    </row>
    <row r="127" spans="1:17" s="101" customFormat="1" x14ac:dyDescent="0.35">
      <c r="A127" s="90"/>
      <c r="B127" s="91"/>
      <c r="C127" s="91"/>
      <c r="D127" s="91"/>
      <c r="E127" s="91"/>
      <c r="F127" s="91"/>
      <c r="G127" s="91"/>
      <c r="H127" s="91"/>
      <c r="I127" s="91"/>
      <c r="J127" s="91"/>
      <c r="K127" s="94"/>
      <c r="L127" s="94"/>
      <c r="M127" s="94"/>
      <c r="N127" s="91"/>
      <c r="O127" s="91"/>
      <c r="P127" s="91"/>
      <c r="Q127" s="91"/>
    </row>
    <row r="128" spans="1:17" s="101" customFormat="1" x14ac:dyDescent="0.35">
      <c r="A128" s="90"/>
      <c r="B128" s="91"/>
      <c r="C128" s="91"/>
      <c r="D128" s="91"/>
      <c r="E128" s="91"/>
      <c r="F128" s="91"/>
      <c r="G128" s="91"/>
      <c r="H128" s="91"/>
      <c r="I128" s="91"/>
      <c r="J128" s="91"/>
      <c r="K128" s="94"/>
      <c r="L128" s="94"/>
      <c r="M128" s="94"/>
      <c r="N128" s="91"/>
      <c r="O128" s="91"/>
      <c r="P128" s="91"/>
      <c r="Q128" s="91"/>
    </row>
    <row r="129" spans="1:17" s="101" customFormat="1" x14ac:dyDescent="0.35">
      <c r="A129" s="90"/>
      <c r="B129" s="91"/>
      <c r="C129" s="91"/>
      <c r="D129" s="91"/>
      <c r="E129" s="91"/>
      <c r="F129" s="91"/>
      <c r="G129" s="91"/>
      <c r="H129" s="91"/>
      <c r="I129" s="91"/>
      <c r="J129" s="91"/>
      <c r="K129" s="94"/>
      <c r="L129" s="94"/>
      <c r="M129" s="94"/>
      <c r="N129" s="91"/>
      <c r="O129" s="91"/>
      <c r="P129" s="91"/>
      <c r="Q129" s="91"/>
    </row>
    <row r="130" spans="1:17" s="101" customFormat="1" x14ac:dyDescent="0.35">
      <c r="A130" s="90"/>
      <c r="B130" s="91"/>
      <c r="C130" s="91"/>
      <c r="D130" s="91"/>
      <c r="E130" s="91"/>
      <c r="F130" s="91"/>
      <c r="G130" s="91"/>
      <c r="H130" s="91"/>
      <c r="I130" s="91"/>
      <c r="J130" s="91"/>
      <c r="K130" s="94"/>
      <c r="L130" s="94"/>
      <c r="M130" s="94"/>
      <c r="N130" s="91"/>
      <c r="O130" s="91"/>
      <c r="P130" s="91"/>
      <c r="Q130" s="91"/>
    </row>
    <row r="131" spans="1:17" s="101" customFormat="1" x14ac:dyDescent="0.35">
      <c r="A131" s="90"/>
      <c r="B131" s="91"/>
      <c r="C131" s="91"/>
      <c r="D131" s="91"/>
      <c r="E131" s="91"/>
      <c r="F131" s="91"/>
      <c r="G131" s="91"/>
      <c r="H131" s="91"/>
      <c r="I131" s="91"/>
      <c r="J131" s="91"/>
      <c r="K131" s="94"/>
      <c r="L131" s="94"/>
      <c r="M131" s="94"/>
      <c r="N131" s="91"/>
      <c r="O131" s="91"/>
      <c r="P131" s="91"/>
      <c r="Q131" s="91"/>
    </row>
    <row r="132" spans="1:17" s="101" customFormat="1" x14ac:dyDescent="0.35">
      <c r="A132" s="90"/>
      <c r="B132" s="91"/>
      <c r="C132" s="91"/>
      <c r="D132" s="91"/>
      <c r="E132" s="91"/>
      <c r="F132" s="91"/>
      <c r="G132" s="91"/>
      <c r="H132" s="91"/>
      <c r="I132" s="91"/>
      <c r="J132" s="91"/>
      <c r="K132" s="94"/>
      <c r="L132" s="94"/>
      <c r="M132" s="94"/>
      <c r="N132" s="91"/>
      <c r="O132" s="91"/>
      <c r="P132" s="91"/>
      <c r="Q132" s="91"/>
    </row>
    <row r="133" spans="1:17" s="101" customFormat="1" x14ac:dyDescent="0.35">
      <c r="A133" s="90"/>
      <c r="B133" s="91"/>
      <c r="C133" s="91"/>
      <c r="D133" s="91"/>
      <c r="E133" s="91"/>
      <c r="F133" s="91"/>
      <c r="G133" s="91"/>
      <c r="H133" s="91"/>
      <c r="I133" s="91"/>
      <c r="J133" s="91"/>
      <c r="K133" s="94"/>
      <c r="L133" s="94"/>
      <c r="M133" s="94"/>
      <c r="N133" s="91"/>
      <c r="O133" s="91"/>
      <c r="P133" s="91"/>
      <c r="Q133" s="91"/>
    </row>
    <row r="134" spans="1:17" s="101" customFormat="1" x14ac:dyDescent="0.35">
      <c r="A134" s="90"/>
      <c r="B134" s="91"/>
      <c r="C134" s="91"/>
      <c r="D134" s="91"/>
      <c r="E134" s="91"/>
      <c r="F134" s="91"/>
      <c r="G134" s="91"/>
      <c r="H134" s="91"/>
      <c r="I134" s="91"/>
      <c r="J134" s="91"/>
      <c r="K134" s="94"/>
      <c r="L134" s="94"/>
      <c r="M134" s="94"/>
      <c r="N134" s="91"/>
      <c r="O134" s="91"/>
      <c r="P134" s="91"/>
      <c r="Q134" s="91"/>
    </row>
    <row r="135" spans="1:17" s="101" customFormat="1" x14ac:dyDescent="0.35">
      <c r="A135" s="90"/>
      <c r="B135" s="91"/>
      <c r="C135" s="91"/>
      <c r="D135" s="91"/>
      <c r="E135" s="91"/>
      <c r="F135" s="91"/>
      <c r="G135" s="91"/>
      <c r="H135" s="91"/>
      <c r="I135" s="91"/>
      <c r="J135" s="91"/>
      <c r="K135" s="94"/>
      <c r="L135" s="94"/>
      <c r="M135" s="94"/>
      <c r="N135" s="91"/>
      <c r="O135" s="91"/>
      <c r="P135" s="91"/>
      <c r="Q135" s="91"/>
    </row>
    <row r="136" spans="1:17" s="101" customFormat="1" x14ac:dyDescent="0.35">
      <c r="A136" s="90"/>
      <c r="B136" s="91"/>
      <c r="C136" s="91"/>
      <c r="D136" s="91"/>
      <c r="E136" s="91"/>
      <c r="F136" s="91"/>
      <c r="G136" s="91"/>
      <c r="H136" s="91"/>
      <c r="I136" s="91"/>
      <c r="J136" s="91"/>
      <c r="K136" s="94"/>
      <c r="L136" s="94"/>
      <c r="M136" s="94"/>
      <c r="N136" s="91"/>
      <c r="O136" s="91"/>
      <c r="P136" s="91"/>
      <c r="Q136" s="91"/>
    </row>
    <row r="137" spans="1:17" s="101" customFormat="1" x14ac:dyDescent="0.35">
      <c r="A137" s="90"/>
      <c r="B137" s="91"/>
      <c r="C137" s="91"/>
      <c r="D137" s="91"/>
      <c r="E137" s="91"/>
      <c r="F137" s="91"/>
      <c r="G137" s="91"/>
      <c r="H137" s="91"/>
      <c r="I137" s="91"/>
      <c r="J137" s="91"/>
      <c r="K137" s="94"/>
      <c r="L137" s="94"/>
      <c r="M137" s="94"/>
      <c r="N137" s="91"/>
      <c r="O137" s="91"/>
      <c r="P137" s="91"/>
      <c r="Q137" s="91"/>
    </row>
    <row r="138" spans="1:17" s="101" customFormat="1" x14ac:dyDescent="0.35">
      <c r="A138" s="90"/>
      <c r="B138" s="91"/>
      <c r="C138" s="91"/>
      <c r="D138" s="91"/>
      <c r="E138" s="91"/>
      <c r="F138" s="91"/>
      <c r="G138" s="91"/>
      <c r="H138" s="91"/>
      <c r="I138" s="91"/>
      <c r="J138" s="91"/>
      <c r="K138" s="94"/>
      <c r="L138" s="94"/>
      <c r="M138" s="94"/>
      <c r="N138" s="91"/>
      <c r="O138" s="91"/>
      <c r="P138" s="91"/>
      <c r="Q138" s="91"/>
    </row>
    <row r="139" spans="1:17" s="101" customFormat="1" x14ac:dyDescent="0.35">
      <c r="A139" s="90"/>
      <c r="B139" s="91"/>
      <c r="C139" s="91"/>
      <c r="D139" s="91"/>
      <c r="E139" s="91"/>
      <c r="F139" s="91"/>
      <c r="G139" s="91"/>
      <c r="H139" s="91"/>
      <c r="I139" s="91"/>
      <c r="J139" s="91"/>
      <c r="K139" s="94"/>
      <c r="L139" s="94"/>
      <c r="M139" s="94"/>
      <c r="N139" s="91"/>
      <c r="O139" s="91"/>
      <c r="P139" s="91"/>
      <c r="Q139" s="91"/>
    </row>
    <row r="140" spans="1:17" s="101" customFormat="1" x14ac:dyDescent="0.35">
      <c r="A140" s="90"/>
      <c r="B140" s="91"/>
      <c r="C140" s="91"/>
      <c r="D140" s="91"/>
      <c r="E140" s="91"/>
      <c r="F140" s="91"/>
      <c r="G140" s="91"/>
      <c r="H140" s="91"/>
      <c r="I140" s="91"/>
      <c r="J140" s="91"/>
      <c r="K140" s="94"/>
      <c r="L140" s="94"/>
      <c r="M140" s="94"/>
      <c r="N140" s="91"/>
      <c r="O140" s="91"/>
      <c r="P140" s="91"/>
      <c r="Q140" s="91"/>
    </row>
    <row r="141" spans="1:17" s="101" customFormat="1" x14ac:dyDescent="0.35">
      <c r="A141" s="90"/>
      <c r="B141" s="91"/>
      <c r="C141" s="91"/>
      <c r="D141" s="91"/>
      <c r="E141" s="91"/>
      <c r="F141" s="91"/>
      <c r="G141" s="91"/>
      <c r="H141" s="91"/>
      <c r="I141" s="91"/>
      <c r="J141" s="91"/>
      <c r="K141" s="94"/>
      <c r="L141" s="94"/>
      <c r="M141" s="94"/>
      <c r="N141" s="91"/>
      <c r="O141" s="91"/>
      <c r="P141" s="91"/>
      <c r="Q141" s="91"/>
    </row>
    <row r="142" spans="1:17" s="101" customFormat="1" x14ac:dyDescent="0.35">
      <c r="A142" s="90"/>
      <c r="B142" s="91"/>
      <c r="C142" s="91"/>
      <c r="D142" s="91"/>
      <c r="E142" s="91"/>
      <c r="F142" s="91"/>
      <c r="G142" s="91"/>
      <c r="H142" s="91"/>
      <c r="I142" s="91"/>
      <c r="J142" s="91"/>
      <c r="K142" s="94"/>
      <c r="L142" s="94"/>
      <c r="M142" s="94"/>
      <c r="N142" s="91"/>
      <c r="O142" s="91"/>
      <c r="P142" s="91"/>
      <c r="Q142" s="91"/>
    </row>
    <row r="143" spans="1:17" s="101" customFormat="1" x14ac:dyDescent="0.35">
      <c r="A143" s="90"/>
      <c r="B143" s="91"/>
      <c r="C143" s="91"/>
      <c r="D143" s="91"/>
      <c r="E143" s="91"/>
      <c r="F143" s="91"/>
      <c r="G143" s="91"/>
      <c r="H143" s="91"/>
      <c r="I143" s="91"/>
      <c r="J143" s="91"/>
      <c r="K143" s="94"/>
      <c r="L143" s="94"/>
      <c r="M143" s="94"/>
      <c r="N143" s="91"/>
      <c r="O143" s="91"/>
      <c r="P143" s="91"/>
      <c r="Q143" s="91"/>
    </row>
    <row r="144" spans="1:17" s="101" customFormat="1" x14ac:dyDescent="0.35">
      <c r="A144" s="90"/>
      <c r="B144" s="91"/>
      <c r="C144" s="91"/>
      <c r="D144" s="91"/>
      <c r="E144" s="91"/>
      <c r="F144" s="91"/>
      <c r="G144" s="91"/>
      <c r="H144" s="91"/>
      <c r="I144" s="91"/>
      <c r="J144" s="91"/>
      <c r="K144" s="94"/>
      <c r="L144" s="94"/>
      <c r="M144" s="94"/>
      <c r="N144" s="91"/>
      <c r="O144" s="91"/>
      <c r="P144" s="91"/>
      <c r="Q144" s="91"/>
    </row>
    <row r="145" spans="1:17" s="101" customFormat="1" x14ac:dyDescent="0.35">
      <c r="A145" s="90"/>
      <c r="B145" s="91"/>
      <c r="C145" s="91"/>
      <c r="D145" s="91"/>
      <c r="E145" s="91"/>
      <c r="F145" s="91"/>
      <c r="G145" s="91"/>
      <c r="H145" s="91"/>
      <c r="I145" s="91"/>
      <c r="J145" s="91"/>
      <c r="K145" s="94"/>
      <c r="L145" s="94"/>
      <c r="M145" s="94"/>
      <c r="N145" s="91"/>
      <c r="O145" s="91"/>
      <c r="P145" s="91"/>
      <c r="Q145" s="91"/>
    </row>
    <row r="146" spans="1:17" s="101" customFormat="1" x14ac:dyDescent="0.35">
      <c r="A146" s="90"/>
      <c r="B146" s="91"/>
      <c r="C146" s="91"/>
      <c r="D146" s="91"/>
      <c r="E146" s="91"/>
      <c r="F146" s="91"/>
      <c r="G146" s="91"/>
      <c r="H146" s="91"/>
      <c r="I146" s="91"/>
      <c r="J146" s="91"/>
      <c r="K146" s="94"/>
      <c r="L146" s="94"/>
      <c r="M146" s="94"/>
      <c r="N146" s="91"/>
      <c r="O146" s="91"/>
      <c r="P146" s="91"/>
      <c r="Q146" s="91"/>
    </row>
    <row r="147" spans="1:17" s="101" customFormat="1" x14ac:dyDescent="0.35">
      <c r="A147" s="90"/>
      <c r="B147" s="91"/>
      <c r="C147" s="91"/>
      <c r="D147" s="91"/>
      <c r="E147" s="91"/>
      <c r="F147" s="91"/>
      <c r="G147" s="91"/>
      <c r="H147" s="91"/>
      <c r="I147" s="91"/>
      <c r="J147" s="91"/>
      <c r="K147" s="94"/>
      <c r="L147" s="94"/>
      <c r="M147" s="94"/>
      <c r="N147" s="91"/>
      <c r="O147" s="91"/>
      <c r="P147" s="91"/>
      <c r="Q147" s="91"/>
    </row>
    <row r="148" spans="1:17" s="101" customFormat="1" x14ac:dyDescent="0.35">
      <c r="A148" s="90"/>
      <c r="B148" s="91"/>
      <c r="C148" s="91"/>
      <c r="D148" s="91"/>
      <c r="E148" s="91"/>
      <c r="F148" s="91"/>
      <c r="G148" s="91"/>
      <c r="H148" s="91"/>
      <c r="I148" s="91"/>
      <c r="J148" s="91"/>
      <c r="K148" s="94"/>
      <c r="L148" s="94"/>
      <c r="M148" s="94"/>
      <c r="N148" s="91"/>
      <c r="O148" s="91"/>
      <c r="P148" s="91"/>
      <c r="Q148" s="91"/>
    </row>
    <row r="149" spans="1:17" s="101" customFormat="1" x14ac:dyDescent="0.35">
      <c r="A149" s="90"/>
      <c r="B149" s="91"/>
      <c r="C149" s="91"/>
      <c r="D149" s="91"/>
      <c r="E149" s="91"/>
      <c r="F149" s="91"/>
      <c r="G149" s="91"/>
      <c r="H149" s="91"/>
      <c r="I149" s="91"/>
      <c r="J149" s="91"/>
      <c r="K149" s="94"/>
      <c r="L149" s="94"/>
      <c r="M149" s="94"/>
      <c r="N149" s="91"/>
      <c r="O149" s="91"/>
      <c r="P149" s="91"/>
      <c r="Q149" s="91"/>
    </row>
    <row r="150" spans="1:17" s="101" customFormat="1" x14ac:dyDescent="0.35">
      <c r="A150" s="90"/>
      <c r="B150" s="91"/>
      <c r="C150" s="91"/>
      <c r="D150" s="91"/>
      <c r="E150" s="91"/>
      <c r="F150" s="91"/>
      <c r="G150" s="91"/>
      <c r="H150" s="91"/>
      <c r="I150" s="91"/>
      <c r="J150" s="91"/>
      <c r="K150" s="94"/>
      <c r="L150" s="94"/>
      <c r="M150" s="94"/>
      <c r="N150" s="91"/>
      <c r="O150" s="91"/>
      <c r="P150" s="91"/>
      <c r="Q150" s="91"/>
    </row>
    <row r="151" spans="1:17" s="101" customFormat="1" x14ac:dyDescent="0.35">
      <c r="A151" s="90"/>
      <c r="B151" s="91"/>
      <c r="C151" s="91"/>
      <c r="D151" s="91"/>
      <c r="E151" s="91"/>
      <c r="F151" s="91"/>
      <c r="G151" s="91"/>
      <c r="H151" s="91"/>
      <c r="I151" s="91"/>
      <c r="J151" s="91"/>
      <c r="K151" s="94"/>
      <c r="L151" s="94"/>
      <c r="M151" s="94"/>
      <c r="N151" s="91"/>
      <c r="O151" s="91"/>
      <c r="P151" s="91"/>
      <c r="Q151" s="91"/>
    </row>
    <row r="152" spans="1:17" s="101" customFormat="1" x14ac:dyDescent="0.35">
      <c r="A152" s="90"/>
      <c r="B152" s="91"/>
      <c r="C152" s="91"/>
      <c r="D152" s="91"/>
      <c r="E152" s="91"/>
      <c r="F152" s="91"/>
      <c r="G152" s="91"/>
      <c r="H152" s="91"/>
      <c r="I152" s="91"/>
      <c r="J152" s="91"/>
      <c r="K152" s="94"/>
      <c r="L152" s="94"/>
      <c r="M152" s="94"/>
      <c r="N152" s="91"/>
      <c r="O152" s="91"/>
      <c r="P152" s="91"/>
      <c r="Q152" s="91"/>
    </row>
    <row r="153" spans="1:17" s="101" customFormat="1" x14ac:dyDescent="0.35">
      <c r="A153" s="90"/>
      <c r="B153" s="91"/>
      <c r="C153" s="91"/>
      <c r="D153" s="91"/>
      <c r="E153" s="91"/>
      <c r="F153" s="91"/>
      <c r="G153" s="91"/>
      <c r="H153" s="91"/>
      <c r="I153" s="91"/>
      <c r="J153" s="91"/>
      <c r="K153" s="94"/>
      <c r="L153" s="94"/>
      <c r="M153" s="94"/>
      <c r="N153" s="91"/>
      <c r="O153" s="91"/>
      <c r="P153" s="91"/>
      <c r="Q153" s="91"/>
    </row>
    <row r="154" spans="1:17" s="101" customFormat="1" x14ac:dyDescent="0.35">
      <c r="A154" s="90"/>
      <c r="B154" s="91"/>
      <c r="C154" s="91"/>
      <c r="D154" s="91"/>
      <c r="E154" s="91"/>
      <c r="F154" s="91"/>
      <c r="G154" s="91"/>
      <c r="H154" s="91"/>
      <c r="I154" s="91"/>
      <c r="J154" s="91"/>
      <c r="K154" s="94"/>
      <c r="L154" s="94"/>
      <c r="M154" s="94"/>
      <c r="N154" s="91"/>
      <c r="O154" s="91"/>
      <c r="P154" s="91"/>
      <c r="Q154" s="91"/>
    </row>
    <row r="155" spans="1:17" s="101" customFormat="1" x14ac:dyDescent="0.35">
      <c r="A155" s="90"/>
      <c r="B155" s="91"/>
      <c r="C155" s="91"/>
      <c r="D155" s="91"/>
      <c r="E155" s="91"/>
      <c r="F155" s="91"/>
      <c r="G155" s="91"/>
      <c r="H155" s="91"/>
      <c r="I155" s="91"/>
      <c r="J155" s="91"/>
      <c r="K155" s="94"/>
      <c r="L155" s="94"/>
      <c r="M155" s="94"/>
      <c r="N155" s="91"/>
      <c r="O155" s="91"/>
      <c r="P155" s="91"/>
      <c r="Q155" s="91"/>
    </row>
    <row r="156" spans="1:17" s="101" customFormat="1" x14ac:dyDescent="0.35">
      <c r="A156" s="90"/>
      <c r="B156" s="91"/>
      <c r="C156" s="91"/>
      <c r="D156" s="91"/>
      <c r="E156" s="91"/>
      <c r="F156" s="91"/>
      <c r="G156" s="91"/>
      <c r="H156" s="91"/>
      <c r="I156" s="91"/>
      <c r="J156" s="91"/>
      <c r="K156" s="94"/>
      <c r="L156" s="94"/>
      <c r="M156" s="94"/>
      <c r="N156" s="91"/>
      <c r="O156" s="91"/>
      <c r="P156" s="91"/>
      <c r="Q156" s="91"/>
    </row>
    <row r="157" spans="1:17" s="101" customFormat="1" x14ac:dyDescent="0.35">
      <c r="A157" s="90"/>
      <c r="B157" s="91"/>
      <c r="C157" s="91"/>
      <c r="D157" s="91"/>
      <c r="E157" s="91"/>
      <c r="F157" s="91"/>
      <c r="G157" s="91"/>
      <c r="H157" s="91"/>
      <c r="I157" s="91"/>
      <c r="J157" s="91"/>
      <c r="K157" s="94"/>
      <c r="L157" s="94"/>
      <c r="M157" s="94"/>
      <c r="N157" s="91"/>
      <c r="O157" s="91"/>
      <c r="P157" s="91"/>
      <c r="Q157" s="91"/>
    </row>
    <row r="158" spans="1:17" s="101" customFormat="1" x14ac:dyDescent="0.35">
      <c r="A158" s="90"/>
      <c r="B158" s="91"/>
      <c r="C158" s="91"/>
      <c r="D158" s="91"/>
      <c r="E158" s="91"/>
      <c r="F158" s="91"/>
      <c r="G158" s="91"/>
      <c r="H158" s="91"/>
      <c r="I158" s="91"/>
      <c r="J158" s="91"/>
      <c r="K158" s="94"/>
      <c r="L158" s="94"/>
      <c r="M158" s="94"/>
      <c r="N158" s="91"/>
      <c r="O158" s="91"/>
      <c r="P158" s="91"/>
      <c r="Q158" s="91"/>
    </row>
    <row r="159" spans="1:17" s="101" customFormat="1" x14ac:dyDescent="0.35">
      <c r="A159" s="90"/>
      <c r="B159" s="91"/>
      <c r="C159" s="91"/>
      <c r="D159" s="91"/>
      <c r="E159" s="91"/>
      <c r="F159" s="91"/>
      <c r="G159" s="91"/>
      <c r="H159" s="91"/>
      <c r="I159" s="91"/>
      <c r="J159" s="91"/>
      <c r="K159" s="94"/>
      <c r="L159" s="94"/>
      <c r="M159" s="94"/>
      <c r="N159" s="91"/>
      <c r="O159" s="91"/>
      <c r="P159" s="91"/>
      <c r="Q159" s="91"/>
    </row>
    <row r="160" spans="1:17" s="101" customFormat="1" x14ac:dyDescent="0.35">
      <c r="A160" s="90"/>
      <c r="B160" s="91"/>
      <c r="C160" s="91"/>
      <c r="D160" s="91"/>
      <c r="E160" s="91"/>
      <c r="F160" s="91"/>
      <c r="G160" s="91"/>
      <c r="H160" s="91"/>
      <c r="I160" s="91"/>
      <c r="J160" s="91"/>
      <c r="K160" s="94"/>
      <c r="L160" s="94"/>
      <c r="M160" s="94"/>
      <c r="N160" s="91"/>
      <c r="O160" s="91"/>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c r="P188" s="91"/>
    </row>
    <row r="189" spans="1:17" x14ac:dyDescent="0.35">
      <c r="A189" s="90"/>
      <c r="B189" s="91"/>
      <c r="C189" s="91"/>
      <c r="D189" s="91"/>
      <c r="E189" s="91"/>
      <c r="F189" s="91"/>
      <c r="G189" s="91"/>
      <c r="H189" s="91"/>
      <c r="I189" s="91"/>
      <c r="J189" s="91"/>
      <c r="K189" s="91"/>
      <c r="L189" s="91"/>
      <c r="M189" s="91"/>
      <c r="N189" s="91"/>
      <c r="O189" s="91"/>
      <c r="P189" s="91"/>
    </row>
    <row r="190" spans="1:17" x14ac:dyDescent="0.35">
      <c r="A190" s="90"/>
      <c r="B190" s="91"/>
      <c r="C190" s="91"/>
      <c r="D190" s="91"/>
      <c r="E190" s="91"/>
      <c r="F190" s="91"/>
      <c r="G190" s="91"/>
      <c r="H190" s="91"/>
      <c r="I190" s="91"/>
      <c r="J190" s="91"/>
      <c r="K190" s="91"/>
      <c r="L190" s="91"/>
      <c r="M190" s="91"/>
      <c r="N190" s="91"/>
      <c r="O190" s="91"/>
      <c r="P190" s="91"/>
    </row>
    <row r="191" spans="1:17" x14ac:dyDescent="0.35">
      <c r="A191" s="90"/>
      <c r="B191" s="91"/>
      <c r="C191" s="91"/>
      <c r="D191" s="91"/>
      <c r="E191" s="91"/>
      <c r="F191" s="91"/>
      <c r="G191" s="91"/>
      <c r="H191" s="91"/>
      <c r="I191" s="91"/>
      <c r="J191" s="91"/>
      <c r="K191" s="91"/>
      <c r="L191" s="91"/>
      <c r="M191" s="91"/>
      <c r="N191" s="91"/>
      <c r="O191" s="91"/>
      <c r="P191" s="91"/>
    </row>
    <row r="192" spans="1:17" x14ac:dyDescent="0.35">
      <c r="A192" s="90"/>
      <c r="B192" s="91"/>
      <c r="C192" s="91"/>
      <c r="D192" s="91"/>
      <c r="E192" s="91"/>
      <c r="F192" s="91"/>
      <c r="G192" s="91"/>
      <c r="H192" s="91"/>
      <c r="I192" s="91"/>
      <c r="J192" s="91"/>
      <c r="K192" s="91"/>
      <c r="L192" s="91"/>
      <c r="M192" s="91"/>
      <c r="N192" s="91"/>
      <c r="O192" s="91"/>
      <c r="P192" s="91"/>
    </row>
    <row r="193" spans="1:16" x14ac:dyDescent="0.35">
      <c r="A193" s="90"/>
      <c r="B193" s="91"/>
      <c r="C193" s="91"/>
      <c r="D193" s="91"/>
      <c r="E193" s="91"/>
      <c r="F193" s="91"/>
      <c r="G193" s="91"/>
      <c r="H193" s="91"/>
      <c r="I193" s="91"/>
      <c r="J193" s="91"/>
      <c r="K193" s="91"/>
      <c r="L193" s="91"/>
      <c r="M193" s="91"/>
      <c r="N193" s="91"/>
      <c r="O193" s="91"/>
      <c r="P193" s="91"/>
    </row>
    <row r="194" spans="1:16" x14ac:dyDescent="0.35">
      <c r="A194" s="90"/>
      <c r="B194" s="91"/>
      <c r="C194" s="91"/>
      <c r="D194" s="91"/>
      <c r="E194" s="91"/>
      <c r="F194" s="91"/>
      <c r="G194" s="91"/>
      <c r="H194" s="91"/>
      <c r="I194" s="91"/>
      <c r="J194" s="91"/>
      <c r="K194" s="91"/>
      <c r="L194" s="91"/>
      <c r="M194" s="91"/>
      <c r="N194" s="91"/>
      <c r="O194" s="91"/>
      <c r="P194" s="91"/>
    </row>
    <row r="195" spans="1:16" x14ac:dyDescent="0.35">
      <c r="A195" s="90"/>
      <c r="B195" s="91"/>
      <c r="C195" s="91"/>
      <c r="D195" s="91"/>
      <c r="E195" s="91"/>
      <c r="F195" s="91"/>
      <c r="G195" s="91"/>
      <c r="H195" s="91"/>
      <c r="I195" s="91"/>
      <c r="J195" s="91"/>
      <c r="K195" s="91"/>
      <c r="L195" s="91"/>
      <c r="M195" s="91"/>
      <c r="N195" s="91"/>
      <c r="O195" s="91"/>
      <c r="P195" s="91"/>
    </row>
    <row r="196" spans="1:16" x14ac:dyDescent="0.35">
      <c r="A196" s="90"/>
      <c r="B196" s="91"/>
      <c r="C196" s="91"/>
      <c r="D196" s="91"/>
      <c r="E196" s="91"/>
      <c r="F196" s="91"/>
      <c r="G196" s="91"/>
      <c r="H196" s="91"/>
      <c r="I196" s="91"/>
      <c r="J196" s="91"/>
      <c r="K196" s="91"/>
      <c r="L196" s="91"/>
      <c r="M196" s="91"/>
      <c r="N196" s="91"/>
      <c r="O196" s="91"/>
      <c r="P196" s="91"/>
    </row>
    <row r="197" spans="1:16" x14ac:dyDescent="0.35">
      <c r="A197" s="90"/>
      <c r="B197" s="91"/>
      <c r="C197" s="91"/>
      <c r="D197" s="91"/>
      <c r="E197" s="91"/>
      <c r="F197" s="91"/>
      <c r="G197" s="91"/>
      <c r="H197" s="91"/>
      <c r="I197" s="91"/>
      <c r="J197" s="91"/>
      <c r="K197" s="91"/>
      <c r="L197" s="91"/>
      <c r="M197" s="91"/>
      <c r="N197" s="91"/>
      <c r="O197" s="91"/>
      <c r="P197" s="91"/>
    </row>
    <row r="198" spans="1:16" x14ac:dyDescent="0.35">
      <c r="A198" s="90"/>
      <c r="B198" s="91"/>
      <c r="C198" s="91"/>
      <c r="D198" s="91"/>
      <c r="E198" s="91"/>
      <c r="F198" s="91"/>
      <c r="G198" s="91"/>
      <c r="H198" s="91"/>
      <c r="I198" s="91"/>
      <c r="J198" s="91"/>
      <c r="K198" s="91"/>
      <c r="L198" s="91"/>
      <c r="M198" s="91"/>
      <c r="N198" s="91"/>
      <c r="O198" s="91"/>
      <c r="P198" s="91"/>
    </row>
    <row r="199" spans="1:16" x14ac:dyDescent="0.35">
      <c r="A199" s="90"/>
      <c r="B199" s="91"/>
      <c r="C199" s="91"/>
      <c r="D199" s="91"/>
      <c r="E199" s="91"/>
      <c r="F199" s="91"/>
      <c r="G199" s="91"/>
      <c r="H199" s="91"/>
      <c r="I199" s="91"/>
      <c r="J199" s="91"/>
      <c r="K199" s="91"/>
      <c r="L199" s="91"/>
      <c r="M199" s="91"/>
      <c r="N199" s="91"/>
      <c r="O199" s="91"/>
    </row>
    <row r="200" spans="1:16" x14ac:dyDescent="0.35">
      <c r="A200" s="90"/>
      <c r="B200" s="91"/>
      <c r="C200" s="91"/>
      <c r="D200" s="91"/>
      <c r="E200" s="91"/>
      <c r="F200" s="91"/>
      <c r="G200" s="91"/>
      <c r="H200" s="91"/>
      <c r="I200" s="91"/>
      <c r="J200" s="91"/>
      <c r="K200" s="91"/>
      <c r="L200" s="91"/>
      <c r="M200" s="91"/>
      <c r="N200" s="91"/>
      <c r="O200" s="91"/>
    </row>
    <row r="201" spans="1:16" x14ac:dyDescent="0.35">
      <c r="A201" s="90"/>
      <c r="B201" s="91"/>
      <c r="C201" s="91"/>
      <c r="D201" s="91"/>
      <c r="E201" s="91"/>
      <c r="F201" s="91"/>
      <c r="G201" s="91"/>
      <c r="H201" s="91"/>
      <c r="I201" s="91"/>
      <c r="J201" s="91"/>
      <c r="K201" s="91"/>
      <c r="L201" s="91"/>
      <c r="M201" s="91"/>
      <c r="N201" s="91"/>
      <c r="O201" s="91"/>
    </row>
    <row r="202" spans="1:16" x14ac:dyDescent="0.35">
      <c r="A202" s="90"/>
      <c r="B202" s="91"/>
      <c r="C202" s="91"/>
      <c r="D202" s="91"/>
      <c r="E202" s="91"/>
      <c r="F202" s="91"/>
      <c r="G202" s="91"/>
      <c r="H202" s="91"/>
      <c r="I202" s="91"/>
      <c r="J202" s="91"/>
      <c r="K202" s="91"/>
      <c r="L202" s="91"/>
      <c r="M202" s="91"/>
      <c r="N202" s="91"/>
      <c r="O202" s="91"/>
    </row>
    <row r="203" spans="1:16" x14ac:dyDescent="0.35">
      <c r="A203" s="90"/>
      <c r="B203" s="91"/>
      <c r="C203" s="91"/>
      <c r="D203" s="91"/>
      <c r="E203" s="91"/>
      <c r="F203" s="91"/>
      <c r="G203" s="91"/>
      <c r="H203" s="91"/>
      <c r="I203" s="91"/>
      <c r="J203" s="91"/>
      <c r="K203" s="91"/>
      <c r="L203" s="91"/>
      <c r="M203" s="91"/>
      <c r="N203" s="91"/>
      <c r="O203" s="91"/>
    </row>
    <row r="204" spans="1:16" x14ac:dyDescent="0.35">
      <c r="A204" s="90"/>
      <c r="B204" s="91"/>
      <c r="C204" s="91"/>
      <c r="D204" s="91"/>
      <c r="E204" s="91"/>
      <c r="F204" s="91"/>
      <c r="G204" s="91"/>
      <c r="H204" s="91"/>
      <c r="I204" s="91"/>
      <c r="J204" s="91"/>
      <c r="K204" s="91"/>
      <c r="L204" s="91"/>
      <c r="M204" s="91"/>
      <c r="N204" s="91"/>
      <c r="O204" s="91"/>
    </row>
    <row r="205" spans="1:16" x14ac:dyDescent="0.35">
      <c r="A205" s="90"/>
      <c r="B205" s="91"/>
      <c r="C205" s="91"/>
      <c r="D205" s="91"/>
      <c r="E205" s="91"/>
      <c r="F205" s="91"/>
      <c r="G205" s="91"/>
      <c r="H205" s="91"/>
      <c r="I205" s="91"/>
      <c r="J205" s="91"/>
      <c r="K205" s="91"/>
      <c r="L205" s="91"/>
      <c r="M205" s="91"/>
      <c r="N205" s="91"/>
      <c r="O205" s="91"/>
    </row>
    <row r="207" spans="1:16" x14ac:dyDescent="0.35">
      <c r="A207" s="92"/>
    </row>
    <row r="208" spans="1:16"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162:O205 B5:Q36 Q37:Q187 P162:P198 B37:P161">
    <cfRule type="cellIs" dxfId="8" priority="1" stopIfTrue="1" operator="equal">
      <formula>0</formula>
    </cfRule>
  </conditionalFormatting>
  <conditionalFormatting sqref="B48:J176 B5:K55">
    <cfRule type="cellIs" priority="2" stopIfTrue="1" operator="equal">
      <formula>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2"/>
  </sheetPr>
  <dimension ref="A2:Q216"/>
  <sheetViews>
    <sheetView showGridLines="0" showRowColHeaders="0" zoomScale="85" zoomScaleNormal="85" workbookViewId="0">
      <pane xSplit="1" ySplit="4" topLeftCell="B35" activePane="bottomRight" state="frozen"/>
      <selection activeCell="C35" sqref="C35"/>
      <selection pane="topRight" activeCell="C35" sqref="C35"/>
      <selection pane="bottomLeft" activeCell="C35" sqref="C35"/>
      <selection pane="bottomRight" activeCell="A4" sqref="A4:P56"/>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262</v>
      </c>
    </row>
    <row r="4" spans="1:17" s="101" customFormat="1" x14ac:dyDescent="0.35">
      <c r="A4" s="212"/>
      <c r="B4" s="212"/>
      <c r="C4" s="212"/>
      <c r="D4" s="212"/>
      <c r="E4" s="212"/>
      <c r="F4" s="212"/>
      <c r="G4" s="212"/>
      <c r="H4" s="212"/>
      <c r="I4" s="212"/>
      <c r="J4" s="212"/>
      <c r="K4" s="212"/>
      <c r="L4" s="212"/>
      <c r="M4" s="212"/>
      <c r="N4" s="212"/>
      <c r="O4" s="212"/>
      <c r="P4" s="212"/>
    </row>
    <row r="5" spans="1:17" s="101" customFormat="1" x14ac:dyDescent="0.35">
      <c r="A5" s="212"/>
      <c r="B5" s="214"/>
      <c r="C5" s="214"/>
      <c r="D5" s="214"/>
      <c r="E5" s="214"/>
      <c r="F5" s="214"/>
      <c r="G5" s="214"/>
      <c r="H5" s="214"/>
      <c r="I5" s="214"/>
      <c r="J5" s="214"/>
      <c r="K5" s="214"/>
      <c r="L5" s="213"/>
      <c r="M5" s="213"/>
      <c r="N5" s="213"/>
      <c r="O5" s="214"/>
      <c r="P5" s="214"/>
      <c r="Q5" s="91"/>
    </row>
    <row r="6" spans="1:17" s="101" customFormat="1" x14ac:dyDescent="0.35">
      <c r="A6" s="215"/>
      <c r="B6" s="216"/>
      <c r="C6" s="216"/>
      <c r="D6" s="216"/>
      <c r="E6" s="216"/>
      <c r="F6" s="216"/>
      <c r="G6" s="216"/>
      <c r="H6" s="216"/>
      <c r="I6" s="216"/>
      <c r="J6" s="216"/>
      <c r="K6" s="216"/>
      <c r="L6" s="217"/>
      <c r="M6" s="217"/>
      <c r="N6" s="217"/>
      <c r="O6" s="216"/>
      <c r="P6" s="216"/>
      <c r="Q6" s="91"/>
    </row>
    <row r="7" spans="1:17" s="101" customFormat="1" x14ac:dyDescent="0.35">
      <c r="A7" s="90"/>
      <c r="B7" s="91"/>
      <c r="C7" s="91"/>
      <c r="D7" s="91"/>
      <c r="E7" s="91"/>
      <c r="F7" s="91"/>
      <c r="G7" s="91"/>
      <c r="H7" s="91"/>
      <c r="I7" s="91"/>
      <c r="J7" s="91"/>
      <c r="K7" s="91"/>
      <c r="L7" s="213"/>
      <c r="M7" s="213"/>
      <c r="N7" s="213"/>
      <c r="O7" s="214"/>
      <c r="P7" s="214"/>
      <c r="Q7" s="91"/>
    </row>
    <row r="8" spans="1:17" s="101" customFormat="1" x14ac:dyDescent="0.35">
      <c r="A8" s="90"/>
      <c r="B8" s="91"/>
      <c r="C8" s="91"/>
      <c r="D8" s="91"/>
      <c r="E8" s="91"/>
      <c r="F8" s="91"/>
      <c r="G8" s="91"/>
      <c r="H8" s="91"/>
      <c r="I8" s="91"/>
      <c r="J8" s="91"/>
      <c r="K8" s="91"/>
      <c r="L8" s="213"/>
      <c r="M8" s="213"/>
      <c r="N8" s="213"/>
      <c r="O8" s="214"/>
      <c r="P8" s="214"/>
      <c r="Q8" s="91"/>
    </row>
    <row r="9" spans="1:17" s="101" customFormat="1" x14ac:dyDescent="0.35">
      <c r="A9" s="90"/>
      <c r="B9" s="91"/>
      <c r="C9" s="91"/>
      <c r="D9" s="91"/>
      <c r="E9" s="91"/>
      <c r="F9" s="91"/>
      <c r="G9" s="91"/>
      <c r="H9" s="91"/>
      <c r="I9" s="91"/>
      <c r="J9" s="91"/>
      <c r="K9" s="91"/>
      <c r="L9" s="213"/>
      <c r="M9" s="213"/>
      <c r="N9" s="213"/>
      <c r="O9" s="214"/>
      <c r="P9" s="214"/>
      <c r="Q9" s="91"/>
    </row>
    <row r="10" spans="1:17" s="101" customFormat="1" x14ac:dyDescent="0.35">
      <c r="A10" s="90"/>
      <c r="B10" s="91"/>
      <c r="C10" s="91"/>
      <c r="D10" s="91"/>
      <c r="E10" s="91"/>
      <c r="F10" s="91"/>
      <c r="G10" s="91"/>
      <c r="H10" s="91"/>
      <c r="I10" s="91"/>
      <c r="J10" s="91"/>
      <c r="K10" s="91"/>
      <c r="L10" s="213"/>
      <c r="M10" s="213"/>
      <c r="N10" s="213"/>
      <c r="O10" s="214"/>
      <c r="P10" s="214"/>
      <c r="Q10" s="91"/>
    </row>
    <row r="11" spans="1:17" s="101" customFormat="1" x14ac:dyDescent="0.35">
      <c r="A11" s="90"/>
      <c r="B11" s="91"/>
      <c r="C11" s="91"/>
      <c r="D11" s="91"/>
      <c r="E11" s="91"/>
      <c r="F11" s="91"/>
      <c r="G11" s="91"/>
      <c r="H11" s="91"/>
      <c r="I11" s="91"/>
      <c r="J11" s="91"/>
      <c r="K11" s="91"/>
      <c r="L11" s="213"/>
      <c r="M11" s="213"/>
      <c r="N11" s="213"/>
      <c r="O11" s="214"/>
      <c r="P11" s="214"/>
      <c r="Q11" s="91"/>
    </row>
    <row r="12" spans="1:17" s="101" customFormat="1" x14ac:dyDescent="0.35">
      <c r="A12" s="90"/>
      <c r="B12" s="91"/>
      <c r="C12" s="91"/>
      <c r="D12" s="91"/>
      <c r="E12" s="91"/>
      <c r="F12" s="91"/>
      <c r="G12" s="91"/>
      <c r="H12" s="91"/>
      <c r="I12" s="91"/>
      <c r="J12" s="91"/>
      <c r="K12" s="91"/>
      <c r="L12" s="213"/>
      <c r="M12" s="213"/>
      <c r="N12" s="213"/>
      <c r="O12" s="214"/>
      <c r="P12" s="214"/>
      <c r="Q12" s="91"/>
    </row>
    <row r="13" spans="1:17" s="101" customFormat="1" x14ac:dyDescent="0.35">
      <c r="A13" s="90"/>
      <c r="B13" s="91"/>
      <c r="C13" s="91"/>
      <c r="D13" s="91"/>
      <c r="E13" s="91"/>
      <c r="F13" s="91"/>
      <c r="G13" s="91"/>
      <c r="H13" s="91"/>
      <c r="I13" s="91"/>
      <c r="J13" s="91"/>
      <c r="K13" s="91"/>
      <c r="L13" s="213"/>
      <c r="M13" s="213"/>
      <c r="N13" s="213"/>
      <c r="O13" s="214"/>
      <c r="P13" s="214"/>
      <c r="Q13" s="91"/>
    </row>
    <row r="14" spans="1:17" s="101" customFormat="1" x14ac:dyDescent="0.35">
      <c r="A14" s="90"/>
      <c r="B14" s="91"/>
      <c r="C14" s="91"/>
      <c r="D14" s="91"/>
      <c r="E14" s="91"/>
      <c r="F14" s="91"/>
      <c r="G14" s="91"/>
      <c r="H14" s="91"/>
      <c r="I14" s="91"/>
      <c r="J14" s="91"/>
      <c r="K14" s="91"/>
      <c r="L14" s="213"/>
      <c r="M14" s="213"/>
      <c r="N14" s="213"/>
      <c r="O14" s="214"/>
      <c r="P14" s="214"/>
      <c r="Q14" s="91"/>
    </row>
    <row r="15" spans="1:17" s="101" customFormat="1" x14ac:dyDescent="0.35">
      <c r="A15" s="90"/>
      <c r="B15" s="91"/>
      <c r="C15" s="91"/>
      <c r="D15" s="91"/>
      <c r="E15" s="91"/>
      <c r="F15" s="91"/>
      <c r="G15" s="91"/>
      <c r="H15" s="91"/>
      <c r="I15" s="91"/>
      <c r="J15" s="91"/>
      <c r="K15" s="91"/>
      <c r="L15" s="213"/>
      <c r="M15" s="213"/>
      <c r="N15" s="213"/>
      <c r="O15" s="214"/>
      <c r="P15" s="214"/>
      <c r="Q15" s="91"/>
    </row>
    <row r="16" spans="1:17" s="101" customFormat="1" x14ac:dyDescent="0.35">
      <c r="A16" s="215"/>
      <c r="B16" s="216"/>
      <c r="C16" s="216"/>
      <c r="D16" s="216"/>
      <c r="E16" s="216"/>
      <c r="F16" s="216"/>
      <c r="G16" s="216"/>
      <c r="H16" s="216"/>
      <c r="I16" s="216"/>
      <c r="J16" s="216"/>
      <c r="K16" s="216"/>
      <c r="L16" s="217"/>
      <c r="M16" s="217"/>
      <c r="N16" s="217"/>
      <c r="O16" s="216"/>
      <c r="P16" s="216"/>
      <c r="Q16" s="91"/>
    </row>
    <row r="17" spans="1:17" s="101" customFormat="1" x14ac:dyDescent="0.35">
      <c r="A17" s="90"/>
      <c r="B17" s="91"/>
      <c r="C17" s="91"/>
      <c r="D17" s="91"/>
      <c r="E17" s="91"/>
      <c r="F17" s="91"/>
      <c r="G17" s="91"/>
      <c r="H17" s="91"/>
      <c r="I17" s="91"/>
      <c r="J17" s="91"/>
      <c r="K17" s="91"/>
      <c r="L17" s="213"/>
      <c r="M17" s="213"/>
      <c r="N17" s="213"/>
      <c r="O17" s="214"/>
      <c r="P17" s="214"/>
      <c r="Q17" s="91"/>
    </row>
    <row r="18" spans="1:17" s="101" customFormat="1" x14ac:dyDescent="0.35">
      <c r="A18" s="90"/>
      <c r="B18" s="91"/>
      <c r="C18" s="91"/>
      <c r="D18" s="91"/>
      <c r="E18" s="91"/>
      <c r="F18" s="91"/>
      <c r="G18" s="91"/>
      <c r="H18" s="91"/>
      <c r="I18" s="91"/>
      <c r="J18" s="91"/>
      <c r="K18" s="91"/>
      <c r="L18" s="213"/>
      <c r="M18" s="213"/>
      <c r="N18" s="213"/>
      <c r="O18" s="214"/>
      <c r="P18" s="214"/>
      <c r="Q18" s="91"/>
    </row>
    <row r="19" spans="1:17" s="101" customFormat="1" x14ac:dyDescent="0.35">
      <c r="A19" s="90"/>
      <c r="B19" s="91"/>
      <c r="C19" s="91"/>
      <c r="D19" s="91"/>
      <c r="E19" s="91"/>
      <c r="F19" s="91"/>
      <c r="G19" s="91"/>
      <c r="H19" s="91"/>
      <c r="I19" s="91"/>
      <c r="J19" s="91"/>
      <c r="K19" s="91"/>
      <c r="L19" s="213"/>
      <c r="M19" s="213"/>
      <c r="N19" s="213"/>
      <c r="O19" s="214"/>
      <c r="P19" s="214"/>
      <c r="Q19" s="91"/>
    </row>
    <row r="20" spans="1:17" s="101" customFormat="1" x14ac:dyDescent="0.35">
      <c r="A20" s="90"/>
      <c r="B20" s="91"/>
      <c r="C20" s="91"/>
      <c r="D20" s="91"/>
      <c r="E20" s="91"/>
      <c r="F20" s="91"/>
      <c r="G20" s="91"/>
      <c r="H20" s="91"/>
      <c r="I20" s="91"/>
      <c r="J20" s="91"/>
      <c r="K20" s="91"/>
      <c r="L20" s="213"/>
      <c r="M20" s="213"/>
      <c r="N20" s="213"/>
      <c r="O20" s="214"/>
      <c r="P20" s="214"/>
      <c r="Q20" s="91"/>
    </row>
    <row r="21" spans="1:17" s="101" customFormat="1" x14ac:dyDescent="0.35">
      <c r="A21" s="90"/>
      <c r="B21" s="91"/>
      <c r="C21" s="91"/>
      <c r="D21" s="91"/>
      <c r="E21" s="91"/>
      <c r="F21" s="91"/>
      <c r="G21" s="91"/>
      <c r="H21" s="91"/>
      <c r="I21" s="91"/>
      <c r="J21" s="91"/>
      <c r="K21" s="91"/>
      <c r="L21" s="213"/>
      <c r="M21" s="213"/>
      <c r="N21" s="213"/>
      <c r="O21" s="214"/>
      <c r="P21" s="214"/>
      <c r="Q21" s="91"/>
    </row>
    <row r="22" spans="1:17" s="101" customFormat="1" x14ac:dyDescent="0.35">
      <c r="A22" s="90"/>
      <c r="B22" s="91"/>
      <c r="C22" s="91"/>
      <c r="D22" s="91"/>
      <c r="E22" s="91"/>
      <c r="F22" s="91"/>
      <c r="G22" s="91"/>
      <c r="H22" s="91"/>
      <c r="I22" s="91"/>
      <c r="J22" s="91"/>
      <c r="K22" s="91"/>
      <c r="L22" s="213"/>
      <c r="M22" s="213"/>
      <c r="N22" s="213"/>
      <c r="O22" s="214"/>
      <c r="P22" s="214"/>
      <c r="Q22" s="91"/>
    </row>
    <row r="23" spans="1:17" s="101" customFormat="1" x14ac:dyDescent="0.35">
      <c r="A23" s="90"/>
      <c r="B23" s="91"/>
      <c r="C23" s="91"/>
      <c r="D23" s="91"/>
      <c r="E23" s="91"/>
      <c r="F23" s="91"/>
      <c r="G23" s="91"/>
      <c r="H23" s="91"/>
      <c r="I23" s="91"/>
      <c r="J23" s="91"/>
      <c r="K23" s="91"/>
      <c r="L23" s="213"/>
      <c r="M23" s="213"/>
      <c r="N23" s="213"/>
      <c r="O23" s="214"/>
      <c r="P23" s="214"/>
      <c r="Q23" s="91"/>
    </row>
    <row r="24" spans="1:17" s="101" customFormat="1" x14ac:dyDescent="0.35">
      <c r="A24" s="90"/>
      <c r="B24" s="91"/>
      <c r="C24" s="91"/>
      <c r="D24" s="91"/>
      <c r="E24" s="91"/>
      <c r="F24" s="91"/>
      <c r="G24" s="91"/>
      <c r="H24" s="91"/>
      <c r="I24" s="91"/>
      <c r="J24" s="91"/>
      <c r="K24" s="91"/>
      <c r="L24" s="213"/>
      <c r="M24" s="213"/>
      <c r="N24" s="213"/>
      <c r="O24" s="214"/>
      <c r="P24" s="214"/>
      <c r="Q24" s="91"/>
    </row>
    <row r="25" spans="1:17" s="101" customFormat="1" x14ac:dyDescent="0.35">
      <c r="A25" s="90"/>
      <c r="B25" s="91"/>
      <c r="C25" s="91"/>
      <c r="D25" s="91"/>
      <c r="E25" s="91"/>
      <c r="F25" s="91"/>
      <c r="G25" s="91"/>
      <c r="H25" s="91"/>
      <c r="I25" s="91"/>
      <c r="J25" s="91"/>
      <c r="K25" s="91"/>
      <c r="L25" s="213"/>
      <c r="M25" s="213"/>
      <c r="N25" s="213"/>
      <c r="O25" s="214"/>
      <c r="P25" s="214"/>
      <c r="Q25" s="91"/>
    </row>
    <row r="26" spans="1:17" s="101" customFormat="1" x14ac:dyDescent="0.35">
      <c r="A26" s="90"/>
      <c r="B26" s="91"/>
      <c r="C26" s="91"/>
      <c r="D26" s="91"/>
      <c r="E26" s="91"/>
      <c r="F26" s="91"/>
      <c r="G26" s="91"/>
      <c r="H26" s="91"/>
      <c r="I26" s="91"/>
      <c r="J26" s="91"/>
      <c r="K26" s="91"/>
      <c r="L26" s="213"/>
      <c r="M26" s="213"/>
      <c r="N26" s="213"/>
      <c r="O26" s="214"/>
      <c r="P26" s="214"/>
      <c r="Q26" s="91"/>
    </row>
    <row r="27" spans="1:17" s="101" customFormat="1" x14ac:dyDescent="0.35">
      <c r="A27" s="90"/>
      <c r="B27" s="91"/>
      <c r="C27" s="91"/>
      <c r="D27" s="91"/>
      <c r="E27" s="91"/>
      <c r="F27" s="91"/>
      <c r="G27" s="91"/>
      <c r="H27" s="91"/>
      <c r="I27" s="91"/>
      <c r="J27" s="91"/>
      <c r="K27" s="91"/>
      <c r="L27" s="213"/>
      <c r="M27" s="213"/>
      <c r="N27" s="213"/>
      <c r="O27" s="214"/>
      <c r="P27" s="214"/>
      <c r="Q27" s="91"/>
    </row>
    <row r="28" spans="1:17" s="101" customFormat="1" x14ac:dyDescent="0.35">
      <c r="A28" s="90"/>
      <c r="B28" s="91"/>
      <c r="C28" s="91"/>
      <c r="D28" s="91"/>
      <c r="E28" s="91"/>
      <c r="F28" s="91"/>
      <c r="G28" s="91"/>
      <c r="H28" s="91"/>
      <c r="I28" s="91"/>
      <c r="J28" s="91"/>
      <c r="K28" s="91"/>
      <c r="L28" s="213"/>
      <c r="M28" s="213"/>
      <c r="N28" s="213"/>
      <c r="O28" s="214"/>
      <c r="P28" s="214"/>
      <c r="Q28" s="91"/>
    </row>
    <row r="29" spans="1:17" s="101" customFormat="1" x14ac:dyDescent="0.35">
      <c r="A29" s="90"/>
      <c r="B29" s="91"/>
      <c r="C29" s="91"/>
      <c r="D29" s="91"/>
      <c r="E29" s="91"/>
      <c r="F29" s="91"/>
      <c r="G29" s="91"/>
      <c r="H29" s="91"/>
      <c r="I29" s="91"/>
      <c r="J29" s="91"/>
      <c r="K29" s="91"/>
      <c r="L29" s="213"/>
      <c r="M29" s="213"/>
      <c r="N29" s="213"/>
      <c r="O29" s="214"/>
      <c r="P29" s="214"/>
      <c r="Q29" s="91"/>
    </row>
    <row r="30" spans="1:17" s="101" customFormat="1" x14ac:dyDescent="0.35">
      <c r="A30" s="215"/>
      <c r="B30" s="216"/>
      <c r="C30" s="216"/>
      <c r="D30" s="216"/>
      <c r="E30" s="216"/>
      <c r="F30" s="216"/>
      <c r="G30" s="216"/>
      <c r="H30" s="216"/>
      <c r="I30" s="216"/>
      <c r="J30" s="216"/>
      <c r="K30" s="216"/>
      <c r="L30" s="217"/>
      <c r="M30" s="217"/>
      <c r="N30" s="217"/>
      <c r="O30" s="216"/>
      <c r="P30" s="216"/>
      <c r="Q30" s="91"/>
    </row>
    <row r="31" spans="1:17" s="101" customFormat="1" x14ac:dyDescent="0.35">
      <c r="A31" s="90"/>
      <c r="B31" s="91"/>
      <c r="C31" s="91"/>
      <c r="D31" s="91"/>
      <c r="E31" s="91"/>
      <c r="F31" s="91"/>
      <c r="G31" s="91"/>
      <c r="H31" s="91"/>
      <c r="I31" s="91"/>
      <c r="J31" s="91"/>
      <c r="K31" s="91"/>
      <c r="L31" s="213"/>
      <c r="M31" s="213"/>
      <c r="N31" s="213"/>
      <c r="O31" s="214"/>
      <c r="P31" s="214"/>
      <c r="Q31" s="91"/>
    </row>
    <row r="32" spans="1:17" s="101" customFormat="1" x14ac:dyDescent="0.35">
      <c r="A32" s="90"/>
      <c r="B32" s="91"/>
      <c r="C32" s="91"/>
      <c r="D32" s="91"/>
      <c r="E32" s="91"/>
      <c r="F32" s="91"/>
      <c r="G32" s="91"/>
      <c r="H32" s="91"/>
      <c r="I32" s="91"/>
      <c r="J32" s="91"/>
      <c r="K32" s="91"/>
      <c r="L32" s="213"/>
      <c r="M32" s="213"/>
      <c r="N32" s="213"/>
      <c r="O32" s="214"/>
      <c r="P32" s="214"/>
      <c r="Q32" s="91"/>
    </row>
    <row r="33" spans="1:17" s="101" customFormat="1" x14ac:dyDescent="0.35">
      <c r="A33" s="90"/>
      <c r="B33" s="91"/>
      <c r="C33" s="91"/>
      <c r="D33" s="91"/>
      <c r="E33" s="91"/>
      <c r="F33" s="91"/>
      <c r="G33" s="91"/>
      <c r="H33" s="91"/>
      <c r="I33" s="91"/>
      <c r="J33" s="91"/>
      <c r="K33" s="91"/>
      <c r="L33" s="213"/>
      <c r="M33" s="213"/>
      <c r="N33" s="213"/>
      <c r="O33" s="214"/>
      <c r="P33" s="214"/>
      <c r="Q33" s="91"/>
    </row>
    <row r="34" spans="1:17" s="101" customFormat="1" x14ac:dyDescent="0.35">
      <c r="A34" s="90"/>
      <c r="B34" s="91"/>
      <c r="C34" s="91"/>
      <c r="D34" s="91"/>
      <c r="E34" s="91"/>
      <c r="F34" s="91"/>
      <c r="G34" s="91"/>
      <c r="H34" s="91"/>
      <c r="I34" s="91"/>
      <c r="J34" s="91"/>
      <c r="K34" s="91"/>
      <c r="L34" s="213"/>
      <c r="M34" s="213"/>
      <c r="N34" s="213"/>
      <c r="O34" s="214"/>
      <c r="P34" s="214"/>
      <c r="Q34" s="91"/>
    </row>
    <row r="35" spans="1:17" s="101" customFormat="1" x14ac:dyDescent="0.35">
      <c r="A35" s="90"/>
      <c r="B35" s="91"/>
      <c r="C35" s="91"/>
      <c r="D35" s="91"/>
      <c r="E35" s="91"/>
      <c r="F35" s="91"/>
      <c r="G35" s="91"/>
      <c r="H35" s="91"/>
      <c r="I35" s="91"/>
      <c r="J35" s="91"/>
      <c r="K35" s="91"/>
      <c r="L35" s="213"/>
      <c r="M35" s="213"/>
      <c r="N35" s="213"/>
      <c r="O35" s="214"/>
      <c r="P35" s="214"/>
      <c r="Q35" s="91"/>
    </row>
    <row r="36" spans="1:17" s="101" customFormat="1" x14ac:dyDescent="0.35">
      <c r="A36" s="218"/>
      <c r="B36" s="219"/>
      <c r="C36" s="219"/>
      <c r="D36" s="219"/>
      <c r="E36" s="219"/>
      <c r="F36" s="219"/>
      <c r="G36" s="219"/>
      <c r="H36" s="219"/>
      <c r="I36" s="219"/>
      <c r="J36" s="219"/>
      <c r="K36" s="219"/>
      <c r="L36" s="217"/>
      <c r="M36" s="217"/>
      <c r="N36" s="217"/>
      <c r="O36" s="216"/>
      <c r="P36" s="216"/>
      <c r="Q36" s="91"/>
    </row>
    <row r="37" spans="1:17" s="101" customFormat="1" x14ac:dyDescent="0.35">
      <c r="A37" s="212"/>
      <c r="B37" s="91"/>
      <c r="C37" s="91"/>
      <c r="D37" s="91"/>
      <c r="E37" s="91"/>
      <c r="F37" s="91"/>
      <c r="G37" s="91"/>
      <c r="H37" s="91"/>
      <c r="I37" s="91"/>
      <c r="J37" s="91"/>
      <c r="K37" s="91"/>
      <c r="L37" s="213"/>
      <c r="M37" s="213"/>
      <c r="N37" s="213"/>
      <c r="O37" s="214"/>
      <c r="P37" s="214"/>
      <c r="Q37" s="91"/>
    </row>
    <row r="38" spans="1:17" s="101" customFormat="1" x14ac:dyDescent="0.35">
      <c r="A38" s="90"/>
      <c r="B38" s="91"/>
      <c r="C38" s="91"/>
      <c r="D38" s="91"/>
      <c r="E38" s="91"/>
      <c r="F38" s="91"/>
      <c r="G38" s="91"/>
      <c r="H38" s="91"/>
      <c r="I38" s="91"/>
      <c r="J38" s="91"/>
      <c r="K38" s="91"/>
      <c r="L38" s="213"/>
      <c r="M38" s="213"/>
      <c r="N38" s="213"/>
      <c r="O38" s="214"/>
      <c r="P38" s="214"/>
      <c r="Q38" s="91"/>
    </row>
    <row r="39" spans="1:17" s="101" customFormat="1" x14ac:dyDescent="0.35">
      <c r="A39" s="90"/>
      <c r="B39" s="91"/>
      <c r="C39" s="91"/>
      <c r="D39" s="91"/>
      <c r="E39" s="91"/>
      <c r="F39" s="91"/>
      <c r="G39" s="91"/>
      <c r="H39" s="91"/>
      <c r="I39" s="91"/>
      <c r="J39" s="91"/>
      <c r="K39" s="91"/>
      <c r="L39" s="213"/>
      <c r="M39" s="213"/>
      <c r="N39" s="213"/>
      <c r="O39" s="214"/>
      <c r="P39" s="214"/>
      <c r="Q39" s="91"/>
    </row>
    <row r="40" spans="1:17" s="101" customFormat="1" x14ac:dyDescent="0.35">
      <c r="A40" s="90"/>
      <c r="B40" s="91"/>
      <c r="C40" s="91"/>
      <c r="D40" s="91"/>
      <c r="E40" s="91"/>
      <c r="F40" s="91"/>
      <c r="G40" s="91"/>
      <c r="H40" s="91"/>
      <c r="I40" s="91"/>
      <c r="J40" s="91"/>
      <c r="K40" s="91"/>
      <c r="L40" s="213"/>
      <c r="M40" s="213"/>
      <c r="N40" s="213"/>
      <c r="O40" s="214"/>
      <c r="P40" s="214"/>
      <c r="Q40" s="91"/>
    </row>
    <row r="41" spans="1:17" s="101" customFormat="1" x14ac:dyDescent="0.35">
      <c r="A41" s="90"/>
      <c r="B41" s="91"/>
      <c r="C41" s="91"/>
      <c r="D41" s="91"/>
      <c r="E41" s="91"/>
      <c r="F41" s="91"/>
      <c r="G41" s="91"/>
      <c r="H41" s="91"/>
      <c r="I41" s="91"/>
      <c r="J41" s="91"/>
      <c r="K41" s="91"/>
      <c r="L41" s="213"/>
      <c r="M41" s="213"/>
      <c r="N41" s="213"/>
      <c r="O41" s="214"/>
      <c r="P41" s="214"/>
      <c r="Q41" s="91"/>
    </row>
    <row r="42" spans="1:17" s="101" customFormat="1" x14ac:dyDescent="0.35">
      <c r="A42" s="90"/>
      <c r="B42" s="91"/>
      <c r="C42" s="91"/>
      <c r="D42" s="91"/>
      <c r="E42" s="91"/>
      <c r="F42" s="91"/>
      <c r="G42" s="91"/>
      <c r="H42" s="91"/>
      <c r="I42" s="91"/>
      <c r="J42" s="91"/>
      <c r="K42" s="91"/>
      <c r="L42" s="213"/>
      <c r="M42" s="213"/>
      <c r="N42" s="213"/>
      <c r="O42" s="214"/>
      <c r="P42" s="214"/>
      <c r="Q42" s="91"/>
    </row>
    <row r="43" spans="1:17" s="101" customFormat="1" x14ac:dyDescent="0.35">
      <c r="A43" s="90"/>
      <c r="B43" s="91"/>
      <c r="C43" s="91"/>
      <c r="D43" s="91"/>
      <c r="E43" s="91"/>
      <c r="F43" s="91"/>
      <c r="G43" s="91"/>
      <c r="H43" s="91"/>
      <c r="I43" s="91"/>
      <c r="J43" s="91"/>
      <c r="K43" s="91"/>
      <c r="L43" s="213"/>
      <c r="M43" s="213"/>
      <c r="N43" s="213"/>
      <c r="O43" s="214"/>
      <c r="P43" s="214"/>
      <c r="Q43" s="91"/>
    </row>
    <row r="44" spans="1:17" s="101" customFormat="1" x14ac:dyDescent="0.35">
      <c r="A44" s="90"/>
      <c r="B44" s="91"/>
      <c r="C44" s="91"/>
      <c r="D44" s="91"/>
      <c r="E44" s="91"/>
      <c r="F44" s="91"/>
      <c r="G44" s="91"/>
      <c r="H44" s="91"/>
      <c r="I44" s="91"/>
      <c r="J44" s="91"/>
      <c r="K44" s="91"/>
      <c r="L44" s="213"/>
      <c r="M44" s="213"/>
      <c r="N44" s="213"/>
      <c r="O44" s="214"/>
      <c r="P44" s="214"/>
      <c r="Q44" s="91"/>
    </row>
    <row r="45" spans="1:17" s="101" customFormat="1" x14ac:dyDescent="0.35">
      <c r="A45" s="90"/>
      <c r="B45" s="91"/>
      <c r="C45" s="91"/>
      <c r="D45" s="91"/>
      <c r="E45" s="91"/>
      <c r="F45" s="91"/>
      <c r="G45" s="91"/>
      <c r="H45" s="91"/>
      <c r="I45" s="91"/>
      <c r="J45" s="91"/>
      <c r="K45" s="91"/>
      <c r="L45" s="213"/>
      <c r="M45" s="213"/>
      <c r="N45" s="213"/>
      <c r="O45" s="214"/>
      <c r="P45" s="214"/>
      <c r="Q45" s="91"/>
    </row>
    <row r="46" spans="1:17" s="101" customFormat="1" x14ac:dyDescent="0.35">
      <c r="A46" s="90"/>
      <c r="B46" s="91"/>
      <c r="C46" s="91"/>
      <c r="D46" s="91"/>
      <c r="E46" s="91"/>
      <c r="F46" s="91"/>
      <c r="G46" s="91"/>
      <c r="H46" s="91"/>
      <c r="I46" s="91"/>
      <c r="J46" s="91"/>
      <c r="K46" s="91"/>
      <c r="L46" s="94"/>
      <c r="M46" s="94"/>
      <c r="N46" s="94"/>
      <c r="O46" s="91"/>
      <c r="P46" s="91"/>
      <c r="Q46" s="91"/>
    </row>
    <row r="47" spans="1:17" s="101" customFormat="1" x14ac:dyDescent="0.35">
      <c r="A47" s="90"/>
      <c r="B47" s="91"/>
      <c r="C47" s="91"/>
      <c r="D47" s="91"/>
      <c r="E47" s="91"/>
      <c r="F47" s="91"/>
      <c r="G47" s="91"/>
      <c r="H47" s="91"/>
      <c r="I47" s="91"/>
      <c r="J47" s="91"/>
      <c r="K47" s="91"/>
      <c r="L47" s="94"/>
      <c r="M47" s="94"/>
      <c r="N47" s="94"/>
      <c r="O47" s="91"/>
      <c r="P47" s="91"/>
      <c r="Q47" s="91"/>
    </row>
    <row r="48" spans="1:17" s="101" customFormat="1" x14ac:dyDescent="0.35">
      <c r="A48" s="90"/>
      <c r="B48" s="91"/>
      <c r="C48" s="91"/>
      <c r="D48" s="91"/>
      <c r="E48" s="91"/>
      <c r="F48" s="91"/>
      <c r="G48" s="91"/>
      <c r="H48" s="91"/>
      <c r="I48" s="91"/>
      <c r="J48" s="91"/>
      <c r="K48" s="91"/>
      <c r="L48" s="94"/>
      <c r="M48" s="94"/>
      <c r="N48" s="94"/>
      <c r="O48" s="91"/>
      <c r="P48" s="91"/>
      <c r="Q48" s="91"/>
    </row>
    <row r="49" spans="1:17" s="101" customFormat="1" x14ac:dyDescent="0.35">
      <c r="A49" s="90"/>
      <c r="B49" s="91"/>
      <c r="C49" s="91"/>
      <c r="D49" s="91"/>
      <c r="E49" s="91"/>
      <c r="F49" s="91"/>
      <c r="G49" s="91"/>
      <c r="H49" s="91"/>
      <c r="I49" s="91"/>
      <c r="J49" s="91"/>
      <c r="K49" s="91"/>
      <c r="L49" s="94"/>
      <c r="M49" s="94"/>
      <c r="N49" s="94"/>
      <c r="O49" s="91"/>
      <c r="P49" s="91"/>
      <c r="Q49" s="91"/>
    </row>
    <row r="50" spans="1:17" s="101" customFormat="1" x14ac:dyDescent="0.35">
      <c r="A50" s="90"/>
      <c r="B50" s="91"/>
      <c r="C50" s="91"/>
      <c r="D50" s="91"/>
      <c r="E50" s="91"/>
      <c r="F50" s="91"/>
      <c r="G50" s="91"/>
      <c r="H50" s="91"/>
      <c r="I50" s="91"/>
      <c r="J50" s="91"/>
      <c r="K50" s="91"/>
      <c r="L50" s="94"/>
      <c r="M50" s="94"/>
      <c r="N50" s="94"/>
      <c r="O50" s="91"/>
      <c r="P50" s="91"/>
      <c r="Q50" s="91"/>
    </row>
    <row r="51" spans="1:17" s="101" customFormat="1" x14ac:dyDescent="0.35">
      <c r="A51" s="90"/>
      <c r="B51" s="91"/>
      <c r="C51" s="91"/>
      <c r="D51" s="91"/>
      <c r="E51" s="91"/>
      <c r="F51" s="91"/>
      <c r="G51" s="91"/>
      <c r="H51" s="91"/>
      <c r="I51" s="91"/>
      <c r="J51" s="91"/>
      <c r="K51" s="91"/>
      <c r="L51" s="94"/>
      <c r="M51" s="94"/>
      <c r="N51" s="94"/>
      <c r="O51" s="91"/>
      <c r="P51" s="91"/>
      <c r="Q51" s="91"/>
    </row>
    <row r="52" spans="1:17" s="101" customFormat="1" x14ac:dyDescent="0.35">
      <c r="A52" s="90"/>
      <c r="B52" s="91"/>
      <c r="C52" s="91"/>
      <c r="D52" s="91"/>
      <c r="E52" s="91"/>
      <c r="F52" s="91"/>
      <c r="G52" s="91"/>
      <c r="H52" s="91"/>
      <c r="I52" s="91"/>
      <c r="J52" s="91"/>
      <c r="K52" s="91"/>
      <c r="L52" s="94"/>
      <c r="M52" s="94"/>
      <c r="N52" s="94"/>
      <c r="O52" s="91"/>
      <c r="P52" s="91"/>
      <c r="Q52" s="91"/>
    </row>
    <row r="53" spans="1:17" s="101" customFormat="1" x14ac:dyDescent="0.35">
      <c r="A53" s="90"/>
      <c r="B53" s="91"/>
      <c r="C53" s="91"/>
      <c r="D53" s="91"/>
      <c r="E53" s="91"/>
      <c r="F53" s="91"/>
      <c r="G53" s="91"/>
      <c r="H53" s="91"/>
      <c r="I53" s="91"/>
      <c r="J53" s="91"/>
      <c r="K53" s="91"/>
      <c r="L53" s="94"/>
      <c r="M53" s="94"/>
      <c r="N53" s="94"/>
      <c r="O53" s="91"/>
      <c r="P53" s="91"/>
      <c r="Q53" s="91"/>
    </row>
    <row r="54" spans="1:17" s="101" customFormat="1" x14ac:dyDescent="0.35">
      <c r="A54" s="90"/>
      <c r="B54" s="91"/>
      <c r="C54" s="91"/>
      <c r="D54" s="91"/>
      <c r="E54" s="91"/>
      <c r="F54" s="91"/>
      <c r="G54" s="91"/>
      <c r="H54" s="91"/>
      <c r="I54" s="91"/>
      <c r="J54" s="91"/>
      <c r="K54" s="91"/>
      <c r="L54" s="94"/>
      <c r="M54" s="94"/>
      <c r="N54" s="94"/>
      <c r="O54" s="91"/>
      <c r="P54" s="91"/>
      <c r="Q54" s="91"/>
    </row>
    <row r="55" spans="1:17" s="101" customFormat="1" x14ac:dyDescent="0.35">
      <c r="A55" s="90"/>
      <c r="B55" s="91"/>
      <c r="C55" s="91"/>
      <c r="D55" s="91"/>
      <c r="E55" s="91"/>
      <c r="F55" s="91"/>
      <c r="G55" s="91"/>
      <c r="H55" s="91"/>
      <c r="I55" s="91"/>
      <c r="J55" s="91"/>
      <c r="K55" s="91"/>
      <c r="L55" s="94"/>
      <c r="M55" s="94"/>
      <c r="N55" s="94"/>
      <c r="O55" s="91"/>
      <c r="P55" s="91"/>
      <c r="Q55" s="91"/>
    </row>
    <row r="56" spans="1:17" s="101" customFormat="1" x14ac:dyDescent="0.35">
      <c r="A56" s="90"/>
      <c r="B56" s="91"/>
      <c r="C56" s="91"/>
      <c r="D56" s="91"/>
      <c r="E56" s="91"/>
      <c r="F56" s="91"/>
      <c r="G56" s="91"/>
      <c r="H56" s="91"/>
      <c r="I56" s="91"/>
      <c r="J56" s="91"/>
      <c r="K56" s="94"/>
      <c r="L56" s="94"/>
      <c r="M56" s="94"/>
      <c r="N56" s="91"/>
      <c r="O56" s="91"/>
      <c r="P56" s="91"/>
      <c r="Q56" s="91"/>
    </row>
    <row r="57" spans="1:17" s="101" customFormat="1" x14ac:dyDescent="0.35">
      <c r="A57" s="90"/>
      <c r="B57" s="91"/>
      <c r="C57" s="91"/>
      <c r="D57" s="91"/>
      <c r="E57" s="91"/>
      <c r="F57" s="91"/>
      <c r="G57" s="91"/>
      <c r="H57" s="91"/>
      <c r="I57" s="91"/>
      <c r="J57" s="91"/>
      <c r="K57" s="94"/>
      <c r="L57" s="94"/>
      <c r="M57" s="94"/>
      <c r="N57" s="91"/>
      <c r="O57" s="91"/>
      <c r="P57" s="91"/>
      <c r="Q57" s="91"/>
    </row>
    <row r="58" spans="1:17" s="101" customFormat="1" x14ac:dyDescent="0.35">
      <c r="A58" s="90"/>
      <c r="B58" s="91"/>
      <c r="C58" s="91"/>
      <c r="D58" s="91"/>
      <c r="E58" s="91"/>
      <c r="F58" s="91"/>
      <c r="G58" s="91"/>
      <c r="H58" s="91"/>
      <c r="I58" s="91"/>
      <c r="J58" s="91"/>
      <c r="K58" s="94"/>
      <c r="L58" s="94"/>
      <c r="M58" s="94"/>
      <c r="N58" s="91"/>
      <c r="O58" s="91"/>
      <c r="P58" s="91"/>
      <c r="Q58" s="91"/>
    </row>
    <row r="59" spans="1:17" s="101" customFormat="1" x14ac:dyDescent="0.35">
      <c r="A59" s="90"/>
      <c r="B59" s="91"/>
      <c r="C59" s="91"/>
      <c r="D59" s="91"/>
      <c r="E59" s="91"/>
      <c r="F59" s="91"/>
      <c r="G59" s="91"/>
      <c r="H59" s="91"/>
      <c r="I59" s="91"/>
      <c r="J59" s="91"/>
      <c r="K59" s="94"/>
      <c r="L59" s="94"/>
      <c r="M59" s="94"/>
      <c r="N59" s="91"/>
      <c r="O59" s="91"/>
      <c r="P59" s="91"/>
      <c r="Q59" s="91"/>
    </row>
    <row r="60" spans="1:17" s="101" customFormat="1" x14ac:dyDescent="0.35">
      <c r="A60" s="90"/>
      <c r="B60" s="91"/>
      <c r="C60" s="91"/>
      <c r="D60" s="91"/>
      <c r="E60" s="91"/>
      <c r="F60" s="91"/>
      <c r="G60" s="91"/>
      <c r="H60" s="91"/>
      <c r="I60" s="91"/>
      <c r="J60" s="91"/>
      <c r="K60" s="94"/>
      <c r="L60" s="94"/>
      <c r="M60" s="94"/>
      <c r="N60" s="91"/>
      <c r="O60" s="91"/>
      <c r="P60" s="91"/>
      <c r="Q60" s="91"/>
    </row>
    <row r="61" spans="1:17" s="101" customFormat="1" x14ac:dyDescent="0.35">
      <c r="A61" s="90"/>
      <c r="B61" s="91"/>
      <c r="C61" s="91"/>
      <c r="D61" s="91"/>
      <c r="E61" s="91"/>
      <c r="F61" s="91"/>
      <c r="G61" s="91"/>
      <c r="H61" s="91"/>
      <c r="I61" s="91"/>
      <c r="J61" s="91"/>
      <c r="K61" s="94"/>
      <c r="L61" s="94"/>
      <c r="M61" s="94"/>
      <c r="N61" s="91"/>
      <c r="O61" s="91"/>
      <c r="P61" s="91"/>
      <c r="Q61" s="91"/>
    </row>
    <row r="62" spans="1:17" s="101" customFormat="1" x14ac:dyDescent="0.35">
      <c r="A62" s="90"/>
      <c r="B62" s="91"/>
      <c r="C62" s="91"/>
      <c r="D62" s="91"/>
      <c r="E62" s="91"/>
      <c r="F62" s="91"/>
      <c r="G62" s="91"/>
      <c r="H62" s="91"/>
      <c r="I62" s="91"/>
      <c r="J62" s="91"/>
      <c r="K62" s="94"/>
      <c r="L62" s="94"/>
      <c r="M62" s="94"/>
      <c r="N62" s="91"/>
      <c r="O62" s="91"/>
      <c r="P62" s="91"/>
      <c r="Q62" s="91"/>
    </row>
    <row r="63" spans="1:17" s="101" customFormat="1" x14ac:dyDescent="0.35">
      <c r="A63" s="90"/>
      <c r="B63" s="91"/>
      <c r="C63" s="91"/>
      <c r="D63" s="91"/>
      <c r="E63" s="91"/>
      <c r="F63" s="91"/>
      <c r="G63" s="91"/>
      <c r="H63" s="91"/>
      <c r="I63" s="91"/>
      <c r="J63" s="91"/>
      <c r="K63" s="94"/>
      <c r="L63" s="94"/>
      <c r="M63" s="94"/>
      <c r="N63" s="91"/>
      <c r="O63" s="91"/>
      <c r="P63" s="91"/>
      <c r="Q63" s="91"/>
    </row>
    <row r="64" spans="1:17" s="101" customFormat="1" x14ac:dyDescent="0.35">
      <c r="A64" s="90"/>
      <c r="B64" s="91"/>
      <c r="C64" s="91"/>
      <c r="D64" s="91"/>
      <c r="E64" s="91"/>
      <c r="F64" s="91"/>
      <c r="G64" s="91"/>
      <c r="H64" s="91"/>
      <c r="I64" s="91"/>
      <c r="J64" s="91"/>
      <c r="K64" s="94"/>
      <c r="L64" s="94"/>
      <c r="M64" s="94"/>
      <c r="N64" s="91"/>
      <c r="O64" s="91"/>
      <c r="P64" s="91"/>
      <c r="Q64" s="91"/>
    </row>
    <row r="65" spans="1:17" s="101" customFormat="1" x14ac:dyDescent="0.35">
      <c r="A65" s="90"/>
      <c r="B65" s="91"/>
      <c r="C65" s="91"/>
      <c r="D65" s="91"/>
      <c r="E65" s="91"/>
      <c r="F65" s="91"/>
      <c r="G65" s="91"/>
      <c r="H65" s="91"/>
      <c r="I65" s="91"/>
      <c r="J65" s="91"/>
      <c r="K65" s="94"/>
      <c r="L65" s="94"/>
      <c r="M65" s="94"/>
      <c r="N65" s="91"/>
      <c r="O65" s="91"/>
      <c r="P65" s="91"/>
      <c r="Q65" s="91"/>
    </row>
    <row r="66" spans="1:17" s="101" customFormat="1" x14ac:dyDescent="0.35">
      <c r="A66" s="90"/>
      <c r="B66" s="91"/>
      <c r="C66" s="91"/>
      <c r="D66" s="91"/>
      <c r="E66" s="91"/>
      <c r="F66" s="91"/>
      <c r="G66" s="91"/>
      <c r="H66" s="91"/>
      <c r="I66" s="91"/>
      <c r="J66" s="91"/>
      <c r="K66" s="94"/>
      <c r="L66" s="94"/>
      <c r="M66" s="94"/>
      <c r="N66" s="91"/>
      <c r="O66" s="91"/>
      <c r="P66" s="91"/>
      <c r="Q66" s="91"/>
    </row>
    <row r="67" spans="1:17" s="101" customFormat="1" x14ac:dyDescent="0.35">
      <c r="A67" s="90"/>
      <c r="B67" s="91"/>
      <c r="C67" s="91"/>
      <c r="D67" s="91"/>
      <c r="E67" s="91"/>
      <c r="F67" s="91"/>
      <c r="G67" s="91"/>
      <c r="H67" s="91"/>
      <c r="I67" s="91"/>
      <c r="J67" s="91"/>
      <c r="K67" s="94"/>
      <c r="L67" s="94"/>
      <c r="M67" s="94"/>
      <c r="N67" s="91"/>
      <c r="O67" s="91"/>
      <c r="P67" s="91"/>
      <c r="Q67" s="91"/>
    </row>
    <row r="68" spans="1:17" s="101" customFormat="1" x14ac:dyDescent="0.35">
      <c r="A68" s="90"/>
      <c r="B68" s="91"/>
      <c r="C68" s="91"/>
      <c r="D68" s="91"/>
      <c r="E68" s="91"/>
      <c r="F68" s="91"/>
      <c r="G68" s="91"/>
      <c r="H68" s="91"/>
      <c r="I68" s="91"/>
      <c r="J68" s="91"/>
      <c r="K68" s="94"/>
      <c r="L68" s="94"/>
      <c r="M68" s="94"/>
      <c r="N68" s="91"/>
      <c r="O68" s="91"/>
      <c r="P68" s="91"/>
      <c r="Q68" s="91"/>
    </row>
    <row r="69" spans="1:17" s="101" customFormat="1" x14ac:dyDescent="0.35">
      <c r="A69" s="90"/>
      <c r="B69" s="91"/>
      <c r="C69" s="91"/>
      <c r="D69" s="91"/>
      <c r="E69" s="91"/>
      <c r="F69" s="91"/>
      <c r="G69" s="91"/>
      <c r="H69" s="91"/>
      <c r="I69" s="91"/>
      <c r="J69" s="91"/>
      <c r="K69" s="94"/>
      <c r="L69" s="94"/>
      <c r="M69" s="94"/>
      <c r="N69" s="91"/>
      <c r="O69" s="91"/>
      <c r="P69" s="91"/>
      <c r="Q69" s="91"/>
    </row>
    <row r="70" spans="1:17" s="101" customFormat="1" x14ac:dyDescent="0.35">
      <c r="A70" s="90"/>
      <c r="B70" s="91"/>
      <c r="C70" s="91"/>
      <c r="D70" s="91"/>
      <c r="E70" s="91"/>
      <c r="F70" s="91"/>
      <c r="G70" s="91"/>
      <c r="H70" s="91"/>
      <c r="I70" s="91"/>
      <c r="J70" s="91"/>
      <c r="K70" s="94"/>
      <c r="L70" s="94"/>
      <c r="M70" s="94"/>
      <c r="N70" s="91"/>
      <c r="O70" s="91"/>
      <c r="P70" s="91"/>
      <c r="Q70" s="91"/>
    </row>
    <row r="71" spans="1:17" s="101" customFormat="1" x14ac:dyDescent="0.35">
      <c r="A71" s="90"/>
      <c r="B71" s="91"/>
      <c r="C71" s="91"/>
      <c r="D71" s="91"/>
      <c r="E71" s="91"/>
      <c r="F71" s="91"/>
      <c r="G71" s="91"/>
      <c r="H71" s="91"/>
      <c r="I71" s="91"/>
      <c r="J71" s="91"/>
      <c r="K71" s="94"/>
      <c r="L71" s="94"/>
      <c r="M71" s="94"/>
      <c r="N71" s="91"/>
      <c r="O71" s="91"/>
      <c r="P71" s="91"/>
      <c r="Q71" s="91"/>
    </row>
    <row r="72" spans="1:17" s="101" customFormat="1" x14ac:dyDescent="0.35">
      <c r="A72" s="90"/>
      <c r="B72" s="91"/>
      <c r="C72" s="91"/>
      <c r="D72" s="91"/>
      <c r="E72" s="91"/>
      <c r="F72" s="91"/>
      <c r="G72" s="91"/>
      <c r="H72" s="91"/>
      <c r="I72" s="91"/>
      <c r="J72" s="91"/>
      <c r="K72" s="94"/>
      <c r="L72" s="94"/>
      <c r="M72" s="94"/>
      <c r="N72" s="91"/>
      <c r="O72" s="91"/>
      <c r="P72" s="91"/>
      <c r="Q72" s="91"/>
    </row>
    <row r="73" spans="1:17" s="101" customFormat="1" x14ac:dyDescent="0.35">
      <c r="A73" s="90"/>
      <c r="B73" s="91"/>
      <c r="C73" s="91"/>
      <c r="D73" s="91"/>
      <c r="E73" s="91"/>
      <c r="F73" s="91"/>
      <c r="G73" s="91"/>
      <c r="H73" s="91"/>
      <c r="I73" s="91"/>
      <c r="J73" s="91"/>
      <c r="K73" s="94"/>
      <c r="L73" s="94"/>
      <c r="M73" s="94"/>
      <c r="N73" s="91"/>
      <c r="O73" s="91"/>
      <c r="P73" s="91"/>
      <c r="Q73" s="91"/>
    </row>
    <row r="74" spans="1:17" s="101" customFormat="1" x14ac:dyDescent="0.35">
      <c r="A74" s="90"/>
      <c r="B74" s="91"/>
      <c r="C74" s="91"/>
      <c r="D74" s="91"/>
      <c r="E74" s="91"/>
      <c r="F74" s="91"/>
      <c r="G74" s="91"/>
      <c r="H74" s="91"/>
      <c r="I74" s="91"/>
      <c r="J74" s="91"/>
      <c r="K74" s="94"/>
      <c r="L74" s="94"/>
      <c r="M74" s="94"/>
      <c r="N74" s="91"/>
      <c r="O74" s="91"/>
      <c r="P74" s="91"/>
      <c r="Q74" s="91"/>
    </row>
    <row r="75" spans="1:17" s="101" customFormat="1" x14ac:dyDescent="0.35">
      <c r="A75" s="90"/>
      <c r="B75" s="91"/>
      <c r="C75" s="91"/>
      <c r="D75" s="91"/>
      <c r="E75" s="91"/>
      <c r="F75" s="91"/>
      <c r="G75" s="91"/>
      <c r="H75" s="91"/>
      <c r="I75" s="91"/>
      <c r="J75" s="91"/>
      <c r="K75" s="94"/>
      <c r="L75" s="94"/>
      <c r="M75" s="94"/>
      <c r="N75" s="91"/>
      <c r="O75" s="91"/>
      <c r="P75" s="91"/>
      <c r="Q75" s="91"/>
    </row>
    <row r="76" spans="1:17" s="101" customFormat="1" x14ac:dyDescent="0.35">
      <c r="A76" s="90"/>
      <c r="B76" s="91"/>
      <c r="C76" s="91"/>
      <c r="D76" s="91"/>
      <c r="E76" s="91"/>
      <c r="F76" s="91"/>
      <c r="G76" s="91"/>
      <c r="H76" s="91"/>
      <c r="I76" s="91"/>
      <c r="J76" s="91"/>
      <c r="K76" s="94"/>
      <c r="L76" s="94"/>
      <c r="M76" s="94"/>
      <c r="N76" s="91"/>
      <c r="O76" s="91"/>
      <c r="P76" s="91"/>
      <c r="Q76" s="91"/>
    </row>
    <row r="77" spans="1:17" s="101" customFormat="1" x14ac:dyDescent="0.35">
      <c r="A77" s="90"/>
      <c r="B77" s="91"/>
      <c r="C77" s="91"/>
      <c r="D77" s="91"/>
      <c r="E77" s="91"/>
      <c r="F77" s="91"/>
      <c r="G77" s="91"/>
      <c r="H77" s="91"/>
      <c r="I77" s="91"/>
      <c r="J77" s="91"/>
      <c r="K77" s="94"/>
      <c r="L77" s="94"/>
      <c r="M77" s="94"/>
      <c r="N77" s="91"/>
      <c r="O77" s="91"/>
      <c r="P77" s="91"/>
      <c r="Q77" s="91"/>
    </row>
    <row r="78" spans="1:17" s="101" customFormat="1" x14ac:dyDescent="0.35">
      <c r="A78" s="90"/>
      <c r="B78" s="91"/>
      <c r="C78" s="91"/>
      <c r="D78" s="91"/>
      <c r="E78" s="91"/>
      <c r="F78" s="91"/>
      <c r="G78" s="91"/>
      <c r="H78" s="91"/>
      <c r="I78" s="91"/>
      <c r="J78" s="91"/>
      <c r="K78" s="94"/>
      <c r="L78" s="94"/>
      <c r="M78" s="94"/>
      <c r="N78" s="91"/>
      <c r="O78" s="91"/>
      <c r="P78" s="91"/>
      <c r="Q78" s="91"/>
    </row>
    <row r="79" spans="1:17" s="101" customFormat="1" x14ac:dyDescent="0.35">
      <c r="A79" s="90"/>
      <c r="B79" s="91"/>
      <c r="C79" s="91"/>
      <c r="D79" s="91"/>
      <c r="E79" s="91"/>
      <c r="F79" s="91"/>
      <c r="G79" s="91"/>
      <c r="H79" s="91"/>
      <c r="I79" s="91"/>
      <c r="J79" s="91"/>
      <c r="K79" s="94"/>
      <c r="L79" s="94"/>
      <c r="M79" s="94"/>
      <c r="N79" s="91"/>
      <c r="O79" s="91"/>
      <c r="P79" s="91"/>
      <c r="Q79" s="91"/>
    </row>
    <row r="80" spans="1:17" s="101" customFormat="1" x14ac:dyDescent="0.35">
      <c r="A80" s="90"/>
      <c r="B80" s="91"/>
      <c r="C80" s="91"/>
      <c r="D80" s="91"/>
      <c r="E80" s="91"/>
      <c r="F80" s="91"/>
      <c r="G80" s="91"/>
      <c r="H80" s="91"/>
      <c r="I80" s="91"/>
      <c r="J80" s="91"/>
      <c r="K80" s="94"/>
      <c r="L80" s="94"/>
      <c r="M80" s="94"/>
      <c r="N80" s="91"/>
      <c r="O80" s="91"/>
      <c r="P80" s="91"/>
      <c r="Q80" s="91"/>
    </row>
    <row r="81" spans="1:17" s="101" customFormat="1" x14ac:dyDescent="0.35">
      <c r="A81" s="90"/>
      <c r="B81" s="91"/>
      <c r="C81" s="91"/>
      <c r="D81" s="91"/>
      <c r="E81" s="91"/>
      <c r="F81" s="91"/>
      <c r="G81" s="91"/>
      <c r="H81" s="91"/>
      <c r="I81" s="91"/>
      <c r="J81" s="91"/>
      <c r="K81" s="94"/>
      <c r="L81" s="94"/>
      <c r="M81" s="94"/>
      <c r="N81" s="91"/>
      <c r="O81" s="91"/>
      <c r="P81" s="91"/>
      <c r="Q81" s="91"/>
    </row>
    <row r="82" spans="1:17" s="101" customFormat="1" x14ac:dyDescent="0.35">
      <c r="A82" s="90"/>
      <c r="B82" s="91"/>
      <c r="C82" s="91"/>
      <c r="D82" s="91"/>
      <c r="E82" s="91"/>
      <c r="F82" s="91"/>
      <c r="G82" s="91"/>
      <c r="H82" s="91"/>
      <c r="I82" s="91"/>
      <c r="J82" s="91"/>
      <c r="K82" s="94"/>
      <c r="L82" s="94"/>
      <c r="M82" s="94"/>
      <c r="N82" s="91"/>
      <c r="O82" s="91"/>
      <c r="P82" s="91"/>
      <c r="Q82" s="91"/>
    </row>
    <row r="83" spans="1:17" s="101" customFormat="1" x14ac:dyDescent="0.35">
      <c r="A83" s="90"/>
      <c r="B83" s="91"/>
      <c r="C83" s="91"/>
      <c r="D83" s="91"/>
      <c r="E83" s="91"/>
      <c r="F83" s="91"/>
      <c r="G83" s="91"/>
      <c r="H83" s="91"/>
      <c r="I83" s="91"/>
      <c r="J83" s="91"/>
      <c r="K83" s="94"/>
      <c r="L83" s="94"/>
      <c r="M83" s="94"/>
      <c r="N83" s="91"/>
      <c r="O83" s="91"/>
      <c r="P83" s="91"/>
      <c r="Q83" s="91"/>
    </row>
    <row r="84" spans="1:17" s="101" customFormat="1" x14ac:dyDescent="0.35">
      <c r="A84" s="90"/>
      <c r="B84" s="91"/>
      <c r="C84" s="91"/>
      <c r="D84" s="91"/>
      <c r="E84" s="91"/>
      <c r="F84" s="91"/>
      <c r="G84" s="91"/>
      <c r="H84" s="91"/>
      <c r="I84" s="91"/>
      <c r="J84" s="91"/>
      <c r="K84" s="94"/>
      <c r="L84" s="94"/>
      <c r="M84" s="94"/>
      <c r="N84" s="91"/>
      <c r="O84" s="91"/>
      <c r="P84" s="91"/>
      <c r="Q84" s="91"/>
    </row>
    <row r="85" spans="1:17" s="101" customFormat="1" x14ac:dyDescent="0.35">
      <c r="A85" s="90"/>
      <c r="B85" s="91"/>
      <c r="C85" s="91"/>
      <c r="D85" s="91"/>
      <c r="E85" s="91"/>
      <c r="F85" s="91"/>
      <c r="G85" s="91"/>
      <c r="H85" s="91"/>
      <c r="I85" s="91"/>
      <c r="J85" s="91"/>
      <c r="K85" s="94"/>
      <c r="L85" s="94"/>
      <c r="M85" s="94"/>
      <c r="N85" s="91"/>
      <c r="O85" s="91"/>
      <c r="P85" s="91"/>
      <c r="Q85" s="91"/>
    </row>
    <row r="86" spans="1:17" s="101" customFormat="1" x14ac:dyDescent="0.35">
      <c r="A86" s="90"/>
      <c r="B86" s="91"/>
      <c r="C86" s="91"/>
      <c r="D86" s="91"/>
      <c r="E86" s="91"/>
      <c r="F86" s="91"/>
      <c r="G86" s="91"/>
      <c r="H86" s="91"/>
      <c r="I86" s="91"/>
      <c r="J86" s="91"/>
      <c r="K86" s="94"/>
      <c r="L86" s="94"/>
      <c r="M86" s="94"/>
      <c r="N86" s="91"/>
      <c r="O86" s="91"/>
      <c r="P86" s="91"/>
      <c r="Q86" s="91"/>
    </row>
    <row r="87" spans="1:17" s="101" customFormat="1" x14ac:dyDescent="0.35">
      <c r="A87" s="90"/>
      <c r="B87" s="91"/>
      <c r="C87" s="91"/>
      <c r="D87" s="91"/>
      <c r="E87" s="91"/>
      <c r="F87" s="91"/>
      <c r="G87" s="91"/>
      <c r="H87" s="91"/>
      <c r="I87" s="91"/>
      <c r="J87" s="91"/>
      <c r="K87" s="94"/>
      <c r="L87" s="94"/>
      <c r="M87" s="94"/>
      <c r="N87" s="91"/>
      <c r="O87" s="91"/>
      <c r="P87" s="91"/>
      <c r="Q87" s="91"/>
    </row>
    <row r="88" spans="1:17" s="101" customFormat="1" x14ac:dyDescent="0.35">
      <c r="A88" s="90"/>
      <c r="B88" s="91"/>
      <c r="C88" s="91"/>
      <c r="D88" s="91"/>
      <c r="E88" s="91"/>
      <c r="F88" s="91"/>
      <c r="G88" s="91"/>
      <c r="H88" s="91"/>
      <c r="I88" s="91"/>
      <c r="J88" s="91"/>
      <c r="K88" s="94"/>
      <c r="L88" s="94"/>
      <c r="M88" s="94"/>
      <c r="N88" s="91"/>
      <c r="O88" s="91"/>
      <c r="P88" s="91"/>
      <c r="Q88" s="91"/>
    </row>
    <row r="89" spans="1:17" s="101" customFormat="1" x14ac:dyDescent="0.35">
      <c r="A89" s="90"/>
      <c r="B89" s="91"/>
      <c r="C89" s="91"/>
      <c r="D89" s="91"/>
      <c r="E89" s="91"/>
      <c r="F89" s="91"/>
      <c r="G89" s="91"/>
      <c r="H89" s="91"/>
      <c r="I89" s="91"/>
      <c r="J89" s="91"/>
      <c r="K89" s="94"/>
      <c r="L89" s="94"/>
      <c r="M89" s="94"/>
      <c r="N89" s="91"/>
      <c r="O89" s="91"/>
      <c r="P89" s="91"/>
      <c r="Q89" s="91"/>
    </row>
    <row r="90" spans="1:17" s="101" customFormat="1" x14ac:dyDescent="0.35">
      <c r="A90" s="90"/>
      <c r="B90" s="91"/>
      <c r="C90" s="91"/>
      <c r="D90" s="91"/>
      <c r="E90" s="91"/>
      <c r="F90" s="91"/>
      <c r="G90" s="91"/>
      <c r="H90" s="91"/>
      <c r="I90" s="91"/>
      <c r="J90" s="91"/>
      <c r="K90" s="94"/>
      <c r="L90" s="94"/>
      <c r="M90" s="94"/>
      <c r="N90" s="91"/>
      <c r="O90" s="91"/>
      <c r="P90" s="91"/>
      <c r="Q90" s="91"/>
    </row>
    <row r="91" spans="1:17" s="101" customFormat="1" x14ac:dyDescent="0.35">
      <c r="A91" s="90"/>
      <c r="B91" s="91"/>
      <c r="C91" s="91"/>
      <c r="D91" s="91"/>
      <c r="E91" s="91"/>
      <c r="F91" s="91"/>
      <c r="G91" s="91"/>
      <c r="H91" s="91"/>
      <c r="I91" s="91"/>
      <c r="J91" s="91"/>
      <c r="K91" s="94"/>
      <c r="L91" s="94"/>
      <c r="M91" s="94"/>
      <c r="N91" s="91"/>
      <c r="O91" s="91"/>
      <c r="P91" s="91"/>
      <c r="Q91" s="91"/>
    </row>
    <row r="92" spans="1:17" s="101" customFormat="1" x14ac:dyDescent="0.35">
      <c r="A92" s="90"/>
      <c r="B92" s="91"/>
      <c r="C92" s="91"/>
      <c r="D92" s="91"/>
      <c r="E92" s="91"/>
      <c r="F92" s="91"/>
      <c r="G92" s="91"/>
      <c r="H92" s="91"/>
      <c r="I92" s="91"/>
      <c r="J92" s="91"/>
      <c r="K92" s="94"/>
      <c r="L92" s="94"/>
      <c r="M92" s="94"/>
      <c r="N92" s="91"/>
      <c r="O92" s="91"/>
      <c r="P92" s="91"/>
      <c r="Q92" s="91"/>
    </row>
    <row r="93" spans="1:17" s="101" customFormat="1" x14ac:dyDescent="0.35">
      <c r="A93" s="90"/>
      <c r="B93" s="91"/>
      <c r="C93" s="91"/>
      <c r="D93" s="91"/>
      <c r="E93" s="91"/>
      <c r="F93" s="91"/>
      <c r="G93" s="91"/>
      <c r="H93" s="91"/>
      <c r="I93" s="91"/>
      <c r="J93" s="91"/>
      <c r="K93" s="94"/>
      <c r="L93" s="94"/>
      <c r="M93" s="94"/>
      <c r="N93" s="91"/>
      <c r="O93" s="91"/>
      <c r="P93" s="91"/>
      <c r="Q93" s="91"/>
    </row>
    <row r="94" spans="1:17" s="101" customFormat="1" x14ac:dyDescent="0.35">
      <c r="A94" s="90"/>
      <c r="B94" s="91"/>
      <c r="C94" s="91"/>
      <c r="D94" s="91"/>
      <c r="E94" s="91"/>
      <c r="F94" s="91"/>
      <c r="G94" s="91"/>
      <c r="H94" s="91"/>
      <c r="I94" s="91"/>
      <c r="J94" s="91"/>
      <c r="K94" s="94"/>
      <c r="L94" s="94"/>
      <c r="M94" s="94"/>
      <c r="N94" s="91"/>
      <c r="O94" s="91"/>
      <c r="P94" s="91"/>
      <c r="Q94" s="91"/>
    </row>
    <row r="95" spans="1:17" s="101" customFormat="1" x14ac:dyDescent="0.35">
      <c r="A95" s="90"/>
      <c r="B95" s="91"/>
      <c r="C95" s="91"/>
      <c r="D95" s="91"/>
      <c r="E95" s="91"/>
      <c r="F95" s="91"/>
      <c r="G95" s="91"/>
      <c r="H95" s="91"/>
      <c r="I95" s="91"/>
      <c r="J95" s="91"/>
      <c r="K95" s="94"/>
      <c r="L95" s="94"/>
      <c r="M95" s="94"/>
      <c r="N95" s="91"/>
      <c r="O95" s="91"/>
      <c r="P95" s="91"/>
      <c r="Q95" s="91"/>
    </row>
    <row r="96" spans="1:17" s="101" customFormat="1" x14ac:dyDescent="0.35">
      <c r="A96" s="90"/>
      <c r="B96" s="91"/>
      <c r="C96" s="91"/>
      <c r="D96" s="91"/>
      <c r="E96" s="91"/>
      <c r="F96" s="91"/>
      <c r="G96" s="91"/>
      <c r="H96" s="91"/>
      <c r="I96" s="91"/>
      <c r="J96" s="91"/>
      <c r="K96" s="94"/>
      <c r="L96" s="94"/>
      <c r="M96" s="94"/>
      <c r="N96" s="91"/>
      <c r="O96" s="91"/>
      <c r="P96" s="91"/>
      <c r="Q96" s="91"/>
    </row>
    <row r="97" spans="1:17" s="101" customFormat="1" x14ac:dyDescent="0.35">
      <c r="A97" s="90"/>
      <c r="B97" s="91"/>
      <c r="C97" s="91"/>
      <c r="D97" s="91"/>
      <c r="E97" s="91"/>
      <c r="F97" s="91"/>
      <c r="G97" s="91"/>
      <c r="H97" s="91"/>
      <c r="I97" s="91"/>
      <c r="J97" s="91"/>
      <c r="K97" s="94"/>
      <c r="L97" s="94"/>
      <c r="M97" s="94"/>
      <c r="N97" s="91"/>
      <c r="O97" s="91"/>
      <c r="P97" s="91"/>
      <c r="Q97" s="91"/>
    </row>
    <row r="98" spans="1:17" s="101" customFormat="1" x14ac:dyDescent="0.35">
      <c r="A98" s="90"/>
      <c r="B98" s="91"/>
      <c r="C98" s="91"/>
      <c r="D98" s="91"/>
      <c r="E98" s="91"/>
      <c r="F98" s="91"/>
      <c r="G98" s="91"/>
      <c r="H98" s="91"/>
      <c r="I98" s="91"/>
      <c r="J98" s="91"/>
      <c r="K98" s="94"/>
      <c r="L98" s="94"/>
      <c r="M98" s="94"/>
      <c r="N98" s="91"/>
      <c r="O98" s="91"/>
      <c r="P98" s="91"/>
      <c r="Q98" s="91"/>
    </row>
    <row r="99" spans="1:17" s="101" customFormat="1" x14ac:dyDescent="0.35">
      <c r="A99" s="90"/>
      <c r="B99" s="91"/>
      <c r="C99" s="91"/>
      <c r="D99" s="91"/>
      <c r="E99" s="91"/>
      <c r="F99" s="91"/>
      <c r="G99" s="91"/>
      <c r="H99" s="91"/>
      <c r="I99" s="91"/>
      <c r="J99" s="91"/>
      <c r="K99" s="94"/>
      <c r="L99" s="94"/>
      <c r="M99" s="94"/>
      <c r="N99" s="91"/>
      <c r="O99" s="91"/>
      <c r="P99" s="91"/>
      <c r="Q99" s="91"/>
    </row>
    <row r="100" spans="1:17" s="101" customFormat="1" x14ac:dyDescent="0.35">
      <c r="A100" s="90"/>
      <c r="B100" s="91"/>
      <c r="C100" s="91"/>
      <c r="D100" s="91"/>
      <c r="E100" s="91"/>
      <c r="F100" s="91"/>
      <c r="G100" s="91"/>
      <c r="H100" s="91"/>
      <c r="I100" s="91"/>
      <c r="J100" s="91"/>
      <c r="K100" s="94"/>
      <c r="L100" s="94"/>
      <c r="M100" s="94"/>
      <c r="N100" s="91"/>
      <c r="O100" s="91"/>
      <c r="P100" s="91"/>
      <c r="Q100" s="91"/>
    </row>
    <row r="101" spans="1:17" s="101" customFormat="1" x14ac:dyDescent="0.35">
      <c r="A101" s="90"/>
      <c r="B101" s="91"/>
      <c r="C101" s="91"/>
      <c r="D101" s="91"/>
      <c r="E101" s="91"/>
      <c r="F101" s="91"/>
      <c r="G101" s="91"/>
      <c r="H101" s="91"/>
      <c r="I101" s="91"/>
      <c r="J101" s="91"/>
      <c r="K101" s="94"/>
      <c r="L101" s="94"/>
      <c r="M101" s="94"/>
      <c r="N101" s="91"/>
      <c r="O101" s="91"/>
      <c r="P101" s="91"/>
      <c r="Q101" s="91"/>
    </row>
    <row r="102" spans="1:17" s="101" customFormat="1" x14ac:dyDescent="0.35">
      <c r="A102" s="90"/>
      <c r="B102" s="91"/>
      <c r="C102" s="91"/>
      <c r="D102" s="91"/>
      <c r="E102" s="91"/>
      <c r="F102" s="91"/>
      <c r="G102" s="91"/>
      <c r="H102" s="91"/>
      <c r="I102" s="91"/>
      <c r="J102" s="91"/>
      <c r="K102" s="94"/>
      <c r="L102" s="94"/>
      <c r="M102" s="94"/>
      <c r="N102" s="91"/>
      <c r="O102" s="91"/>
      <c r="P102" s="91"/>
      <c r="Q102" s="91"/>
    </row>
    <row r="103" spans="1:17" s="101" customFormat="1" x14ac:dyDescent="0.35">
      <c r="A103" s="90"/>
      <c r="B103" s="91"/>
      <c r="C103" s="91"/>
      <c r="D103" s="91"/>
      <c r="E103" s="91"/>
      <c r="F103" s="91"/>
      <c r="G103" s="91"/>
      <c r="H103" s="91"/>
      <c r="I103" s="91"/>
      <c r="J103" s="91"/>
      <c r="K103" s="94"/>
      <c r="L103" s="94"/>
      <c r="M103" s="94"/>
      <c r="N103" s="91"/>
      <c r="O103" s="91"/>
      <c r="P103" s="91"/>
      <c r="Q103" s="91"/>
    </row>
    <row r="104" spans="1:17" s="101" customFormat="1" x14ac:dyDescent="0.35">
      <c r="A104" s="90"/>
      <c r="B104" s="91"/>
      <c r="C104" s="91"/>
      <c r="D104" s="91"/>
      <c r="E104" s="91"/>
      <c r="F104" s="91"/>
      <c r="G104" s="91"/>
      <c r="H104" s="91"/>
      <c r="I104" s="91"/>
      <c r="J104" s="91"/>
      <c r="K104" s="94"/>
      <c r="L104" s="94"/>
      <c r="M104" s="94"/>
      <c r="N104" s="91"/>
      <c r="O104" s="91"/>
      <c r="P104" s="91"/>
      <c r="Q104" s="91"/>
    </row>
    <row r="105" spans="1:17" s="101" customFormat="1" x14ac:dyDescent="0.35">
      <c r="A105" s="90"/>
      <c r="B105" s="91"/>
      <c r="C105" s="91"/>
      <c r="D105" s="91"/>
      <c r="E105" s="91"/>
      <c r="F105" s="91"/>
      <c r="G105" s="91"/>
      <c r="H105" s="91"/>
      <c r="I105" s="91"/>
      <c r="J105" s="91"/>
      <c r="K105" s="94"/>
      <c r="L105" s="94"/>
      <c r="M105" s="94"/>
      <c r="N105" s="91"/>
      <c r="O105" s="91"/>
      <c r="P105" s="91"/>
      <c r="Q105" s="91"/>
    </row>
    <row r="106" spans="1:17" s="101" customFormat="1" x14ac:dyDescent="0.35">
      <c r="A106" s="90"/>
      <c r="B106" s="91"/>
      <c r="C106" s="91"/>
      <c r="D106" s="91"/>
      <c r="E106" s="91"/>
      <c r="F106" s="91"/>
      <c r="G106" s="91"/>
      <c r="H106" s="91"/>
      <c r="I106" s="91"/>
      <c r="J106" s="91"/>
      <c r="K106" s="94"/>
      <c r="L106" s="94"/>
      <c r="M106" s="94"/>
      <c r="N106" s="91"/>
      <c r="O106" s="91"/>
      <c r="P106" s="91"/>
      <c r="Q106" s="91"/>
    </row>
    <row r="107" spans="1:17" s="101" customFormat="1" x14ac:dyDescent="0.35">
      <c r="A107" s="90"/>
      <c r="B107" s="91"/>
      <c r="C107" s="91"/>
      <c r="D107" s="91"/>
      <c r="E107" s="91"/>
      <c r="F107" s="91"/>
      <c r="G107" s="91"/>
      <c r="H107" s="91"/>
      <c r="I107" s="91"/>
      <c r="J107" s="91"/>
      <c r="K107" s="94"/>
      <c r="L107" s="94"/>
      <c r="M107" s="94"/>
      <c r="N107" s="91"/>
      <c r="O107" s="91"/>
      <c r="P107" s="91"/>
      <c r="Q107" s="91"/>
    </row>
    <row r="108" spans="1:17" s="101" customFormat="1" x14ac:dyDescent="0.35">
      <c r="A108" s="90"/>
      <c r="B108" s="91"/>
      <c r="C108" s="91"/>
      <c r="D108" s="91"/>
      <c r="E108" s="91"/>
      <c r="F108" s="91"/>
      <c r="G108" s="91"/>
      <c r="H108" s="91"/>
      <c r="I108" s="91"/>
      <c r="J108" s="91"/>
      <c r="K108" s="94"/>
      <c r="L108" s="94"/>
      <c r="M108" s="94"/>
      <c r="N108" s="91"/>
      <c r="O108" s="91"/>
      <c r="P108" s="91"/>
      <c r="Q108" s="91"/>
    </row>
    <row r="109" spans="1:17" s="101" customFormat="1" x14ac:dyDescent="0.35">
      <c r="A109" s="90"/>
      <c r="B109" s="91"/>
      <c r="C109" s="91"/>
      <c r="D109" s="91"/>
      <c r="E109" s="91"/>
      <c r="F109" s="91"/>
      <c r="G109" s="91"/>
      <c r="H109" s="91"/>
      <c r="I109" s="91"/>
      <c r="J109" s="91"/>
      <c r="K109" s="94"/>
      <c r="L109" s="94"/>
      <c r="M109" s="94"/>
      <c r="N109" s="91"/>
      <c r="O109" s="91"/>
      <c r="P109" s="91"/>
      <c r="Q109" s="91"/>
    </row>
    <row r="110" spans="1:17" s="101" customFormat="1" x14ac:dyDescent="0.35">
      <c r="A110" s="90"/>
      <c r="B110" s="91"/>
      <c r="C110" s="91"/>
      <c r="D110" s="91"/>
      <c r="E110" s="91"/>
      <c r="F110" s="91"/>
      <c r="G110" s="91"/>
      <c r="H110" s="91"/>
      <c r="I110" s="91"/>
      <c r="J110" s="91"/>
      <c r="K110" s="94"/>
      <c r="L110" s="94"/>
      <c r="M110" s="94"/>
      <c r="N110" s="91"/>
      <c r="O110" s="91"/>
      <c r="P110" s="91"/>
      <c r="Q110" s="91"/>
    </row>
    <row r="111" spans="1:17" s="101" customFormat="1" x14ac:dyDescent="0.35">
      <c r="A111" s="90"/>
      <c r="B111" s="91"/>
      <c r="C111" s="91"/>
      <c r="D111" s="91"/>
      <c r="E111" s="91"/>
      <c r="F111" s="91"/>
      <c r="G111" s="91"/>
      <c r="H111" s="91"/>
      <c r="I111" s="91"/>
      <c r="J111" s="91"/>
      <c r="K111" s="94"/>
      <c r="L111" s="94"/>
      <c r="M111" s="94"/>
      <c r="N111" s="91"/>
      <c r="O111" s="91"/>
      <c r="P111" s="91"/>
      <c r="Q111" s="91"/>
    </row>
    <row r="112" spans="1:17" s="101" customFormat="1" x14ac:dyDescent="0.35">
      <c r="A112" s="90"/>
      <c r="B112" s="91"/>
      <c r="C112" s="91"/>
      <c r="D112" s="91"/>
      <c r="E112" s="91"/>
      <c r="F112" s="91"/>
      <c r="G112" s="91"/>
      <c r="H112" s="91"/>
      <c r="I112" s="91"/>
      <c r="J112" s="91"/>
      <c r="K112" s="94"/>
      <c r="L112" s="94"/>
      <c r="M112" s="94"/>
      <c r="N112" s="91"/>
      <c r="O112" s="91"/>
      <c r="P112" s="91"/>
      <c r="Q112" s="91"/>
    </row>
    <row r="113" spans="1:17" s="101" customFormat="1" x14ac:dyDescent="0.35">
      <c r="A113" s="90"/>
      <c r="B113" s="91"/>
      <c r="C113" s="91"/>
      <c r="D113" s="91"/>
      <c r="E113" s="91"/>
      <c r="F113" s="91"/>
      <c r="G113" s="91"/>
      <c r="H113" s="91"/>
      <c r="I113" s="91"/>
      <c r="J113" s="91"/>
      <c r="K113" s="94"/>
      <c r="L113" s="94"/>
      <c r="M113" s="94"/>
      <c r="N113" s="91"/>
      <c r="O113" s="91"/>
      <c r="P113" s="91"/>
      <c r="Q113" s="91"/>
    </row>
    <row r="114" spans="1:17" s="101" customFormat="1" x14ac:dyDescent="0.35">
      <c r="A114" s="90"/>
      <c r="B114" s="91"/>
      <c r="C114" s="91"/>
      <c r="D114" s="91"/>
      <c r="E114" s="91"/>
      <c r="F114" s="91"/>
      <c r="G114" s="91"/>
      <c r="H114" s="91"/>
      <c r="I114" s="91"/>
      <c r="J114" s="91"/>
      <c r="K114" s="94"/>
      <c r="L114" s="94"/>
      <c r="M114" s="94"/>
      <c r="N114" s="91"/>
      <c r="O114" s="91"/>
      <c r="P114" s="91"/>
      <c r="Q114" s="91"/>
    </row>
    <row r="115" spans="1:17" s="101" customFormat="1" x14ac:dyDescent="0.35">
      <c r="A115" s="90"/>
      <c r="B115" s="91"/>
      <c r="C115" s="91"/>
      <c r="D115" s="91"/>
      <c r="E115" s="91"/>
      <c r="F115" s="91"/>
      <c r="G115" s="91"/>
      <c r="H115" s="91"/>
      <c r="I115" s="91"/>
      <c r="J115" s="91"/>
      <c r="K115" s="94"/>
      <c r="L115" s="94"/>
      <c r="M115" s="94"/>
      <c r="N115" s="91"/>
      <c r="O115" s="91"/>
      <c r="P115" s="91"/>
      <c r="Q115" s="91"/>
    </row>
    <row r="116" spans="1:17" s="101" customFormat="1" x14ac:dyDescent="0.35">
      <c r="A116" s="90"/>
      <c r="B116" s="91"/>
      <c r="C116" s="91"/>
      <c r="D116" s="91"/>
      <c r="E116" s="91"/>
      <c r="F116" s="91"/>
      <c r="G116" s="91"/>
      <c r="H116" s="91"/>
      <c r="I116" s="91"/>
      <c r="J116" s="91"/>
      <c r="K116" s="94"/>
      <c r="L116" s="94"/>
      <c r="M116" s="94"/>
      <c r="N116" s="91"/>
      <c r="O116" s="91"/>
      <c r="P116" s="91"/>
      <c r="Q116" s="91"/>
    </row>
    <row r="117" spans="1:17" s="101" customFormat="1" x14ac:dyDescent="0.35">
      <c r="A117" s="90"/>
      <c r="B117" s="91"/>
      <c r="C117" s="91"/>
      <c r="D117" s="91"/>
      <c r="E117" s="91"/>
      <c r="F117" s="91"/>
      <c r="G117" s="91"/>
      <c r="H117" s="91"/>
      <c r="I117" s="91"/>
      <c r="J117" s="91"/>
      <c r="K117" s="94"/>
      <c r="L117" s="94"/>
      <c r="M117" s="94"/>
      <c r="N117" s="91"/>
      <c r="O117" s="91"/>
      <c r="P117" s="91"/>
      <c r="Q117" s="91"/>
    </row>
    <row r="118" spans="1:17" s="101" customFormat="1" x14ac:dyDescent="0.35">
      <c r="A118" s="90"/>
      <c r="B118" s="91"/>
      <c r="C118" s="91"/>
      <c r="D118" s="91"/>
      <c r="E118" s="91"/>
      <c r="F118" s="91"/>
      <c r="G118" s="91"/>
      <c r="H118" s="91"/>
      <c r="I118" s="91"/>
      <c r="J118" s="91"/>
      <c r="K118" s="94"/>
      <c r="L118" s="94"/>
      <c r="M118" s="94"/>
      <c r="N118" s="91"/>
      <c r="O118" s="91"/>
      <c r="P118" s="91"/>
      <c r="Q118" s="91"/>
    </row>
    <row r="119" spans="1:17" s="101" customFormat="1" x14ac:dyDescent="0.35">
      <c r="A119" s="90"/>
      <c r="B119" s="91"/>
      <c r="C119" s="91"/>
      <c r="D119" s="91"/>
      <c r="E119" s="91"/>
      <c r="F119" s="91"/>
      <c r="G119" s="91"/>
      <c r="H119" s="91"/>
      <c r="I119" s="91"/>
      <c r="J119" s="91"/>
      <c r="K119" s="94"/>
      <c r="L119" s="94"/>
      <c r="M119" s="94"/>
      <c r="N119" s="91"/>
      <c r="O119" s="91"/>
      <c r="P119" s="91"/>
      <c r="Q119" s="91"/>
    </row>
    <row r="120" spans="1:17" s="101" customFormat="1" x14ac:dyDescent="0.35">
      <c r="A120" s="90"/>
      <c r="B120" s="91"/>
      <c r="C120" s="91"/>
      <c r="D120" s="91"/>
      <c r="E120" s="91"/>
      <c r="F120" s="91"/>
      <c r="G120" s="91"/>
      <c r="H120" s="91"/>
      <c r="I120" s="91"/>
      <c r="J120" s="91"/>
      <c r="K120" s="94"/>
      <c r="L120" s="94"/>
      <c r="M120" s="94"/>
      <c r="N120" s="91"/>
      <c r="O120" s="91"/>
      <c r="P120" s="91"/>
      <c r="Q120" s="91"/>
    </row>
    <row r="121" spans="1:17" s="101" customFormat="1" x14ac:dyDescent="0.35">
      <c r="A121" s="90"/>
      <c r="B121" s="91"/>
      <c r="C121" s="91"/>
      <c r="D121" s="91"/>
      <c r="E121" s="91"/>
      <c r="F121" s="91"/>
      <c r="G121" s="91"/>
      <c r="H121" s="91"/>
      <c r="I121" s="91"/>
      <c r="J121" s="91"/>
      <c r="K121" s="94"/>
      <c r="L121" s="94"/>
      <c r="M121" s="94"/>
      <c r="N121" s="91"/>
      <c r="O121" s="91"/>
      <c r="P121" s="91"/>
      <c r="Q121" s="91"/>
    </row>
    <row r="122" spans="1:17" s="101" customFormat="1" x14ac:dyDescent="0.35">
      <c r="A122" s="90"/>
      <c r="B122" s="91"/>
      <c r="C122" s="91"/>
      <c r="D122" s="91"/>
      <c r="E122" s="91"/>
      <c r="F122" s="91"/>
      <c r="G122" s="91"/>
      <c r="H122" s="91"/>
      <c r="I122" s="91"/>
      <c r="J122" s="91"/>
      <c r="K122" s="94"/>
      <c r="L122" s="94"/>
      <c r="M122" s="94"/>
      <c r="N122" s="91"/>
      <c r="O122" s="91"/>
      <c r="P122" s="91"/>
      <c r="Q122" s="91"/>
    </row>
    <row r="123" spans="1:17" s="101" customFormat="1" x14ac:dyDescent="0.35">
      <c r="A123" s="90"/>
      <c r="B123" s="91"/>
      <c r="C123" s="91"/>
      <c r="D123" s="91"/>
      <c r="E123" s="91"/>
      <c r="F123" s="91"/>
      <c r="G123" s="91"/>
      <c r="H123" s="91"/>
      <c r="I123" s="91"/>
      <c r="J123" s="91"/>
      <c r="K123" s="94"/>
      <c r="L123" s="94"/>
      <c r="M123" s="94"/>
      <c r="N123" s="91"/>
      <c r="O123" s="91"/>
      <c r="P123" s="91"/>
      <c r="Q123" s="91"/>
    </row>
    <row r="124" spans="1:17" s="101" customFormat="1" x14ac:dyDescent="0.35">
      <c r="A124" s="90"/>
      <c r="B124" s="91"/>
      <c r="C124" s="91"/>
      <c r="D124" s="91"/>
      <c r="E124" s="91"/>
      <c r="F124" s="91"/>
      <c r="G124" s="91"/>
      <c r="H124" s="91"/>
      <c r="I124" s="91"/>
      <c r="J124" s="91"/>
      <c r="K124" s="94"/>
      <c r="L124" s="94"/>
      <c r="M124" s="94"/>
      <c r="N124" s="91"/>
      <c r="O124" s="91"/>
      <c r="P124" s="91"/>
      <c r="Q124" s="91"/>
    </row>
    <row r="125" spans="1:17" s="101" customFormat="1" x14ac:dyDescent="0.35">
      <c r="A125" s="90"/>
      <c r="B125" s="91"/>
      <c r="C125" s="91"/>
      <c r="D125" s="91"/>
      <c r="E125" s="91"/>
      <c r="F125" s="91"/>
      <c r="G125" s="91"/>
      <c r="H125" s="91"/>
      <c r="I125" s="91"/>
      <c r="J125" s="91"/>
      <c r="K125" s="94"/>
      <c r="L125" s="94"/>
      <c r="M125" s="94"/>
      <c r="N125" s="91"/>
      <c r="O125" s="91"/>
      <c r="P125" s="91"/>
      <c r="Q125" s="91"/>
    </row>
    <row r="126" spans="1:17" s="101" customFormat="1" x14ac:dyDescent="0.35">
      <c r="A126" s="90"/>
      <c r="B126" s="91"/>
      <c r="C126" s="91"/>
      <c r="D126" s="91"/>
      <c r="E126" s="91"/>
      <c r="F126" s="91"/>
      <c r="G126" s="91"/>
      <c r="H126" s="91"/>
      <c r="I126" s="91"/>
      <c r="J126" s="91"/>
      <c r="K126" s="94"/>
      <c r="L126" s="94"/>
      <c r="M126" s="94"/>
      <c r="N126" s="91"/>
      <c r="O126" s="91"/>
      <c r="P126" s="91"/>
      <c r="Q126" s="91"/>
    </row>
    <row r="127" spans="1:17" s="101" customFormat="1" x14ac:dyDescent="0.35">
      <c r="A127" s="90"/>
      <c r="B127" s="91"/>
      <c r="C127" s="91"/>
      <c r="D127" s="91"/>
      <c r="E127" s="91"/>
      <c r="F127" s="91"/>
      <c r="G127" s="91"/>
      <c r="H127" s="91"/>
      <c r="I127" s="91"/>
      <c r="J127" s="91"/>
      <c r="K127" s="94"/>
      <c r="L127" s="94"/>
      <c r="M127" s="94"/>
      <c r="N127" s="91"/>
      <c r="O127" s="91"/>
      <c r="P127" s="91"/>
      <c r="Q127" s="91"/>
    </row>
    <row r="128" spans="1:17" s="101" customFormat="1" x14ac:dyDescent="0.35">
      <c r="A128" s="90"/>
      <c r="B128" s="91"/>
      <c r="C128" s="91"/>
      <c r="D128" s="91"/>
      <c r="E128" s="91"/>
      <c r="F128" s="91"/>
      <c r="G128" s="91"/>
      <c r="H128" s="91"/>
      <c r="I128" s="91"/>
      <c r="J128" s="91"/>
      <c r="K128" s="94"/>
      <c r="L128" s="94"/>
      <c r="M128" s="94"/>
      <c r="N128" s="91"/>
      <c r="O128" s="91"/>
      <c r="P128" s="91"/>
      <c r="Q128" s="91"/>
    </row>
    <row r="129" spans="1:17" s="101" customFormat="1" x14ac:dyDescent="0.35">
      <c r="A129" s="90"/>
      <c r="B129" s="91"/>
      <c r="C129" s="91"/>
      <c r="D129" s="91"/>
      <c r="E129" s="91"/>
      <c r="F129" s="91"/>
      <c r="G129" s="91"/>
      <c r="H129" s="91"/>
      <c r="I129" s="91"/>
      <c r="J129" s="91"/>
      <c r="K129" s="94"/>
      <c r="L129" s="94"/>
      <c r="M129" s="94"/>
      <c r="N129" s="91"/>
      <c r="O129" s="91"/>
      <c r="P129" s="91"/>
      <c r="Q129" s="91"/>
    </row>
    <row r="130" spans="1:17" s="101" customFormat="1" x14ac:dyDescent="0.35">
      <c r="A130" s="90"/>
      <c r="B130" s="91"/>
      <c r="C130" s="91"/>
      <c r="D130" s="91"/>
      <c r="E130" s="91"/>
      <c r="F130" s="91"/>
      <c r="G130" s="91"/>
      <c r="H130" s="91"/>
      <c r="I130" s="91"/>
      <c r="J130" s="91"/>
      <c r="K130" s="94"/>
      <c r="L130" s="94"/>
      <c r="M130" s="94"/>
      <c r="N130" s="91"/>
      <c r="O130" s="91"/>
      <c r="P130" s="91"/>
      <c r="Q130" s="91"/>
    </row>
    <row r="131" spans="1:17" s="101" customFormat="1" x14ac:dyDescent="0.35">
      <c r="A131" s="90"/>
      <c r="B131" s="91"/>
      <c r="C131" s="91"/>
      <c r="D131" s="91"/>
      <c r="E131" s="91"/>
      <c r="F131" s="91"/>
      <c r="G131" s="91"/>
      <c r="H131" s="91"/>
      <c r="I131" s="91"/>
      <c r="J131" s="91"/>
      <c r="K131" s="94"/>
      <c r="L131" s="94"/>
      <c r="M131" s="94"/>
      <c r="N131" s="91"/>
      <c r="O131" s="91"/>
      <c r="P131" s="91"/>
      <c r="Q131" s="91"/>
    </row>
    <row r="132" spans="1:17" s="101" customFormat="1" x14ac:dyDescent="0.35">
      <c r="A132" s="90"/>
      <c r="B132" s="91"/>
      <c r="C132" s="91"/>
      <c r="D132" s="91"/>
      <c r="E132" s="91"/>
      <c r="F132" s="91"/>
      <c r="G132" s="91"/>
      <c r="H132" s="91"/>
      <c r="I132" s="91"/>
      <c r="J132" s="91"/>
      <c r="K132" s="94"/>
      <c r="L132" s="94"/>
      <c r="M132" s="94"/>
      <c r="N132" s="91"/>
      <c r="O132" s="91"/>
      <c r="P132" s="91"/>
      <c r="Q132" s="91"/>
    </row>
    <row r="133" spans="1:17" s="101" customFormat="1" x14ac:dyDescent="0.35">
      <c r="A133" s="90"/>
      <c r="B133" s="91"/>
      <c r="C133" s="91"/>
      <c r="D133" s="91"/>
      <c r="E133" s="91"/>
      <c r="F133" s="91"/>
      <c r="G133" s="91"/>
      <c r="H133" s="91"/>
      <c r="I133" s="91"/>
      <c r="J133" s="91"/>
      <c r="K133" s="94"/>
      <c r="L133" s="94"/>
      <c r="M133" s="94"/>
      <c r="N133" s="91"/>
      <c r="O133" s="91"/>
      <c r="P133" s="91"/>
      <c r="Q133" s="91"/>
    </row>
    <row r="134" spans="1:17" s="101" customFormat="1" x14ac:dyDescent="0.35">
      <c r="A134" s="90"/>
      <c r="B134" s="91"/>
      <c r="C134" s="91"/>
      <c r="D134" s="91"/>
      <c r="E134" s="91"/>
      <c r="F134" s="91"/>
      <c r="G134" s="91"/>
      <c r="H134" s="91"/>
      <c r="I134" s="91"/>
      <c r="J134" s="91"/>
      <c r="K134" s="94"/>
      <c r="L134" s="94"/>
      <c r="M134" s="94"/>
      <c r="N134" s="91"/>
      <c r="O134" s="91"/>
      <c r="P134" s="91"/>
      <c r="Q134" s="91"/>
    </row>
    <row r="135" spans="1:17" s="101" customFormat="1" x14ac:dyDescent="0.35">
      <c r="A135" s="90"/>
      <c r="B135" s="91"/>
      <c r="C135" s="91"/>
      <c r="D135" s="91"/>
      <c r="E135" s="91"/>
      <c r="F135" s="91"/>
      <c r="G135" s="91"/>
      <c r="H135" s="91"/>
      <c r="I135" s="91"/>
      <c r="J135" s="91"/>
      <c r="K135" s="94"/>
      <c r="L135" s="94"/>
      <c r="M135" s="94"/>
      <c r="N135" s="91"/>
      <c r="O135" s="91"/>
      <c r="P135" s="91"/>
      <c r="Q135" s="91"/>
    </row>
    <row r="136" spans="1:17" s="101" customFormat="1" x14ac:dyDescent="0.35">
      <c r="A136" s="90"/>
      <c r="B136" s="91"/>
      <c r="C136" s="91"/>
      <c r="D136" s="91"/>
      <c r="E136" s="91"/>
      <c r="F136" s="91"/>
      <c r="G136" s="91"/>
      <c r="H136" s="91"/>
      <c r="I136" s="91"/>
      <c r="J136" s="91"/>
      <c r="K136" s="94"/>
      <c r="L136" s="94"/>
      <c r="M136" s="94"/>
      <c r="N136" s="91"/>
      <c r="O136" s="91"/>
      <c r="P136" s="91"/>
      <c r="Q136" s="91"/>
    </row>
    <row r="137" spans="1:17" s="101" customFormat="1" x14ac:dyDescent="0.35">
      <c r="A137" s="90"/>
      <c r="B137" s="91"/>
      <c r="C137" s="91"/>
      <c r="D137" s="91"/>
      <c r="E137" s="91"/>
      <c r="F137" s="91"/>
      <c r="G137" s="91"/>
      <c r="H137" s="91"/>
      <c r="I137" s="91"/>
      <c r="J137" s="91"/>
      <c r="K137" s="94"/>
      <c r="L137" s="94"/>
      <c r="M137" s="94"/>
      <c r="N137" s="91"/>
      <c r="O137" s="91"/>
      <c r="P137" s="91"/>
      <c r="Q137" s="91"/>
    </row>
    <row r="138" spans="1:17" s="101" customFormat="1" x14ac:dyDescent="0.35">
      <c r="A138" s="90"/>
      <c r="B138" s="91"/>
      <c r="C138" s="91"/>
      <c r="D138" s="91"/>
      <c r="E138" s="91"/>
      <c r="F138" s="91"/>
      <c r="G138" s="91"/>
      <c r="H138" s="91"/>
      <c r="I138" s="91"/>
      <c r="J138" s="91"/>
      <c r="K138" s="94"/>
      <c r="L138" s="94"/>
      <c r="M138" s="94"/>
      <c r="N138" s="91"/>
      <c r="O138" s="91"/>
      <c r="P138" s="91"/>
      <c r="Q138" s="91"/>
    </row>
    <row r="139" spans="1:17" s="101" customFormat="1" x14ac:dyDescent="0.35">
      <c r="A139" s="90"/>
      <c r="B139" s="91"/>
      <c r="C139" s="91"/>
      <c r="D139" s="91"/>
      <c r="E139" s="91"/>
      <c r="F139" s="91"/>
      <c r="G139" s="91"/>
      <c r="H139" s="91"/>
      <c r="I139" s="91"/>
      <c r="J139" s="91"/>
      <c r="K139" s="94"/>
      <c r="L139" s="94"/>
      <c r="M139" s="94"/>
      <c r="N139" s="91"/>
      <c r="O139" s="91"/>
      <c r="P139" s="91"/>
      <c r="Q139" s="91"/>
    </row>
    <row r="140" spans="1:17" s="101" customFormat="1" x14ac:dyDescent="0.35">
      <c r="A140" s="90"/>
      <c r="B140" s="91"/>
      <c r="C140" s="91"/>
      <c r="D140" s="91"/>
      <c r="E140" s="91"/>
      <c r="F140" s="91"/>
      <c r="G140" s="91"/>
      <c r="H140" s="91"/>
      <c r="I140" s="91"/>
      <c r="J140" s="91"/>
      <c r="K140" s="94"/>
      <c r="L140" s="94"/>
      <c r="M140" s="94"/>
      <c r="N140" s="91"/>
      <c r="O140" s="91"/>
      <c r="P140" s="91"/>
      <c r="Q140" s="91"/>
    </row>
    <row r="141" spans="1:17" s="101" customFormat="1" x14ac:dyDescent="0.35">
      <c r="A141" s="90"/>
      <c r="B141" s="91"/>
      <c r="C141" s="91"/>
      <c r="D141" s="91"/>
      <c r="E141" s="91"/>
      <c r="F141" s="91"/>
      <c r="G141" s="91"/>
      <c r="H141" s="91"/>
      <c r="I141" s="91"/>
      <c r="J141" s="91"/>
      <c r="K141" s="94"/>
      <c r="L141" s="94"/>
      <c r="M141" s="94"/>
      <c r="N141" s="91"/>
      <c r="O141" s="91"/>
      <c r="P141" s="91"/>
      <c r="Q141" s="91"/>
    </row>
    <row r="142" spans="1:17" s="101" customFormat="1" x14ac:dyDescent="0.35">
      <c r="A142" s="90"/>
      <c r="B142" s="91"/>
      <c r="C142" s="91"/>
      <c r="D142" s="91"/>
      <c r="E142" s="91"/>
      <c r="F142" s="91"/>
      <c r="G142" s="91"/>
      <c r="H142" s="91"/>
      <c r="I142" s="91"/>
      <c r="J142" s="91"/>
      <c r="K142" s="94"/>
      <c r="L142" s="94"/>
      <c r="M142" s="94"/>
      <c r="N142" s="91"/>
      <c r="O142" s="91"/>
      <c r="P142" s="91"/>
      <c r="Q142" s="91"/>
    </row>
    <row r="143" spans="1:17" s="101" customFormat="1" x14ac:dyDescent="0.35">
      <c r="A143" s="90"/>
      <c r="B143" s="91"/>
      <c r="C143" s="91"/>
      <c r="D143" s="91"/>
      <c r="E143" s="91"/>
      <c r="F143" s="91"/>
      <c r="G143" s="91"/>
      <c r="H143" s="91"/>
      <c r="I143" s="91"/>
      <c r="J143" s="91"/>
      <c r="K143" s="94"/>
      <c r="L143" s="94"/>
      <c r="M143" s="94"/>
      <c r="N143" s="91"/>
      <c r="O143" s="91"/>
      <c r="P143" s="91"/>
      <c r="Q143" s="91"/>
    </row>
    <row r="144" spans="1:17" s="101" customFormat="1" x14ac:dyDescent="0.35">
      <c r="A144" s="90"/>
      <c r="B144" s="91"/>
      <c r="C144" s="91"/>
      <c r="D144" s="91"/>
      <c r="E144" s="91"/>
      <c r="F144" s="91"/>
      <c r="G144" s="91"/>
      <c r="H144" s="91"/>
      <c r="I144" s="91"/>
      <c r="J144" s="91"/>
      <c r="K144" s="94"/>
      <c r="L144" s="94"/>
      <c r="M144" s="94"/>
      <c r="N144" s="91"/>
      <c r="O144" s="91"/>
      <c r="P144" s="91"/>
      <c r="Q144" s="91"/>
    </row>
    <row r="145" spans="1:17" s="101" customFormat="1" x14ac:dyDescent="0.35">
      <c r="A145" s="90"/>
      <c r="B145" s="91"/>
      <c r="C145" s="91"/>
      <c r="D145" s="91"/>
      <c r="E145" s="91"/>
      <c r="F145" s="91"/>
      <c r="G145" s="91"/>
      <c r="H145" s="91"/>
      <c r="I145" s="91"/>
      <c r="J145" s="91"/>
      <c r="K145" s="94"/>
      <c r="L145" s="94"/>
      <c r="M145" s="94"/>
      <c r="N145" s="91"/>
      <c r="O145" s="91"/>
      <c r="P145" s="91"/>
      <c r="Q145" s="91"/>
    </row>
    <row r="146" spans="1:17" s="101" customFormat="1" x14ac:dyDescent="0.35">
      <c r="A146" s="90"/>
      <c r="B146" s="91"/>
      <c r="C146" s="91"/>
      <c r="D146" s="91"/>
      <c r="E146" s="91"/>
      <c r="F146" s="91"/>
      <c r="G146" s="91"/>
      <c r="H146" s="91"/>
      <c r="I146" s="91"/>
      <c r="J146" s="91"/>
      <c r="K146" s="94"/>
      <c r="L146" s="94"/>
      <c r="M146" s="94"/>
      <c r="N146" s="91"/>
      <c r="O146" s="91"/>
      <c r="P146" s="91"/>
      <c r="Q146" s="91"/>
    </row>
    <row r="147" spans="1:17" s="101" customFormat="1" x14ac:dyDescent="0.35">
      <c r="A147" s="90"/>
      <c r="B147" s="91"/>
      <c r="C147" s="91"/>
      <c r="D147" s="91"/>
      <c r="E147" s="91"/>
      <c r="F147" s="91"/>
      <c r="G147" s="91"/>
      <c r="H147" s="91"/>
      <c r="I147" s="91"/>
      <c r="J147" s="91"/>
      <c r="K147" s="94"/>
      <c r="L147" s="94"/>
      <c r="M147" s="94"/>
      <c r="N147" s="91"/>
      <c r="O147" s="91"/>
      <c r="P147" s="91"/>
      <c r="Q147" s="91"/>
    </row>
    <row r="148" spans="1:17" s="101" customFormat="1" x14ac:dyDescent="0.35">
      <c r="A148" s="90"/>
      <c r="B148" s="91"/>
      <c r="C148" s="91"/>
      <c r="D148" s="91"/>
      <c r="E148" s="91"/>
      <c r="F148" s="91"/>
      <c r="G148" s="91"/>
      <c r="H148" s="91"/>
      <c r="I148" s="91"/>
      <c r="J148" s="91"/>
      <c r="K148" s="94"/>
      <c r="L148" s="94"/>
      <c r="M148" s="94"/>
      <c r="N148" s="91"/>
      <c r="O148" s="91"/>
      <c r="P148" s="91"/>
      <c r="Q148" s="91"/>
    </row>
    <row r="149" spans="1:17" s="101" customFormat="1" x14ac:dyDescent="0.35">
      <c r="A149" s="90"/>
      <c r="B149" s="91"/>
      <c r="C149" s="91"/>
      <c r="D149" s="91"/>
      <c r="E149" s="91"/>
      <c r="F149" s="91"/>
      <c r="G149" s="91"/>
      <c r="H149" s="91"/>
      <c r="I149" s="91"/>
      <c r="J149" s="91"/>
      <c r="K149" s="94"/>
      <c r="L149" s="94"/>
      <c r="M149" s="94"/>
      <c r="N149" s="91"/>
      <c r="O149" s="91"/>
      <c r="P149" s="91"/>
      <c r="Q149" s="91"/>
    </row>
    <row r="150" spans="1:17" s="101" customFormat="1" x14ac:dyDescent="0.35">
      <c r="A150" s="90"/>
      <c r="B150" s="91"/>
      <c r="C150" s="91"/>
      <c r="D150" s="91"/>
      <c r="E150" s="91"/>
      <c r="F150" s="91"/>
      <c r="G150" s="91"/>
      <c r="H150" s="91"/>
      <c r="I150" s="91"/>
      <c r="J150" s="91"/>
      <c r="K150" s="94"/>
      <c r="L150" s="94"/>
      <c r="M150" s="94"/>
      <c r="N150" s="91"/>
      <c r="O150" s="91"/>
      <c r="P150" s="91"/>
      <c r="Q150" s="91"/>
    </row>
    <row r="151" spans="1:17" s="101" customFormat="1" x14ac:dyDescent="0.35">
      <c r="A151" s="90"/>
      <c r="B151" s="91"/>
      <c r="C151" s="91"/>
      <c r="D151" s="91"/>
      <c r="E151" s="91"/>
      <c r="F151" s="91"/>
      <c r="G151" s="91"/>
      <c r="H151" s="91"/>
      <c r="I151" s="91"/>
      <c r="J151" s="91"/>
      <c r="K151" s="94"/>
      <c r="L151" s="94"/>
      <c r="M151" s="94"/>
      <c r="N151" s="91"/>
      <c r="O151" s="91"/>
      <c r="P151" s="91"/>
      <c r="Q151" s="91"/>
    </row>
    <row r="152" spans="1:17" s="101" customFormat="1" x14ac:dyDescent="0.35">
      <c r="A152" s="90"/>
      <c r="B152" s="91"/>
      <c r="C152" s="91"/>
      <c r="D152" s="91"/>
      <c r="E152" s="91"/>
      <c r="F152" s="91"/>
      <c r="G152" s="91"/>
      <c r="H152" s="91"/>
      <c r="I152" s="91"/>
      <c r="J152" s="91"/>
      <c r="K152" s="94"/>
      <c r="L152" s="94"/>
      <c r="M152" s="94"/>
      <c r="N152" s="91"/>
      <c r="O152" s="91"/>
      <c r="P152" s="91"/>
      <c r="Q152" s="91"/>
    </row>
    <row r="153" spans="1:17" s="101" customFormat="1" x14ac:dyDescent="0.35">
      <c r="A153" s="90"/>
      <c r="B153" s="91"/>
      <c r="C153" s="91"/>
      <c r="D153" s="91"/>
      <c r="E153" s="91"/>
      <c r="F153" s="91"/>
      <c r="G153" s="91"/>
      <c r="H153" s="91"/>
      <c r="I153" s="91"/>
      <c r="J153" s="91"/>
      <c r="K153" s="94"/>
      <c r="L153" s="94"/>
      <c r="M153" s="94"/>
      <c r="N153" s="91"/>
      <c r="O153" s="91"/>
      <c r="P153" s="91"/>
      <c r="Q153" s="91"/>
    </row>
    <row r="154" spans="1:17" s="101" customFormat="1" x14ac:dyDescent="0.35">
      <c r="A154" s="90"/>
      <c r="B154" s="91"/>
      <c r="C154" s="91"/>
      <c r="D154" s="91"/>
      <c r="E154" s="91"/>
      <c r="F154" s="91"/>
      <c r="G154" s="91"/>
      <c r="H154" s="91"/>
      <c r="I154" s="91"/>
      <c r="J154" s="91"/>
      <c r="K154" s="94"/>
      <c r="L154" s="94"/>
      <c r="M154" s="94"/>
      <c r="N154" s="91"/>
      <c r="O154" s="91"/>
      <c r="P154" s="91"/>
      <c r="Q154" s="91"/>
    </row>
    <row r="155" spans="1:17" s="101" customFormat="1" x14ac:dyDescent="0.35">
      <c r="A155" s="90"/>
      <c r="B155" s="91"/>
      <c r="C155" s="91"/>
      <c r="D155" s="91"/>
      <c r="E155" s="91"/>
      <c r="F155" s="91"/>
      <c r="G155" s="91"/>
      <c r="H155" s="91"/>
      <c r="I155" s="91"/>
      <c r="J155" s="91"/>
      <c r="K155" s="94"/>
      <c r="L155" s="94"/>
      <c r="M155" s="94"/>
      <c r="N155" s="91"/>
      <c r="O155" s="91"/>
      <c r="P155" s="91"/>
      <c r="Q155" s="91"/>
    </row>
    <row r="156" spans="1:17" s="101" customFormat="1" x14ac:dyDescent="0.35">
      <c r="A156" s="90"/>
      <c r="B156" s="91"/>
      <c r="C156" s="91"/>
      <c r="D156" s="91"/>
      <c r="E156" s="91"/>
      <c r="F156" s="91"/>
      <c r="G156" s="91"/>
      <c r="H156" s="91"/>
      <c r="I156" s="91"/>
      <c r="J156" s="91"/>
      <c r="K156" s="94"/>
      <c r="L156" s="94"/>
      <c r="M156" s="94"/>
      <c r="N156" s="91"/>
      <c r="O156" s="91"/>
      <c r="P156" s="91"/>
      <c r="Q156" s="91"/>
    </row>
    <row r="157" spans="1:17" s="101" customFormat="1" x14ac:dyDescent="0.35">
      <c r="A157" s="90"/>
      <c r="B157" s="91"/>
      <c r="C157" s="91"/>
      <c r="D157" s="91"/>
      <c r="E157" s="91"/>
      <c r="F157" s="91"/>
      <c r="G157" s="91"/>
      <c r="H157" s="91"/>
      <c r="I157" s="91"/>
      <c r="J157" s="91"/>
      <c r="K157" s="94"/>
      <c r="L157" s="94"/>
      <c r="M157" s="94"/>
      <c r="N157" s="91"/>
      <c r="O157" s="91"/>
      <c r="P157" s="91"/>
      <c r="Q157" s="91"/>
    </row>
    <row r="158" spans="1:17" s="101" customFormat="1" x14ac:dyDescent="0.35">
      <c r="A158" s="90"/>
      <c r="B158" s="91"/>
      <c r="C158" s="91"/>
      <c r="D158" s="91"/>
      <c r="E158" s="91"/>
      <c r="F158" s="91"/>
      <c r="G158" s="91"/>
      <c r="H158" s="91"/>
      <c r="I158" s="91"/>
      <c r="J158" s="91"/>
      <c r="K158" s="94"/>
      <c r="L158" s="94"/>
      <c r="M158" s="94"/>
      <c r="N158" s="91"/>
      <c r="O158" s="91"/>
      <c r="P158" s="91"/>
      <c r="Q158" s="91"/>
    </row>
    <row r="159" spans="1:17" s="101" customFormat="1" x14ac:dyDescent="0.35">
      <c r="A159" s="90"/>
      <c r="B159" s="91"/>
      <c r="C159" s="91"/>
      <c r="D159" s="91"/>
      <c r="E159" s="91"/>
      <c r="F159" s="91"/>
      <c r="G159" s="91"/>
      <c r="H159" s="91"/>
      <c r="I159" s="91"/>
      <c r="J159" s="91"/>
      <c r="K159" s="94"/>
      <c r="L159" s="94"/>
      <c r="M159" s="94"/>
      <c r="N159" s="91"/>
      <c r="O159" s="91"/>
      <c r="P159" s="91"/>
      <c r="Q159" s="91"/>
    </row>
    <row r="160" spans="1:17" s="101" customFormat="1" x14ac:dyDescent="0.35">
      <c r="A160" s="90"/>
      <c r="B160" s="91"/>
      <c r="C160" s="91"/>
      <c r="D160" s="91"/>
      <c r="E160" s="91"/>
      <c r="F160" s="91"/>
      <c r="G160" s="91"/>
      <c r="H160" s="91"/>
      <c r="I160" s="91"/>
      <c r="J160" s="91"/>
      <c r="K160" s="94"/>
      <c r="L160" s="94"/>
      <c r="M160" s="94"/>
      <c r="N160" s="91"/>
      <c r="O160" s="91"/>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c r="P188" s="91"/>
    </row>
    <row r="189" spans="1:17" x14ac:dyDescent="0.35">
      <c r="A189" s="90"/>
      <c r="B189" s="91"/>
      <c r="C189" s="91"/>
      <c r="D189" s="91"/>
      <c r="E189" s="91"/>
      <c r="F189" s="91"/>
      <c r="G189" s="91"/>
      <c r="H189" s="91"/>
      <c r="I189" s="91"/>
      <c r="J189" s="91"/>
      <c r="K189" s="91"/>
      <c r="L189" s="91"/>
      <c r="M189" s="91"/>
      <c r="N189" s="91"/>
      <c r="O189" s="91"/>
      <c r="P189" s="91"/>
    </row>
    <row r="190" spans="1:17" x14ac:dyDescent="0.35">
      <c r="A190" s="90"/>
      <c r="B190" s="91"/>
      <c r="C190" s="91"/>
      <c r="D190" s="91"/>
      <c r="E190" s="91"/>
      <c r="F190" s="91"/>
      <c r="G190" s="91"/>
      <c r="H190" s="91"/>
      <c r="I190" s="91"/>
      <c r="J190" s="91"/>
      <c r="K190" s="91"/>
      <c r="L190" s="91"/>
      <c r="M190" s="91"/>
      <c r="N190" s="91"/>
      <c r="O190" s="91"/>
      <c r="P190" s="91"/>
    </row>
    <row r="191" spans="1:17" x14ac:dyDescent="0.35">
      <c r="A191" s="90"/>
      <c r="B191" s="91"/>
      <c r="C191" s="91"/>
      <c r="D191" s="91"/>
      <c r="E191" s="91"/>
      <c r="F191" s="91"/>
      <c r="G191" s="91"/>
      <c r="H191" s="91"/>
      <c r="I191" s="91"/>
      <c r="J191" s="91"/>
      <c r="K191" s="91"/>
      <c r="L191" s="91"/>
      <c r="M191" s="91"/>
      <c r="N191" s="91"/>
      <c r="O191" s="91"/>
      <c r="P191" s="91"/>
    </row>
    <row r="192" spans="1:17" x14ac:dyDescent="0.35">
      <c r="A192" s="90"/>
      <c r="B192" s="91"/>
      <c r="C192" s="91"/>
      <c r="D192" s="91"/>
      <c r="E192" s="91"/>
      <c r="F192" s="91"/>
      <c r="G192" s="91"/>
      <c r="H192" s="91"/>
      <c r="I192" s="91"/>
      <c r="J192" s="91"/>
      <c r="K192" s="91"/>
      <c r="L192" s="91"/>
      <c r="M192" s="91"/>
      <c r="N192" s="91"/>
      <c r="O192" s="91"/>
      <c r="P192" s="91"/>
    </row>
    <row r="193" spans="1:16" x14ac:dyDescent="0.35">
      <c r="A193" s="90"/>
      <c r="B193" s="91"/>
      <c r="C193" s="91"/>
      <c r="D193" s="91"/>
      <c r="E193" s="91"/>
      <c r="F193" s="91"/>
      <c r="G193" s="91"/>
      <c r="H193" s="91"/>
      <c r="I193" s="91"/>
      <c r="J193" s="91"/>
      <c r="K193" s="91"/>
      <c r="L193" s="91"/>
      <c r="M193" s="91"/>
      <c r="N193" s="91"/>
      <c r="O193" s="91"/>
      <c r="P193" s="91"/>
    </row>
    <row r="194" spans="1:16" x14ac:dyDescent="0.35">
      <c r="A194" s="90"/>
      <c r="B194" s="91"/>
      <c r="C194" s="91"/>
      <c r="D194" s="91"/>
      <c r="E194" s="91"/>
      <c r="F194" s="91"/>
      <c r="G194" s="91"/>
      <c r="H194" s="91"/>
      <c r="I194" s="91"/>
      <c r="J194" s="91"/>
      <c r="K194" s="91"/>
      <c r="L194" s="91"/>
      <c r="M194" s="91"/>
      <c r="N194" s="91"/>
      <c r="O194" s="91"/>
      <c r="P194" s="91"/>
    </row>
    <row r="195" spans="1:16" x14ac:dyDescent="0.35">
      <c r="A195" s="90"/>
      <c r="B195" s="91"/>
      <c r="C195" s="91"/>
      <c r="D195" s="91"/>
      <c r="E195" s="91"/>
      <c r="F195" s="91"/>
      <c r="G195" s="91"/>
      <c r="H195" s="91"/>
      <c r="I195" s="91"/>
      <c r="J195" s="91"/>
      <c r="K195" s="91"/>
      <c r="L195" s="91"/>
      <c r="M195" s="91"/>
      <c r="N195" s="91"/>
      <c r="O195" s="91"/>
      <c r="P195" s="91"/>
    </row>
    <row r="196" spans="1:16" x14ac:dyDescent="0.35">
      <c r="A196" s="90"/>
      <c r="B196" s="91"/>
      <c r="C196" s="91"/>
      <c r="D196" s="91"/>
      <c r="E196" s="91"/>
      <c r="F196" s="91"/>
      <c r="G196" s="91"/>
      <c r="H196" s="91"/>
      <c r="I196" s="91"/>
      <c r="J196" s="91"/>
      <c r="K196" s="91"/>
      <c r="L196" s="91"/>
      <c r="M196" s="91"/>
      <c r="N196" s="91"/>
      <c r="O196" s="91"/>
      <c r="P196" s="91"/>
    </row>
    <row r="197" spans="1:16" x14ac:dyDescent="0.35">
      <c r="A197" s="90"/>
      <c r="B197" s="91"/>
      <c r="C197" s="91"/>
      <c r="D197" s="91"/>
      <c r="E197" s="91"/>
      <c r="F197" s="91"/>
      <c r="G197" s="91"/>
      <c r="H197" s="91"/>
      <c r="I197" s="91"/>
      <c r="J197" s="91"/>
      <c r="K197" s="91"/>
      <c r="L197" s="91"/>
      <c r="M197" s="91"/>
      <c r="N197" s="91"/>
      <c r="O197" s="91"/>
      <c r="P197" s="91"/>
    </row>
    <row r="198" spans="1:16" x14ac:dyDescent="0.35">
      <c r="A198" s="90"/>
      <c r="B198" s="91"/>
      <c r="C198" s="91"/>
      <c r="D198" s="91"/>
      <c r="E198" s="91"/>
      <c r="F198" s="91"/>
      <c r="G198" s="91"/>
      <c r="H198" s="91"/>
      <c r="I198" s="91"/>
      <c r="J198" s="91"/>
      <c r="K198" s="91"/>
      <c r="L198" s="91"/>
      <c r="M198" s="91"/>
      <c r="N198" s="91"/>
      <c r="O198" s="91"/>
      <c r="P198" s="91"/>
    </row>
    <row r="199" spans="1:16" x14ac:dyDescent="0.35">
      <c r="A199" s="90"/>
      <c r="B199" s="91"/>
      <c r="C199" s="91"/>
      <c r="D199" s="91"/>
      <c r="E199" s="91"/>
      <c r="F199" s="91"/>
      <c r="G199" s="91"/>
      <c r="H199" s="91"/>
      <c r="I199" s="91"/>
      <c r="J199" s="91"/>
      <c r="K199" s="91"/>
      <c r="L199" s="91"/>
      <c r="M199" s="91"/>
      <c r="N199" s="91"/>
      <c r="O199" s="91"/>
    </row>
    <row r="200" spans="1:16" x14ac:dyDescent="0.35">
      <c r="A200" s="90"/>
      <c r="B200" s="91"/>
      <c r="C200" s="91"/>
      <c r="D200" s="91"/>
      <c r="E200" s="91"/>
      <c r="F200" s="91"/>
      <c r="G200" s="91"/>
      <c r="H200" s="91"/>
      <c r="I200" s="91"/>
      <c r="J200" s="91"/>
      <c r="K200" s="91"/>
      <c r="L200" s="91"/>
      <c r="M200" s="91"/>
      <c r="N200" s="91"/>
      <c r="O200" s="91"/>
    </row>
    <row r="201" spans="1:16" x14ac:dyDescent="0.35">
      <c r="A201" s="90"/>
      <c r="B201" s="91"/>
      <c r="C201" s="91"/>
      <c r="D201" s="91"/>
      <c r="E201" s="91"/>
      <c r="F201" s="91"/>
      <c r="G201" s="91"/>
      <c r="H201" s="91"/>
      <c r="I201" s="91"/>
      <c r="J201" s="91"/>
      <c r="K201" s="91"/>
      <c r="L201" s="91"/>
      <c r="M201" s="91"/>
      <c r="N201" s="91"/>
      <c r="O201" s="91"/>
    </row>
    <row r="202" spans="1:16" x14ac:dyDescent="0.35">
      <c r="A202" s="90"/>
      <c r="B202" s="91"/>
      <c r="C202" s="91"/>
      <c r="D202" s="91"/>
      <c r="E202" s="91"/>
      <c r="F202" s="91"/>
      <c r="G202" s="91"/>
      <c r="H202" s="91"/>
      <c r="I202" s="91"/>
      <c r="J202" s="91"/>
      <c r="K202" s="91"/>
      <c r="L202" s="91"/>
      <c r="M202" s="91"/>
      <c r="N202" s="91"/>
      <c r="O202" s="91"/>
    </row>
    <row r="203" spans="1:16" x14ac:dyDescent="0.35">
      <c r="A203" s="90"/>
      <c r="B203" s="91"/>
      <c r="C203" s="91"/>
      <c r="D203" s="91"/>
      <c r="E203" s="91"/>
      <c r="F203" s="91"/>
      <c r="G203" s="91"/>
      <c r="H203" s="91"/>
      <c r="I203" s="91"/>
      <c r="J203" s="91"/>
      <c r="K203" s="91"/>
      <c r="L203" s="91"/>
      <c r="M203" s="91"/>
      <c r="N203" s="91"/>
      <c r="O203" s="91"/>
    </row>
    <row r="204" spans="1:16" x14ac:dyDescent="0.35">
      <c r="A204" s="90"/>
      <c r="B204" s="91"/>
      <c r="C204" s="91"/>
      <c r="D204" s="91"/>
      <c r="E204" s="91"/>
      <c r="F204" s="91"/>
      <c r="G204" s="91"/>
      <c r="H204" s="91"/>
      <c r="I204" s="91"/>
      <c r="J204" s="91"/>
      <c r="K204" s="91"/>
      <c r="L204" s="91"/>
      <c r="M204" s="91"/>
      <c r="N204" s="91"/>
      <c r="O204" s="91"/>
    </row>
    <row r="205" spans="1:16" x14ac:dyDescent="0.35">
      <c r="A205" s="90"/>
      <c r="B205" s="91"/>
      <c r="C205" s="91"/>
      <c r="D205" s="91"/>
      <c r="E205" s="91"/>
      <c r="F205" s="91"/>
      <c r="G205" s="91"/>
      <c r="H205" s="91"/>
      <c r="I205" s="91"/>
      <c r="J205" s="91"/>
      <c r="K205" s="91"/>
      <c r="L205" s="91"/>
      <c r="M205" s="91"/>
      <c r="N205" s="91"/>
      <c r="O205" s="91"/>
    </row>
    <row r="207" spans="1:16" x14ac:dyDescent="0.35">
      <c r="A207" s="92"/>
    </row>
    <row r="208" spans="1:16"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162:O205 B5:Q36 Q37:Q187 P162:P198 B37:P161">
    <cfRule type="cellIs" dxfId="7" priority="1" stopIfTrue="1" operator="equal">
      <formula>0</formula>
    </cfRule>
  </conditionalFormatting>
  <conditionalFormatting sqref="B48:J176 B5:K55">
    <cfRule type="cellIs" priority="2" stopIfTrue="1" operator="equal">
      <formula>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2"/>
  </sheetPr>
  <dimension ref="A2:Q216"/>
  <sheetViews>
    <sheetView showGridLines="0" showRowColHeaders="0" zoomScale="85" zoomScaleNormal="85" workbookViewId="0">
      <pane xSplit="1" ySplit="4" topLeftCell="B15" activePane="bottomRight" state="frozen"/>
      <selection activeCell="C35" sqref="C35"/>
      <selection pane="topRight" activeCell="C35" sqref="C35"/>
      <selection pane="bottomLeft" activeCell="C35" sqref="C35"/>
      <selection pane="bottomRight" activeCell="A4" sqref="A4:P56"/>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263</v>
      </c>
    </row>
    <row r="4" spans="1:17" s="101" customFormat="1" x14ac:dyDescent="0.35">
      <c r="A4" s="212"/>
      <c r="B4" s="212"/>
      <c r="C4" s="212"/>
      <c r="D4" s="212"/>
      <c r="E4" s="212"/>
      <c r="F4" s="212"/>
      <c r="G4" s="212"/>
      <c r="H4" s="212"/>
      <c r="I4" s="212"/>
      <c r="J4" s="212"/>
      <c r="K4" s="212"/>
      <c r="L4" s="212"/>
      <c r="M4" s="212"/>
      <c r="N4" s="212"/>
      <c r="O4" s="212"/>
      <c r="P4" s="212"/>
    </row>
    <row r="5" spans="1:17" s="101" customFormat="1" x14ac:dyDescent="0.35">
      <c r="A5" s="212"/>
      <c r="B5" s="214"/>
      <c r="C5" s="214"/>
      <c r="D5" s="214"/>
      <c r="E5" s="214"/>
      <c r="F5" s="214"/>
      <c r="G5" s="214"/>
      <c r="H5" s="214"/>
      <c r="I5" s="214"/>
      <c r="J5" s="214"/>
      <c r="K5" s="214"/>
      <c r="L5" s="213"/>
      <c r="M5" s="213"/>
      <c r="N5" s="213"/>
      <c r="O5" s="214"/>
      <c r="P5" s="214"/>
      <c r="Q5" s="91"/>
    </row>
    <row r="6" spans="1:17" s="101" customFormat="1" x14ac:dyDescent="0.35">
      <c r="A6" s="215"/>
      <c r="B6" s="216"/>
      <c r="C6" s="216"/>
      <c r="D6" s="216"/>
      <c r="E6" s="216"/>
      <c r="F6" s="216"/>
      <c r="G6" s="216"/>
      <c r="H6" s="216"/>
      <c r="I6" s="216"/>
      <c r="J6" s="216"/>
      <c r="K6" s="216"/>
      <c r="L6" s="217"/>
      <c r="M6" s="217"/>
      <c r="N6" s="217"/>
      <c r="O6" s="216"/>
      <c r="P6" s="216"/>
      <c r="Q6" s="91"/>
    </row>
    <row r="7" spans="1:17" s="101" customFormat="1" x14ac:dyDescent="0.35">
      <c r="A7" s="90"/>
      <c r="B7" s="91"/>
      <c r="C7" s="91"/>
      <c r="D7" s="91"/>
      <c r="E7" s="91"/>
      <c r="F7" s="91"/>
      <c r="G7" s="91"/>
      <c r="H7" s="91"/>
      <c r="I7" s="91"/>
      <c r="J7" s="91"/>
      <c r="K7" s="91"/>
      <c r="L7" s="213"/>
      <c r="M7" s="213"/>
      <c r="N7" s="213"/>
      <c r="O7" s="214"/>
      <c r="P7" s="214"/>
      <c r="Q7" s="91"/>
    </row>
    <row r="8" spans="1:17" s="101" customFormat="1" x14ac:dyDescent="0.35">
      <c r="A8" s="90"/>
      <c r="B8" s="91"/>
      <c r="C8" s="91"/>
      <c r="D8" s="91"/>
      <c r="E8" s="91"/>
      <c r="F8" s="91"/>
      <c r="G8" s="91"/>
      <c r="H8" s="91"/>
      <c r="I8" s="91"/>
      <c r="J8" s="91"/>
      <c r="K8" s="91"/>
      <c r="L8" s="213"/>
      <c r="M8" s="213"/>
      <c r="N8" s="213"/>
      <c r="O8" s="214"/>
      <c r="P8" s="214"/>
      <c r="Q8" s="91"/>
    </row>
    <row r="9" spans="1:17" s="101" customFormat="1" x14ac:dyDescent="0.35">
      <c r="A9" s="90"/>
      <c r="B9" s="91"/>
      <c r="C9" s="91"/>
      <c r="D9" s="91"/>
      <c r="E9" s="91"/>
      <c r="F9" s="91"/>
      <c r="G9" s="91"/>
      <c r="H9" s="91"/>
      <c r="I9" s="91"/>
      <c r="J9" s="91"/>
      <c r="K9" s="91"/>
      <c r="L9" s="213"/>
      <c r="M9" s="213"/>
      <c r="N9" s="213"/>
      <c r="O9" s="214"/>
      <c r="P9" s="214"/>
      <c r="Q9" s="91"/>
    </row>
    <row r="10" spans="1:17" s="101" customFormat="1" x14ac:dyDescent="0.35">
      <c r="A10" s="90"/>
      <c r="B10" s="91"/>
      <c r="C10" s="91"/>
      <c r="D10" s="91"/>
      <c r="E10" s="91"/>
      <c r="F10" s="91"/>
      <c r="G10" s="91"/>
      <c r="H10" s="91"/>
      <c r="I10" s="91"/>
      <c r="J10" s="91"/>
      <c r="K10" s="91"/>
      <c r="L10" s="213"/>
      <c r="M10" s="213"/>
      <c r="N10" s="213"/>
      <c r="O10" s="214"/>
      <c r="P10" s="214"/>
      <c r="Q10" s="91"/>
    </row>
    <row r="11" spans="1:17" s="101" customFormat="1" x14ac:dyDescent="0.35">
      <c r="A11" s="90"/>
      <c r="B11" s="91"/>
      <c r="C11" s="91"/>
      <c r="D11" s="91"/>
      <c r="E11" s="91"/>
      <c r="F11" s="91"/>
      <c r="G11" s="91"/>
      <c r="H11" s="91"/>
      <c r="I11" s="91"/>
      <c r="J11" s="91"/>
      <c r="K11" s="91"/>
      <c r="L11" s="213"/>
      <c r="M11" s="213"/>
      <c r="N11" s="213"/>
      <c r="O11" s="214"/>
      <c r="P11" s="214"/>
      <c r="Q11" s="91"/>
    </row>
    <row r="12" spans="1:17" s="101" customFormat="1" x14ac:dyDescent="0.35">
      <c r="A12" s="90"/>
      <c r="B12" s="91"/>
      <c r="C12" s="91"/>
      <c r="D12" s="91"/>
      <c r="E12" s="91"/>
      <c r="F12" s="91"/>
      <c r="G12" s="91"/>
      <c r="H12" s="91"/>
      <c r="I12" s="91"/>
      <c r="J12" s="91"/>
      <c r="K12" s="91"/>
      <c r="L12" s="213"/>
      <c r="M12" s="213"/>
      <c r="N12" s="213"/>
      <c r="O12" s="214"/>
      <c r="P12" s="214"/>
      <c r="Q12" s="91"/>
    </row>
    <row r="13" spans="1:17" s="101" customFormat="1" x14ac:dyDescent="0.35">
      <c r="A13" s="90"/>
      <c r="B13" s="91"/>
      <c r="C13" s="91"/>
      <c r="D13" s="91"/>
      <c r="E13" s="91"/>
      <c r="F13" s="91"/>
      <c r="G13" s="91"/>
      <c r="H13" s="91"/>
      <c r="I13" s="91"/>
      <c r="J13" s="91"/>
      <c r="K13" s="91"/>
      <c r="L13" s="213"/>
      <c r="M13" s="213"/>
      <c r="N13" s="213"/>
      <c r="O13" s="214"/>
      <c r="P13" s="214"/>
      <c r="Q13" s="91"/>
    </row>
    <row r="14" spans="1:17" s="101" customFormat="1" x14ac:dyDescent="0.35">
      <c r="A14" s="90"/>
      <c r="B14" s="91"/>
      <c r="C14" s="91"/>
      <c r="D14" s="91"/>
      <c r="E14" s="91"/>
      <c r="F14" s="91"/>
      <c r="G14" s="91"/>
      <c r="H14" s="91"/>
      <c r="I14" s="91"/>
      <c r="J14" s="91"/>
      <c r="K14" s="91"/>
      <c r="L14" s="213"/>
      <c r="M14" s="213"/>
      <c r="N14" s="213"/>
      <c r="O14" s="214"/>
      <c r="P14" s="214"/>
      <c r="Q14" s="91"/>
    </row>
    <row r="15" spans="1:17" s="101" customFormat="1" x14ac:dyDescent="0.35">
      <c r="A15" s="90"/>
      <c r="B15" s="91"/>
      <c r="C15" s="91"/>
      <c r="D15" s="91"/>
      <c r="E15" s="91"/>
      <c r="F15" s="91"/>
      <c r="G15" s="91"/>
      <c r="H15" s="91"/>
      <c r="I15" s="91"/>
      <c r="J15" s="91"/>
      <c r="K15" s="91"/>
      <c r="L15" s="213"/>
      <c r="M15" s="213"/>
      <c r="N15" s="213"/>
      <c r="O15" s="214"/>
      <c r="P15" s="214"/>
      <c r="Q15" s="91"/>
    </row>
    <row r="16" spans="1:17" s="101" customFormat="1" x14ac:dyDescent="0.35">
      <c r="A16" s="215"/>
      <c r="B16" s="216"/>
      <c r="C16" s="216"/>
      <c r="D16" s="216"/>
      <c r="E16" s="216"/>
      <c r="F16" s="216"/>
      <c r="G16" s="216"/>
      <c r="H16" s="216"/>
      <c r="I16" s="216"/>
      <c r="J16" s="216"/>
      <c r="K16" s="216"/>
      <c r="L16" s="217"/>
      <c r="M16" s="217"/>
      <c r="N16" s="217"/>
      <c r="O16" s="216"/>
      <c r="P16" s="216"/>
      <c r="Q16" s="91"/>
    </row>
    <row r="17" spans="1:17" s="101" customFormat="1" x14ac:dyDescent="0.35">
      <c r="A17" s="90"/>
      <c r="B17" s="91"/>
      <c r="C17" s="91"/>
      <c r="D17" s="91"/>
      <c r="E17" s="91"/>
      <c r="F17" s="91"/>
      <c r="G17" s="91"/>
      <c r="H17" s="91"/>
      <c r="I17" s="91"/>
      <c r="J17" s="91"/>
      <c r="K17" s="91"/>
      <c r="L17" s="213"/>
      <c r="M17" s="213"/>
      <c r="N17" s="213"/>
      <c r="O17" s="214"/>
      <c r="P17" s="214"/>
      <c r="Q17" s="91"/>
    </row>
    <row r="18" spans="1:17" s="101" customFormat="1" x14ac:dyDescent="0.35">
      <c r="A18" s="90"/>
      <c r="B18" s="91"/>
      <c r="C18" s="91"/>
      <c r="D18" s="91"/>
      <c r="E18" s="91"/>
      <c r="F18" s="91"/>
      <c r="G18" s="91"/>
      <c r="H18" s="91"/>
      <c r="I18" s="91"/>
      <c r="J18" s="91"/>
      <c r="K18" s="91"/>
      <c r="L18" s="213"/>
      <c r="M18" s="213"/>
      <c r="N18" s="213"/>
      <c r="O18" s="214"/>
      <c r="P18" s="214"/>
      <c r="Q18" s="91"/>
    </row>
    <row r="19" spans="1:17" s="101" customFormat="1" x14ac:dyDescent="0.35">
      <c r="A19" s="90"/>
      <c r="B19" s="91"/>
      <c r="C19" s="91"/>
      <c r="D19" s="91"/>
      <c r="E19" s="91"/>
      <c r="F19" s="91"/>
      <c r="G19" s="91"/>
      <c r="H19" s="91"/>
      <c r="I19" s="91"/>
      <c r="J19" s="91"/>
      <c r="K19" s="91"/>
      <c r="L19" s="213"/>
      <c r="M19" s="213"/>
      <c r="N19" s="213"/>
      <c r="O19" s="214"/>
      <c r="P19" s="214"/>
      <c r="Q19" s="91"/>
    </row>
    <row r="20" spans="1:17" s="101" customFormat="1" x14ac:dyDescent="0.35">
      <c r="A20" s="90"/>
      <c r="B20" s="91"/>
      <c r="C20" s="91"/>
      <c r="D20" s="91"/>
      <c r="E20" s="91"/>
      <c r="F20" s="91"/>
      <c r="G20" s="91"/>
      <c r="H20" s="91"/>
      <c r="I20" s="91"/>
      <c r="J20" s="91"/>
      <c r="K20" s="91"/>
      <c r="L20" s="213"/>
      <c r="M20" s="213"/>
      <c r="N20" s="213"/>
      <c r="O20" s="214"/>
      <c r="P20" s="214"/>
      <c r="Q20" s="91"/>
    </row>
    <row r="21" spans="1:17" s="101" customFormat="1" x14ac:dyDescent="0.35">
      <c r="A21" s="90"/>
      <c r="B21" s="91"/>
      <c r="C21" s="91"/>
      <c r="D21" s="91"/>
      <c r="E21" s="91"/>
      <c r="F21" s="91"/>
      <c r="G21" s="91"/>
      <c r="H21" s="91"/>
      <c r="I21" s="91"/>
      <c r="J21" s="91"/>
      <c r="K21" s="91"/>
      <c r="L21" s="213"/>
      <c r="M21" s="213"/>
      <c r="N21" s="213"/>
      <c r="O21" s="214"/>
      <c r="P21" s="214"/>
      <c r="Q21" s="91"/>
    </row>
    <row r="22" spans="1:17" s="101" customFormat="1" x14ac:dyDescent="0.35">
      <c r="A22" s="90"/>
      <c r="B22" s="91"/>
      <c r="C22" s="91"/>
      <c r="D22" s="91"/>
      <c r="E22" s="91"/>
      <c r="F22" s="91"/>
      <c r="G22" s="91"/>
      <c r="H22" s="91"/>
      <c r="I22" s="91"/>
      <c r="J22" s="91"/>
      <c r="K22" s="91"/>
      <c r="L22" s="213"/>
      <c r="M22" s="213"/>
      <c r="N22" s="213"/>
      <c r="O22" s="214"/>
      <c r="P22" s="214"/>
      <c r="Q22" s="91"/>
    </row>
    <row r="23" spans="1:17" s="101" customFormat="1" x14ac:dyDescent="0.35">
      <c r="A23" s="90"/>
      <c r="B23" s="91"/>
      <c r="C23" s="91"/>
      <c r="D23" s="91"/>
      <c r="E23" s="91"/>
      <c r="F23" s="91"/>
      <c r="G23" s="91"/>
      <c r="H23" s="91"/>
      <c r="I23" s="91"/>
      <c r="J23" s="91"/>
      <c r="K23" s="91"/>
      <c r="L23" s="213"/>
      <c r="M23" s="213"/>
      <c r="N23" s="213"/>
      <c r="O23" s="214"/>
      <c r="P23" s="214"/>
      <c r="Q23" s="91"/>
    </row>
    <row r="24" spans="1:17" s="101" customFormat="1" x14ac:dyDescent="0.35">
      <c r="A24" s="90"/>
      <c r="B24" s="91"/>
      <c r="C24" s="91"/>
      <c r="D24" s="91"/>
      <c r="E24" s="91"/>
      <c r="F24" s="91"/>
      <c r="G24" s="91"/>
      <c r="H24" s="91"/>
      <c r="I24" s="91"/>
      <c r="J24" s="91"/>
      <c r="K24" s="91"/>
      <c r="L24" s="213"/>
      <c r="M24" s="213"/>
      <c r="N24" s="213"/>
      <c r="O24" s="214"/>
      <c r="P24" s="214"/>
      <c r="Q24" s="91"/>
    </row>
    <row r="25" spans="1:17" s="101" customFormat="1" x14ac:dyDescent="0.35">
      <c r="A25" s="90"/>
      <c r="B25" s="91"/>
      <c r="C25" s="91"/>
      <c r="D25" s="91"/>
      <c r="E25" s="91"/>
      <c r="F25" s="91"/>
      <c r="G25" s="91"/>
      <c r="H25" s="91"/>
      <c r="I25" s="91"/>
      <c r="J25" s="91"/>
      <c r="K25" s="91"/>
      <c r="L25" s="213"/>
      <c r="M25" s="213"/>
      <c r="N25" s="213"/>
      <c r="O25" s="214"/>
      <c r="P25" s="214"/>
      <c r="Q25" s="91"/>
    </row>
    <row r="26" spans="1:17" s="101" customFormat="1" x14ac:dyDescent="0.35">
      <c r="A26" s="90"/>
      <c r="B26" s="91"/>
      <c r="C26" s="91"/>
      <c r="D26" s="91"/>
      <c r="E26" s="91"/>
      <c r="F26" s="91"/>
      <c r="G26" s="91"/>
      <c r="H26" s="91"/>
      <c r="I26" s="91"/>
      <c r="J26" s="91"/>
      <c r="K26" s="91"/>
      <c r="L26" s="213"/>
      <c r="M26" s="213"/>
      <c r="N26" s="213"/>
      <c r="O26" s="214"/>
      <c r="P26" s="214"/>
      <c r="Q26" s="91"/>
    </row>
    <row r="27" spans="1:17" s="101" customFormat="1" x14ac:dyDescent="0.35">
      <c r="A27" s="90"/>
      <c r="B27" s="91"/>
      <c r="C27" s="91"/>
      <c r="D27" s="91"/>
      <c r="E27" s="91"/>
      <c r="F27" s="91"/>
      <c r="G27" s="91"/>
      <c r="H27" s="91"/>
      <c r="I27" s="91"/>
      <c r="J27" s="91"/>
      <c r="K27" s="91"/>
      <c r="L27" s="213"/>
      <c r="M27" s="213"/>
      <c r="N27" s="213"/>
      <c r="O27" s="214"/>
      <c r="P27" s="214"/>
      <c r="Q27" s="91"/>
    </row>
    <row r="28" spans="1:17" s="101" customFormat="1" x14ac:dyDescent="0.35">
      <c r="A28" s="90"/>
      <c r="B28" s="91"/>
      <c r="C28" s="91"/>
      <c r="D28" s="91"/>
      <c r="E28" s="91"/>
      <c r="F28" s="91"/>
      <c r="G28" s="91"/>
      <c r="H28" s="91"/>
      <c r="I28" s="91"/>
      <c r="J28" s="91"/>
      <c r="K28" s="91"/>
      <c r="L28" s="213"/>
      <c r="M28" s="213"/>
      <c r="N28" s="213"/>
      <c r="O28" s="214"/>
      <c r="P28" s="214"/>
      <c r="Q28" s="91"/>
    </row>
    <row r="29" spans="1:17" s="101" customFormat="1" x14ac:dyDescent="0.35">
      <c r="A29" s="90"/>
      <c r="B29" s="91"/>
      <c r="C29" s="91"/>
      <c r="D29" s="91"/>
      <c r="E29" s="91"/>
      <c r="F29" s="91"/>
      <c r="G29" s="91"/>
      <c r="H29" s="91"/>
      <c r="I29" s="91"/>
      <c r="J29" s="91"/>
      <c r="K29" s="91"/>
      <c r="L29" s="213"/>
      <c r="M29" s="213"/>
      <c r="N29" s="213"/>
      <c r="O29" s="214"/>
      <c r="P29" s="214"/>
      <c r="Q29" s="91"/>
    </row>
    <row r="30" spans="1:17" s="101" customFormat="1" x14ac:dyDescent="0.35">
      <c r="A30" s="215"/>
      <c r="B30" s="216"/>
      <c r="C30" s="216"/>
      <c r="D30" s="216"/>
      <c r="E30" s="216"/>
      <c r="F30" s="216"/>
      <c r="G30" s="216"/>
      <c r="H30" s="216"/>
      <c r="I30" s="216"/>
      <c r="J30" s="216"/>
      <c r="K30" s="216"/>
      <c r="L30" s="217"/>
      <c r="M30" s="217"/>
      <c r="N30" s="217"/>
      <c r="O30" s="216"/>
      <c r="P30" s="216"/>
      <c r="Q30" s="91"/>
    </row>
    <row r="31" spans="1:17" s="101" customFormat="1" x14ac:dyDescent="0.35">
      <c r="A31" s="90"/>
      <c r="B31" s="91"/>
      <c r="C31" s="91"/>
      <c r="D31" s="91"/>
      <c r="E31" s="91"/>
      <c r="F31" s="91"/>
      <c r="G31" s="91"/>
      <c r="H31" s="91"/>
      <c r="I31" s="91"/>
      <c r="J31" s="91"/>
      <c r="K31" s="91"/>
      <c r="L31" s="213"/>
      <c r="M31" s="213"/>
      <c r="N31" s="213"/>
      <c r="O31" s="214"/>
      <c r="P31" s="214"/>
      <c r="Q31" s="91"/>
    </row>
    <row r="32" spans="1:17" s="101" customFormat="1" x14ac:dyDescent="0.35">
      <c r="A32" s="90"/>
      <c r="B32" s="91"/>
      <c r="C32" s="91"/>
      <c r="D32" s="91"/>
      <c r="E32" s="91"/>
      <c r="F32" s="91"/>
      <c r="G32" s="91"/>
      <c r="H32" s="91"/>
      <c r="I32" s="91"/>
      <c r="J32" s="91"/>
      <c r="K32" s="91"/>
      <c r="L32" s="213"/>
      <c r="M32" s="213"/>
      <c r="N32" s="213"/>
      <c r="O32" s="214"/>
      <c r="P32" s="214"/>
      <c r="Q32" s="91"/>
    </row>
    <row r="33" spans="1:17" s="101" customFormat="1" x14ac:dyDescent="0.35">
      <c r="A33" s="90"/>
      <c r="B33" s="91"/>
      <c r="C33" s="91"/>
      <c r="D33" s="91"/>
      <c r="E33" s="91"/>
      <c r="F33" s="91"/>
      <c r="G33" s="91"/>
      <c r="H33" s="91"/>
      <c r="I33" s="91"/>
      <c r="J33" s="91"/>
      <c r="K33" s="91"/>
      <c r="L33" s="213"/>
      <c r="M33" s="213"/>
      <c r="N33" s="213"/>
      <c r="O33" s="214"/>
      <c r="P33" s="214"/>
      <c r="Q33" s="91"/>
    </row>
    <row r="34" spans="1:17" s="101" customFormat="1" x14ac:dyDescent="0.35">
      <c r="A34" s="90"/>
      <c r="B34" s="91"/>
      <c r="C34" s="91"/>
      <c r="D34" s="91"/>
      <c r="E34" s="91"/>
      <c r="F34" s="91"/>
      <c r="G34" s="91"/>
      <c r="H34" s="91"/>
      <c r="I34" s="91"/>
      <c r="J34" s="91"/>
      <c r="K34" s="91"/>
      <c r="L34" s="213"/>
      <c r="M34" s="213"/>
      <c r="N34" s="213"/>
      <c r="O34" s="214"/>
      <c r="P34" s="214"/>
      <c r="Q34" s="91"/>
    </row>
    <row r="35" spans="1:17" s="101" customFormat="1" x14ac:dyDescent="0.35">
      <c r="A35" s="90"/>
      <c r="B35" s="91"/>
      <c r="C35" s="91"/>
      <c r="D35" s="91"/>
      <c r="E35" s="91"/>
      <c r="F35" s="91"/>
      <c r="G35" s="91"/>
      <c r="H35" s="91"/>
      <c r="I35" s="91"/>
      <c r="J35" s="91"/>
      <c r="K35" s="91"/>
      <c r="L35" s="213"/>
      <c r="M35" s="213"/>
      <c r="N35" s="213"/>
      <c r="O35" s="214"/>
      <c r="P35" s="214"/>
      <c r="Q35" s="91"/>
    </row>
    <row r="36" spans="1:17" s="101" customFormat="1" x14ac:dyDescent="0.35">
      <c r="A36" s="218"/>
      <c r="B36" s="219"/>
      <c r="C36" s="219"/>
      <c r="D36" s="219"/>
      <c r="E36" s="219"/>
      <c r="F36" s="219"/>
      <c r="G36" s="219"/>
      <c r="H36" s="219"/>
      <c r="I36" s="219"/>
      <c r="J36" s="219"/>
      <c r="K36" s="219"/>
      <c r="L36" s="217"/>
      <c r="M36" s="217"/>
      <c r="N36" s="217"/>
      <c r="O36" s="216"/>
      <c r="P36" s="216"/>
      <c r="Q36" s="91"/>
    </row>
    <row r="37" spans="1:17" s="101" customFormat="1" x14ac:dyDescent="0.35">
      <c r="A37" s="212"/>
      <c r="B37" s="91"/>
      <c r="C37" s="91"/>
      <c r="D37" s="91"/>
      <c r="E37" s="91"/>
      <c r="F37" s="91"/>
      <c r="G37" s="91"/>
      <c r="H37" s="91"/>
      <c r="I37" s="91"/>
      <c r="J37" s="91"/>
      <c r="K37" s="91"/>
      <c r="L37" s="213"/>
      <c r="M37" s="213"/>
      <c r="N37" s="213"/>
      <c r="O37" s="214"/>
      <c r="P37" s="214"/>
      <c r="Q37" s="91"/>
    </row>
    <row r="38" spans="1:17" s="101" customFormat="1" x14ac:dyDescent="0.35">
      <c r="A38" s="90"/>
      <c r="B38" s="91"/>
      <c r="C38" s="91"/>
      <c r="D38" s="91"/>
      <c r="E38" s="91"/>
      <c r="F38" s="91"/>
      <c r="G38" s="91"/>
      <c r="H38" s="91"/>
      <c r="I38" s="91"/>
      <c r="J38" s="91"/>
      <c r="K38" s="91"/>
      <c r="L38" s="213"/>
      <c r="M38" s="213"/>
      <c r="N38" s="213"/>
      <c r="O38" s="214"/>
      <c r="P38" s="214"/>
      <c r="Q38" s="91"/>
    </row>
    <row r="39" spans="1:17" s="101" customFormat="1" x14ac:dyDescent="0.35">
      <c r="A39" s="90"/>
      <c r="B39" s="91"/>
      <c r="C39" s="91"/>
      <c r="D39" s="91"/>
      <c r="E39" s="91"/>
      <c r="F39" s="91"/>
      <c r="G39" s="91"/>
      <c r="H39" s="91"/>
      <c r="I39" s="91"/>
      <c r="J39" s="91"/>
      <c r="K39" s="91"/>
      <c r="L39" s="213"/>
      <c r="M39" s="213"/>
      <c r="N39" s="213"/>
      <c r="O39" s="214"/>
      <c r="P39" s="214"/>
      <c r="Q39" s="91"/>
    </row>
    <row r="40" spans="1:17" s="101" customFormat="1" x14ac:dyDescent="0.35">
      <c r="A40" s="90"/>
      <c r="B40" s="91"/>
      <c r="C40" s="91"/>
      <c r="D40" s="91"/>
      <c r="E40" s="91"/>
      <c r="F40" s="91"/>
      <c r="G40" s="91"/>
      <c r="H40" s="91"/>
      <c r="I40" s="91"/>
      <c r="J40" s="91"/>
      <c r="K40" s="91"/>
      <c r="L40" s="213"/>
      <c r="M40" s="213"/>
      <c r="N40" s="213"/>
      <c r="O40" s="214"/>
      <c r="P40" s="214"/>
      <c r="Q40" s="91"/>
    </row>
    <row r="41" spans="1:17" s="101" customFormat="1" x14ac:dyDescent="0.35">
      <c r="A41" s="90"/>
      <c r="B41" s="91"/>
      <c r="C41" s="91"/>
      <c r="D41" s="91"/>
      <c r="E41" s="91"/>
      <c r="F41" s="91"/>
      <c r="G41" s="91"/>
      <c r="H41" s="91"/>
      <c r="I41" s="91"/>
      <c r="J41" s="91"/>
      <c r="K41" s="91"/>
      <c r="L41" s="213"/>
      <c r="M41" s="213"/>
      <c r="N41" s="213"/>
      <c r="O41" s="214"/>
      <c r="P41" s="214"/>
      <c r="Q41" s="91"/>
    </row>
    <row r="42" spans="1:17" s="101" customFormat="1" x14ac:dyDescent="0.35">
      <c r="A42" s="90"/>
      <c r="B42" s="91"/>
      <c r="C42" s="91"/>
      <c r="D42" s="91"/>
      <c r="E42" s="91"/>
      <c r="F42" s="91"/>
      <c r="G42" s="91"/>
      <c r="H42" s="91"/>
      <c r="I42" s="91"/>
      <c r="J42" s="91"/>
      <c r="K42" s="91"/>
      <c r="L42" s="213"/>
      <c r="M42" s="213"/>
      <c r="N42" s="213"/>
      <c r="O42" s="214"/>
      <c r="P42" s="214"/>
      <c r="Q42" s="91"/>
    </row>
    <row r="43" spans="1:17" s="101" customFormat="1" x14ac:dyDescent="0.35">
      <c r="A43" s="90"/>
      <c r="B43" s="91"/>
      <c r="C43" s="91"/>
      <c r="D43" s="91"/>
      <c r="E43" s="91"/>
      <c r="F43" s="91"/>
      <c r="G43" s="91"/>
      <c r="H43" s="91"/>
      <c r="I43" s="91"/>
      <c r="J43" s="91"/>
      <c r="K43" s="91"/>
      <c r="L43" s="213"/>
      <c r="M43" s="213"/>
      <c r="N43" s="213"/>
      <c r="O43" s="214"/>
      <c r="P43" s="214"/>
      <c r="Q43" s="91"/>
    </row>
    <row r="44" spans="1:17" s="101" customFormat="1" x14ac:dyDescent="0.35">
      <c r="A44" s="90"/>
      <c r="B44" s="91"/>
      <c r="C44" s="91"/>
      <c r="D44" s="91"/>
      <c r="E44" s="91"/>
      <c r="F44" s="91"/>
      <c r="G44" s="91"/>
      <c r="H44" s="91"/>
      <c r="I44" s="91"/>
      <c r="J44" s="91"/>
      <c r="K44" s="91"/>
      <c r="L44" s="213"/>
      <c r="M44" s="213"/>
      <c r="N44" s="213"/>
      <c r="O44" s="214"/>
      <c r="P44" s="214"/>
      <c r="Q44" s="91"/>
    </row>
    <row r="45" spans="1:17" s="101" customFormat="1" x14ac:dyDescent="0.35">
      <c r="A45" s="90"/>
      <c r="B45" s="91"/>
      <c r="C45" s="91"/>
      <c r="D45" s="91"/>
      <c r="E45" s="91"/>
      <c r="F45" s="91"/>
      <c r="G45" s="91"/>
      <c r="H45" s="91"/>
      <c r="I45" s="91"/>
      <c r="J45" s="91"/>
      <c r="K45" s="91"/>
      <c r="L45" s="213"/>
      <c r="M45" s="213"/>
      <c r="N45" s="213"/>
      <c r="O45" s="214"/>
      <c r="P45" s="214"/>
      <c r="Q45" s="91"/>
    </row>
    <row r="46" spans="1:17" s="101" customFormat="1" x14ac:dyDescent="0.35">
      <c r="A46" s="90"/>
      <c r="B46" s="91"/>
      <c r="C46" s="91"/>
      <c r="D46" s="91"/>
      <c r="E46" s="91"/>
      <c r="F46" s="91"/>
      <c r="G46" s="91"/>
      <c r="H46" s="91"/>
      <c r="I46" s="91"/>
      <c r="J46" s="91"/>
      <c r="K46" s="91"/>
      <c r="L46" s="94"/>
      <c r="M46" s="94"/>
      <c r="N46" s="94"/>
      <c r="O46" s="91"/>
      <c r="P46" s="91"/>
      <c r="Q46" s="91"/>
    </row>
    <row r="47" spans="1:17" s="101" customFormat="1" x14ac:dyDescent="0.35">
      <c r="A47" s="90"/>
      <c r="B47" s="91"/>
      <c r="C47" s="91"/>
      <c r="D47" s="91"/>
      <c r="E47" s="91"/>
      <c r="F47" s="91"/>
      <c r="G47" s="91"/>
      <c r="H47" s="91"/>
      <c r="I47" s="91"/>
      <c r="J47" s="91"/>
      <c r="K47" s="91"/>
      <c r="L47" s="94"/>
      <c r="M47" s="94"/>
      <c r="N47" s="94"/>
      <c r="O47" s="91"/>
      <c r="P47" s="91"/>
      <c r="Q47" s="91"/>
    </row>
    <row r="48" spans="1:17" s="101" customFormat="1" x14ac:dyDescent="0.35">
      <c r="A48" s="90"/>
      <c r="B48" s="91"/>
      <c r="C48" s="91"/>
      <c r="D48" s="91"/>
      <c r="E48" s="91"/>
      <c r="F48" s="91"/>
      <c r="G48" s="91"/>
      <c r="H48" s="91"/>
      <c r="I48" s="91"/>
      <c r="J48" s="91"/>
      <c r="K48" s="91"/>
      <c r="L48" s="94"/>
      <c r="M48" s="94"/>
      <c r="N48" s="94"/>
      <c r="O48" s="91"/>
      <c r="P48" s="91"/>
      <c r="Q48" s="91"/>
    </row>
    <row r="49" spans="1:17" s="101" customFormat="1" x14ac:dyDescent="0.35">
      <c r="A49" s="90"/>
      <c r="B49" s="91"/>
      <c r="C49" s="91"/>
      <c r="D49" s="91"/>
      <c r="E49" s="91"/>
      <c r="F49" s="91"/>
      <c r="G49" s="91"/>
      <c r="H49" s="91"/>
      <c r="I49" s="91"/>
      <c r="J49" s="91"/>
      <c r="K49" s="91"/>
      <c r="L49" s="94"/>
      <c r="M49" s="94"/>
      <c r="N49" s="94"/>
      <c r="O49" s="91"/>
      <c r="P49" s="91"/>
      <c r="Q49" s="91"/>
    </row>
    <row r="50" spans="1:17" s="101" customFormat="1" x14ac:dyDescent="0.35">
      <c r="A50" s="90"/>
      <c r="B50" s="91"/>
      <c r="C50" s="91"/>
      <c r="D50" s="91"/>
      <c r="E50" s="91"/>
      <c r="F50" s="91"/>
      <c r="G50" s="91"/>
      <c r="H50" s="91"/>
      <c r="I50" s="91"/>
      <c r="J50" s="91"/>
      <c r="K50" s="91"/>
      <c r="L50" s="94"/>
      <c r="M50" s="94"/>
      <c r="N50" s="94"/>
      <c r="O50" s="91"/>
      <c r="P50" s="91"/>
      <c r="Q50" s="91"/>
    </row>
    <row r="51" spans="1:17" s="101" customFormat="1" x14ac:dyDescent="0.35">
      <c r="A51" s="90"/>
      <c r="B51" s="91"/>
      <c r="C51" s="91"/>
      <c r="D51" s="91"/>
      <c r="E51" s="91"/>
      <c r="F51" s="91"/>
      <c r="G51" s="91"/>
      <c r="H51" s="91"/>
      <c r="I51" s="91"/>
      <c r="J51" s="91"/>
      <c r="K51" s="91"/>
      <c r="L51" s="94"/>
      <c r="M51" s="94"/>
      <c r="N51" s="94"/>
      <c r="O51" s="91"/>
      <c r="P51" s="91"/>
      <c r="Q51" s="91"/>
    </row>
    <row r="52" spans="1:17" s="101" customFormat="1" x14ac:dyDescent="0.35">
      <c r="A52" s="90"/>
      <c r="B52" s="91"/>
      <c r="C52" s="91"/>
      <c r="D52" s="91"/>
      <c r="E52" s="91"/>
      <c r="F52" s="91"/>
      <c r="G52" s="91"/>
      <c r="H52" s="91"/>
      <c r="I52" s="91"/>
      <c r="J52" s="91"/>
      <c r="K52" s="91"/>
      <c r="L52" s="94"/>
      <c r="M52" s="94"/>
      <c r="N52" s="94"/>
      <c r="O52" s="91"/>
      <c r="P52" s="91"/>
      <c r="Q52" s="91"/>
    </row>
    <row r="53" spans="1:17" s="101" customFormat="1" x14ac:dyDescent="0.35">
      <c r="A53" s="90"/>
      <c r="B53" s="91"/>
      <c r="C53" s="91"/>
      <c r="D53" s="91"/>
      <c r="E53" s="91"/>
      <c r="F53" s="91"/>
      <c r="G53" s="91"/>
      <c r="H53" s="91"/>
      <c r="I53" s="91"/>
      <c r="J53" s="91"/>
      <c r="K53" s="91"/>
      <c r="L53" s="94"/>
      <c r="M53" s="94"/>
      <c r="N53" s="94"/>
      <c r="O53" s="91"/>
      <c r="P53" s="91"/>
      <c r="Q53" s="91"/>
    </row>
    <row r="54" spans="1:17" s="101" customFormat="1" x14ac:dyDescent="0.35">
      <c r="A54" s="90"/>
      <c r="B54" s="91"/>
      <c r="C54" s="91"/>
      <c r="D54" s="91"/>
      <c r="E54" s="91"/>
      <c r="F54" s="91"/>
      <c r="G54" s="91"/>
      <c r="H54" s="91"/>
      <c r="I54" s="91"/>
      <c r="J54" s="91"/>
      <c r="K54" s="91"/>
      <c r="L54" s="94"/>
      <c r="M54" s="94"/>
      <c r="N54" s="94"/>
      <c r="O54" s="91"/>
      <c r="P54" s="91"/>
      <c r="Q54" s="91"/>
    </row>
    <row r="55" spans="1:17" s="101" customFormat="1" x14ac:dyDescent="0.35">
      <c r="A55" s="90"/>
      <c r="B55" s="91"/>
      <c r="C55" s="91"/>
      <c r="D55" s="91"/>
      <c r="E55" s="91"/>
      <c r="F55" s="91"/>
      <c r="G55" s="91"/>
      <c r="H55" s="91"/>
      <c r="I55" s="91"/>
      <c r="J55" s="91"/>
      <c r="K55" s="91"/>
      <c r="L55" s="94"/>
      <c r="M55" s="94"/>
      <c r="N55" s="94"/>
      <c r="O55" s="91"/>
      <c r="P55" s="91"/>
      <c r="Q55" s="91"/>
    </row>
    <row r="56" spans="1:17" s="101" customFormat="1" x14ac:dyDescent="0.35">
      <c r="A56" s="90"/>
      <c r="B56" s="91"/>
      <c r="C56" s="91"/>
      <c r="D56" s="91"/>
      <c r="E56" s="91"/>
      <c r="F56" s="91"/>
      <c r="G56" s="91"/>
      <c r="H56" s="91"/>
      <c r="I56" s="91"/>
      <c r="J56" s="91"/>
      <c r="K56" s="94"/>
      <c r="L56" s="94"/>
      <c r="M56" s="94"/>
      <c r="N56" s="91"/>
      <c r="O56" s="91"/>
      <c r="P56" s="91"/>
      <c r="Q56" s="91"/>
    </row>
    <row r="57" spans="1:17" s="101" customFormat="1" x14ac:dyDescent="0.35">
      <c r="A57" s="90"/>
      <c r="B57" s="91"/>
      <c r="C57" s="91"/>
      <c r="D57" s="91"/>
      <c r="E57" s="91"/>
      <c r="F57" s="91"/>
      <c r="G57" s="91"/>
      <c r="H57" s="91"/>
      <c r="I57" s="91"/>
      <c r="J57" s="91"/>
      <c r="K57" s="94"/>
      <c r="L57" s="94"/>
      <c r="M57" s="94"/>
      <c r="N57" s="91"/>
      <c r="O57" s="91"/>
      <c r="P57" s="91"/>
      <c r="Q57" s="91"/>
    </row>
    <row r="58" spans="1:17" s="101" customFormat="1" x14ac:dyDescent="0.35">
      <c r="A58" s="90"/>
      <c r="B58" s="91"/>
      <c r="C58" s="91"/>
      <c r="D58" s="91"/>
      <c r="E58" s="91"/>
      <c r="F58" s="91"/>
      <c r="G58" s="91"/>
      <c r="H58" s="91"/>
      <c r="I58" s="91"/>
      <c r="J58" s="91"/>
      <c r="K58" s="94"/>
      <c r="L58" s="94"/>
      <c r="M58" s="94"/>
      <c r="N58" s="91"/>
      <c r="O58" s="91"/>
      <c r="P58" s="91"/>
      <c r="Q58" s="91"/>
    </row>
    <row r="59" spans="1:17" s="101" customFormat="1" x14ac:dyDescent="0.35">
      <c r="A59" s="90"/>
      <c r="B59" s="91"/>
      <c r="C59" s="91"/>
      <c r="D59" s="91"/>
      <c r="E59" s="91"/>
      <c r="F59" s="91"/>
      <c r="G59" s="91"/>
      <c r="H59" s="91"/>
      <c r="I59" s="91"/>
      <c r="J59" s="91"/>
      <c r="K59" s="94"/>
      <c r="L59" s="94"/>
      <c r="M59" s="94"/>
      <c r="N59" s="91"/>
      <c r="O59" s="91"/>
      <c r="P59" s="91"/>
      <c r="Q59" s="91"/>
    </row>
    <row r="60" spans="1:17" s="101" customFormat="1" x14ac:dyDescent="0.35">
      <c r="A60" s="90"/>
      <c r="B60" s="91"/>
      <c r="C60" s="91"/>
      <c r="D60" s="91"/>
      <c r="E60" s="91"/>
      <c r="F60" s="91"/>
      <c r="G60" s="91"/>
      <c r="H60" s="91"/>
      <c r="I60" s="91"/>
      <c r="J60" s="91"/>
      <c r="K60" s="94"/>
      <c r="L60" s="94"/>
      <c r="M60" s="94"/>
      <c r="N60" s="91"/>
      <c r="O60" s="91"/>
      <c r="P60" s="91"/>
      <c r="Q60" s="91"/>
    </row>
    <row r="61" spans="1:17" s="101" customFormat="1" x14ac:dyDescent="0.35">
      <c r="A61" s="90"/>
      <c r="B61" s="91"/>
      <c r="C61" s="91"/>
      <c r="D61" s="91"/>
      <c r="E61" s="91"/>
      <c r="F61" s="91"/>
      <c r="G61" s="91"/>
      <c r="H61" s="91"/>
      <c r="I61" s="91"/>
      <c r="J61" s="91"/>
      <c r="K61" s="94"/>
      <c r="L61" s="94"/>
      <c r="M61" s="94"/>
      <c r="N61" s="91"/>
      <c r="O61" s="91"/>
      <c r="P61" s="91"/>
      <c r="Q61" s="91"/>
    </row>
    <row r="62" spans="1:17" s="101" customFormat="1" x14ac:dyDescent="0.35">
      <c r="A62" s="90"/>
      <c r="B62" s="91"/>
      <c r="C62" s="91"/>
      <c r="D62" s="91"/>
      <c r="E62" s="91"/>
      <c r="F62" s="91"/>
      <c r="G62" s="91"/>
      <c r="H62" s="91"/>
      <c r="I62" s="91"/>
      <c r="J62" s="91"/>
      <c r="K62" s="94"/>
      <c r="L62" s="94"/>
      <c r="M62" s="94"/>
      <c r="N62" s="91"/>
      <c r="O62" s="91"/>
      <c r="P62" s="91"/>
      <c r="Q62" s="91"/>
    </row>
    <row r="63" spans="1:17" s="101" customFormat="1" x14ac:dyDescent="0.35">
      <c r="A63" s="90"/>
      <c r="B63" s="91"/>
      <c r="C63" s="91"/>
      <c r="D63" s="91"/>
      <c r="E63" s="91"/>
      <c r="F63" s="91"/>
      <c r="G63" s="91"/>
      <c r="H63" s="91"/>
      <c r="I63" s="91"/>
      <c r="J63" s="91"/>
      <c r="K63" s="94"/>
      <c r="L63" s="94"/>
      <c r="M63" s="94"/>
      <c r="N63" s="91"/>
      <c r="O63" s="91"/>
      <c r="P63" s="91"/>
      <c r="Q63" s="91"/>
    </row>
    <row r="64" spans="1:17" s="101" customFormat="1" x14ac:dyDescent="0.35">
      <c r="A64" s="90"/>
      <c r="B64" s="91"/>
      <c r="C64" s="91"/>
      <c r="D64" s="91"/>
      <c r="E64" s="91"/>
      <c r="F64" s="91"/>
      <c r="G64" s="91"/>
      <c r="H64" s="91"/>
      <c r="I64" s="91"/>
      <c r="J64" s="91"/>
      <c r="K64" s="94"/>
      <c r="L64" s="94"/>
      <c r="M64" s="94"/>
      <c r="N64" s="91"/>
      <c r="O64" s="91"/>
      <c r="P64" s="91"/>
      <c r="Q64" s="91"/>
    </row>
    <row r="65" spans="1:17" s="101" customFormat="1" x14ac:dyDescent="0.35">
      <c r="A65" s="90"/>
      <c r="B65" s="91"/>
      <c r="C65" s="91"/>
      <c r="D65" s="91"/>
      <c r="E65" s="91"/>
      <c r="F65" s="91"/>
      <c r="G65" s="91"/>
      <c r="H65" s="91"/>
      <c r="I65" s="91"/>
      <c r="J65" s="91"/>
      <c r="K65" s="94"/>
      <c r="L65" s="94"/>
      <c r="M65" s="94"/>
      <c r="N65" s="91"/>
      <c r="O65" s="91"/>
      <c r="P65" s="91"/>
      <c r="Q65" s="91"/>
    </row>
    <row r="66" spans="1:17" s="101" customFormat="1" x14ac:dyDescent="0.35">
      <c r="A66" s="90"/>
      <c r="B66" s="91"/>
      <c r="C66" s="91"/>
      <c r="D66" s="91"/>
      <c r="E66" s="91"/>
      <c r="F66" s="91"/>
      <c r="G66" s="91"/>
      <c r="H66" s="91"/>
      <c r="I66" s="91"/>
      <c r="J66" s="91"/>
      <c r="K66" s="94"/>
      <c r="L66" s="94"/>
      <c r="M66" s="94"/>
      <c r="N66" s="91"/>
      <c r="O66" s="91"/>
      <c r="P66" s="91"/>
      <c r="Q66" s="91"/>
    </row>
    <row r="67" spans="1:17" s="101" customFormat="1" x14ac:dyDescent="0.35">
      <c r="A67" s="90"/>
      <c r="B67" s="91"/>
      <c r="C67" s="91"/>
      <c r="D67" s="91"/>
      <c r="E67" s="91"/>
      <c r="F67" s="91"/>
      <c r="G67" s="91"/>
      <c r="H67" s="91"/>
      <c r="I67" s="91"/>
      <c r="J67" s="91"/>
      <c r="K67" s="94"/>
      <c r="L67" s="94"/>
      <c r="M67" s="94"/>
      <c r="N67" s="91"/>
      <c r="O67" s="91"/>
      <c r="P67" s="91"/>
      <c r="Q67" s="91"/>
    </row>
    <row r="68" spans="1:17" s="101" customFormat="1" x14ac:dyDescent="0.35">
      <c r="A68" s="90"/>
      <c r="B68" s="91"/>
      <c r="C68" s="91"/>
      <c r="D68" s="91"/>
      <c r="E68" s="91"/>
      <c r="F68" s="91"/>
      <c r="G68" s="91"/>
      <c r="H68" s="91"/>
      <c r="I68" s="91"/>
      <c r="J68" s="91"/>
      <c r="K68" s="94"/>
      <c r="L68" s="94"/>
      <c r="M68" s="94"/>
      <c r="N68" s="91"/>
      <c r="O68" s="91"/>
      <c r="P68" s="91"/>
      <c r="Q68" s="91"/>
    </row>
    <row r="69" spans="1:17" s="101" customFormat="1" x14ac:dyDescent="0.35">
      <c r="A69" s="90"/>
      <c r="B69" s="91"/>
      <c r="C69" s="91"/>
      <c r="D69" s="91"/>
      <c r="E69" s="91"/>
      <c r="F69" s="91"/>
      <c r="G69" s="91"/>
      <c r="H69" s="91"/>
      <c r="I69" s="91"/>
      <c r="J69" s="91"/>
      <c r="K69" s="94"/>
      <c r="L69" s="94"/>
      <c r="M69" s="94"/>
      <c r="N69" s="91"/>
      <c r="O69" s="91"/>
      <c r="P69" s="91"/>
      <c r="Q69" s="91"/>
    </row>
    <row r="70" spans="1:17" s="101" customFormat="1" x14ac:dyDescent="0.35">
      <c r="A70" s="90"/>
      <c r="B70" s="91"/>
      <c r="C70" s="91"/>
      <c r="D70" s="91"/>
      <c r="E70" s="91"/>
      <c r="F70" s="91"/>
      <c r="G70" s="91"/>
      <c r="H70" s="91"/>
      <c r="I70" s="91"/>
      <c r="J70" s="91"/>
      <c r="K70" s="94"/>
      <c r="L70" s="94"/>
      <c r="M70" s="94"/>
      <c r="N70" s="91"/>
      <c r="O70" s="91"/>
      <c r="P70" s="91"/>
      <c r="Q70" s="91"/>
    </row>
    <row r="71" spans="1:17" s="101" customFormat="1" x14ac:dyDescent="0.35">
      <c r="A71" s="90"/>
      <c r="B71" s="91"/>
      <c r="C71" s="91"/>
      <c r="D71" s="91"/>
      <c r="E71" s="91"/>
      <c r="F71" s="91"/>
      <c r="G71" s="91"/>
      <c r="H71" s="91"/>
      <c r="I71" s="91"/>
      <c r="J71" s="91"/>
      <c r="K71" s="94"/>
      <c r="L71" s="94"/>
      <c r="M71" s="94"/>
      <c r="N71" s="91"/>
      <c r="O71" s="91"/>
      <c r="P71" s="91"/>
      <c r="Q71" s="91"/>
    </row>
    <row r="72" spans="1:17" s="101" customFormat="1" x14ac:dyDescent="0.35">
      <c r="A72" s="90"/>
      <c r="B72" s="91"/>
      <c r="C72" s="91"/>
      <c r="D72" s="91"/>
      <c r="E72" s="91"/>
      <c r="F72" s="91"/>
      <c r="G72" s="91"/>
      <c r="H72" s="91"/>
      <c r="I72" s="91"/>
      <c r="J72" s="91"/>
      <c r="K72" s="94"/>
      <c r="L72" s="94"/>
      <c r="M72" s="94"/>
      <c r="N72" s="91"/>
      <c r="O72" s="91"/>
      <c r="P72" s="91"/>
      <c r="Q72" s="91"/>
    </row>
    <row r="73" spans="1:17" s="101" customFormat="1" x14ac:dyDescent="0.35">
      <c r="A73" s="90"/>
      <c r="B73" s="91"/>
      <c r="C73" s="91"/>
      <c r="D73" s="91"/>
      <c r="E73" s="91"/>
      <c r="F73" s="91"/>
      <c r="G73" s="91"/>
      <c r="H73" s="91"/>
      <c r="I73" s="91"/>
      <c r="J73" s="91"/>
      <c r="K73" s="94"/>
      <c r="L73" s="94"/>
      <c r="M73" s="94"/>
      <c r="N73" s="91"/>
      <c r="O73" s="91"/>
      <c r="P73" s="91"/>
      <c r="Q73" s="91"/>
    </row>
    <row r="74" spans="1:17" s="101" customFormat="1" x14ac:dyDescent="0.35">
      <c r="A74" s="90"/>
      <c r="B74" s="91"/>
      <c r="C74" s="91"/>
      <c r="D74" s="91"/>
      <c r="E74" s="91"/>
      <c r="F74" s="91"/>
      <c r="G74" s="91"/>
      <c r="H74" s="91"/>
      <c r="I74" s="91"/>
      <c r="J74" s="91"/>
      <c r="K74" s="94"/>
      <c r="L74" s="94"/>
      <c r="M74" s="94"/>
      <c r="N74" s="91"/>
      <c r="O74" s="91"/>
      <c r="P74" s="91"/>
      <c r="Q74" s="91"/>
    </row>
    <row r="75" spans="1:17" s="101" customFormat="1" x14ac:dyDescent="0.35">
      <c r="A75" s="90"/>
      <c r="B75" s="91"/>
      <c r="C75" s="91"/>
      <c r="D75" s="91"/>
      <c r="E75" s="91"/>
      <c r="F75" s="91"/>
      <c r="G75" s="91"/>
      <c r="H75" s="91"/>
      <c r="I75" s="91"/>
      <c r="J75" s="91"/>
      <c r="K75" s="94"/>
      <c r="L75" s="94"/>
      <c r="M75" s="94"/>
      <c r="N75" s="91"/>
      <c r="O75" s="91"/>
      <c r="P75" s="91"/>
      <c r="Q75" s="91"/>
    </row>
    <row r="76" spans="1:17" s="101" customFormat="1" x14ac:dyDescent="0.35">
      <c r="A76" s="90"/>
      <c r="B76" s="91"/>
      <c r="C76" s="91"/>
      <c r="D76" s="91"/>
      <c r="E76" s="91"/>
      <c r="F76" s="91"/>
      <c r="G76" s="91"/>
      <c r="H76" s="91"/>
      <c r="I76" s="91"/>
      <c r="J76" s="91"/>
      <c r="K76" s="94"/>
      <c r="L76" s="94"/>
      <c r="M76" s="94"/>
      <c r="N76" s="91"/>
      <c r="O76" s="91"/>
      <c r="P76" s="91"/>
      <c r="Q76" s="91"/>
    </row>
    <row r="77" spans="1:17" s="101" customFormat="1" x14ac:dyDescent="0.35">
      <c r="A77" s="90"/>
      <c r="B77" s="91"/>
      <c r="C77" s="91"/>
      <c r="D77" s="91"/>
      <c r="E77" s="91"/>
      <c r="F77" s="91"/>
      <c r="G77" s="91"/>
      <c r="H77" s="91"/>
      <c r="I77" s="91"/>
      <c r="J77" s="91"/>
      <c r="K77" s="94"/>
      <c r="L77" s="94"/>
      <c r="M77" s="94"/>
      <c r="N77" s="91"/>
      <c r="O77" s="91"/>
      <c r="P77" s="91"/>
      <c r="Q77" s="91"/>
    </row>
    <row r="78" spans="1:17" s="101" customFormat="1" x14ac:dyDescent="0.35">
      <c r="A78" s="90"/>
      <c r="B78" s="91"/>
      <c r="C78" s="91"/>
      <c r="D78" s="91"/>
      <c r="E78" s="91"/>
      <c r="F78" s="91"/>
      <c r="G78" s="91"/>
      <c r="H78" s="91"/>
      <c r="I78" s="91"/>
      <c r="J78" s="91"/>
      <c r="K78" s="94"/>
      <c r="L78" s="94"/>
      <c r="M78" s="94"/>
      <c r="N78" s="91"/>
      <c r="O78" s="91"/>
      <c r="P78" s="91"/>
      <c r="Q78" s="91"/>
    </row>
    <row r="79" spans="1:17" s="101" customFormat="1" x14ac:dyDescent="0.35">
      <c r="A79" s="90"/>
      <c r="B79" s="91"/>
      <c r="C79" s="91"/>
      <c r="D79" s="91"/>
      <c r="E79" s="91"/>
      <c r="F79" s="91"/>
      <c r="G79" s="91"/>
      <c r="H79" s="91"/>
      <c r="I79" s="91"/>
      <c r="J79" s="91"/>
      <c r="K79" s="94"/>
      <c r="L79" s="94"/>
      <c r="M79" s="94"/>
      <c r="N79" s="91"/>
      <c r="O79" s="91"/>
      <c r="P79" s="91"/>
      <c r="Q79" s="91"/>
    </row>
    <row r="80" spans="1:17" s="101" customFormat="1" x14ac:dyDescent="0.35">
      <c r="A80" s="90"/>
      <c r="B80" s="91"/>
      <c r="C80" s="91"/>
      <c r="D80" s="91"/>
      <c r="E80" s="91"/>
      <c r="F80" s="91"/>
      <c r="G80" s="91"/>
      <c r="H80" s="91"/>
      <c r="I80" s="91"/>
      <c r="J80" s="91"/>
      <c r="K80" s="94"/>
      <c r="L80" s="94"/>
      <c r="M80" s="94"/>
      <c r="N80" s="91"/>
      <c r="O80" s="91"/>
      <c r="P80" s="91"/>
      <c r="Q80" s="91"/>
    </row>
    <row r="81" spans="1:17" s="101" customFormat="1" x14ac:dyDescent="0.35">
      <c r="A81" s="90"/>
      <c r="B81" s="91"/>
      <c r="C81" s="91"/>
      <c r="D81" s="91"/>
      <c r="E81" s="91"/>
      <c r="F81" s="91"/>
      <c r="G81" s="91"/>
      <c r="H81" s="91"/>
      <c r="I81" s="91"/>
      <c r="J81" s="91"/>
      <c r="K81" s="94"/>
      <c r="L81" s="94"/>
      <c r="M81" s="94"/>
      <c r="N81" s="91"/>
      <c r="O81" s="91"/>
      <c r="P81" s="91"/>
      <c r="Q81" s="91"/>
    </row>
    <row r="82" spans="1:17" s="101" customFormat="1" x14ac:dyDescent="0.35">
      <c r="A82" s="90"/>
      <c r="B82" s="91"/>
      <c r="C82" s="91"/>
      <c r="D82" s="91"/>
      <c r="E82" s="91"/>
      <c r="F82" s="91"/>
      <c r="G82" s="91"/>
      <c r="H82" s="91"/>
      <c r="I82" s="91"/>
      <c r="J82" s="91"/>
      <c r="K82" s="94"/>
      <c r="L82" s="94"/>
      <c r="M82" s="94"/>
      <c r="N82" s="91"/>
      <c r="O82" s="91"/>
      <c r="P82" s="91"/>
      <c r="Q82" s="91"/>
    </row>
    <row r="83" spans="1:17" s="101" customFormat="1" x14ac:dyDescent="0.35">
      <c r="A83" s="90"/>
      <c r="B83" s="91"/>
      <c r="C83" s="91"/>
      <c r="D83" s="91"/>
      <c r="E83" s="91"/>
      <c r="F83" s="91"/>
      <c r="G83" s="91"/>
      <c r="H83" s="91"/>
      <c r="I83" s="91"/>
      <c r="J83" s="91"/>
      <c r="K83" s="94"/>
      <c r="L83" s="94"/>
      <c r="M83" s="94"/>
      <c r="N83" s="91"/>
      <c r="O83" s="91"/>
      <c r="P83" s="91"/>
      <c r="Q83" s="91"/>
    </row>
    <row r="84" spans="1:17" s="101" customFormat="1" x14ac:dyDescent="0.35">
      <c r="A84" s="90"/>
      <c r="B84" s="91"/>
      <c r="C84" s="91"/>
      <c r="D84" s="91"/>
      <c r="E84" s="91"/>
      <c r="F84" s="91"/>
      <c r="G84" s="91"/>
      <c r="H84" s="91"/>
      <c r="I84" s="91"/>
      <c r="J84" s="91"/>
      <c r="K84" s="94"/>
      <c r="L84" s="94"/>
      <c r="M84" s="94"/>
      <c r="N84" s="91"/>
      <c r="O84" s="91"/>
      <c r="P84" s="91"/>
      <c r="Q84" s="91"/>
    </row>
    <row r="85" spans="1:17" s="101" customFormat="1" x14ac:dyDescent="0.35">
      <c r="A85" s="90"/>
      <c r="B85" s="91"/>
      <c r="C85" s="91"/>
      <c r="D85" s="91"/>
      <c r="E85" s="91"/>
      <c r="F85" s="91"/>
      <c r="G85" s="91"/>
      <c r="H85" s="91"/>
      <c r="I85" s="91"/>
      <c r="J85" s="91"/>
      <c r="K85" s="94"/>
      <c r="L85" s="94"/>
      <c r="M85" s="94"/>
      <c r="N85" s="91"/>
      <c r="O85" s="91"/>
      <c r="P85" s="91"/>
      <c r="Q85" s="91"/>
    </row>
    <row r="86" spans="1:17" s="101" customFormat="1" x14ac:dyDescent="0.35">
      <c r="A86" s="90"/>
      <c r="B86" s="91"/>
      <c r="C86" s="91"/>
      <c r="D86" s="91"/>
      <c r="E86" s="91"/>
      <c r="F86" s="91"/>
      <c r="G86" s="91"/>
      <c r="H86" s="91"/>
      <c r="I86" s="91"/>
      <c r="J86" s="91"/>
      <c r="K86" s="94"/>
      <c r="L86" s="94"/>
      <c r="M86" s="94"/>
      <c r="N86" s="91"/>
      <c r="O86" s="91"/>
      <c r="P86" s="91"/>
      <c r="Q86" s="91"/>
    </row>
    <row r="87" spans="1:17" s="101" customFormat="1" x14ac:dyDescent="0.35">
      <c r="A87" s="90"/>
      <c r="B87" s="91"/>
      <c r="C87" s="91"/>
      <c r="D87" s="91"/>
      <c r="E87" s="91"/>
      <c r="F87" s="91"/>
      <c r="G87" s="91"/>
      <c r="H87" s="91"/>
      <c r="I87" s="91"/>
      <c r="J87" s="91"/>
      <c r="K87" s="94"/>
      <c r="L87" s="94"/>
      <c r="M87" s="94"/>
      <c r="N87" s="91"/>
      <c r="O87" s="91"/>
      <c r="P87" s="91"/>
      <c r="Q87" s="91"/>
    </row>
    <row r="88" spans="1:17" s="101" customFormat="1" x14ac:dyDescent="0.35">
      <c r="A88" s="90"/>
      <c r="B88" s="91"/>
      <c r="C88" s="91"/>
      <c r="D88" s="91"/>
      <c r="E88" s="91"/>
      <c r="F88" s="91"/>
      <c r="G88" s="91"/>
      <c r="H88" s="91"/>
      <c r="I88" s="91"/>
      <c r="J88" s="91"/>
      <c r="K88" s="94"/>
      <c r="L88" s="94"/>
      <c r="M88" s="94"/>
      <c r="N88" s="91"/>
      <c r="O88" s="91"/>
      <c r="P88" s="91"/>
      <c r="Q88" s="91"/>
    </row>
    <row r="89" spans="1:17" s="101" customFormat="1" x14ac:dyDescent="0.35">
      <c r="A89" s="90"/>
      <c r="B89" s="91"/>
      <c r="C89" s="91"/>
      <c r="D89" s="91"/>
      <c r="E89" s="91"/>
      <c r="F89" s="91"/>
      <c r="G89" s="91"/>
      <c r="H89" s="91"/>
      <c r="I89" s="91"/>
      <c r="J89" s="91"/>
      <c r="K89" s="94"/>
      <c r="L89" s="94"/>
      <c r="M89" s="94"/>
      <c r="N89" s="91"/>
      <c r="O89" s="91"/>
      <c r="P89" s="91"/>
      <c r="Q89" s="91"/>
    </row>
    <row r="90" spans="1:17" s="101" customFormat="1" x14ac:dyDescent="0.35">
      <c r="A90" s="90"/>
      <c r="B90" s="91"/>
      <c r="C90" s="91"/>
      <c r="D90" s="91"/>
      <c r="E90" s="91"/>
      <c r="F90" s="91"/>
      <c r="G90" s="91"/>
      <c r="H90" s="91"/>
      <c r="I90" s="91"/>
      <c r="J90" s="91"/>
      <c r="K90" s="94"/>
      <c r="L90" s="94"/>
      <c r="M90" s="94"/>
      <c r="N90" s="91"/>
      <c r="O90" s="91"/>
      <c r="P90" s="91"/>
      <c r="Q90" s="91"/>
    </row>
    <row r="91" spans="1:17" s="101" customFormat="1" x14ac:dyDescent="0.35">
      <c r="A91" s="90"/>
      <c r="B91" s="91"/>
      <c r="C91" s="91"/>
      <c r="D91" s="91"/>
      <c r="E91" s="91"/>
      <c r="F91" s="91"/>
      <c r="G91" s="91"/>
      <c r="H91" s="91"/>
      <c r="I91" s="91"/>
      <c r="J91" s="91"/>
      <c r="K91" s="94"/>
      <c r="L91" s="94"/>
      <c r="M91" s="94"/>
      <c r="N91" s="91"/>
      <c r="O91" s="91"/>
      <c r="P91" s="91"/>
      <c r="Q91" s="91"/>
    </row>
    <row r="92" spans="1:17" s="101" customFormat="1" x14ac:dyDescent="0.35">
      <c r="A92" s="90"/>
      <c r="B92" s="91"/>
      <c r="C92" s="91"/>
      <c r="D92" s="91"/>
      <c r="E92" s="91"/>
      <c r="F92" s="91"/>
      <c r="G92" s="91"/>
      <c r="H92" s="91"/>
      <c r="I92" s="91"/>
      <c r="J92" s="91"/>
      <c r="K92" s="94"/>
      <c r="L92" s="94"/>
      <c r="M92" s="94"/>
      <c r="N92" s="91"/>
      <c r="O92" s="91"/>
      <c r="P92" s="91"/>
      <c r="Q92" s="91"/>
    </row>
    <row r="93" spans="1:17" s="101" customFormat="1" x14ac:dyDescent="0.35">
      <c r="A93" s="90"/>
      <c r="B93" s="91"/>
      <c r="C93" s="91"/>
      <c r="D93" s="91"/>
      <c r="E93" s="91"/>
      <c r="F93" s="91"/>
      <c r="G93" s="91"/>
      <c r="H93" s="91"/>
      <c r="I93" s="91"/>
      <c r="J93" s="91"/>
      <c r="K93" s="94"/>
      <c r="L93" s="94"/>
      <c r="M93" s="94"/>
      <c r="N93" s="91"/>
      <c r="O93" s="91"/>
      <c r="P93" s="91"/>
      <c r="Q93" s="91"/>
    </row>
    <row r="94" spans="1:17" s="101" customFormat="1" x14ac:dyDescent="0.35">
      <c r="A94" s="90"/>
      <c r="B94" s="91"/>
      <c r="C94" s="91"/>
      <c r="D94" s="91"/>
      <c r="E94" s="91"/>
      <c r="F94" s="91"/>
      <c r="G94" s="91"/>
      <c r="H94" s="91"/>
      <c r="I94" s="91"/>
      <c r="J94" s="91"/>
      <c r="K94" s="94"/>
      <c r="L94" s="94"/>
      <c r="M94" s="94"/>
      <c r="N94" s="91"/>
      <c r="O94" s="91"/>
      <c r="P94" s="91"/>
      <c r="Q94" s="91"/>
    </row>
    <row r="95" spans="1:17" s="101" customFormat="1" x14ac:dyDescent="0.35">
      <c r="A95" s="90"/>
      <c r="B95" s="91"/>
      <c r="C95" s="91"/>
      <c r="D95" s="91"/>
      <c r="E95" s="91"/>
      <c r="F95" s="91"/>
      <c r="G95" s="91"/>
      <c r="H95" s="91"/>
      <c r="I95" s="91"/>
      <c r="J95" s="91"/>
      <c r="K95" s="94"/>
      <c r="L95" s="94"/>
      <c r="M95" s="94"/>
      <c r="N95" s="91"/>
      <c r="O95" s="91"/>
      <c r="P95" s="91"/>
      <c r="Q95" s="91"/>
    </row>
    <row r="96" spans="1:17" s="101" customFormat="1" x14ac:dyDescent="0.35">
      <c r="A96" s="90"/>
      <c r="B96" s="91"/>
      <c r="C96" s="91"/>
      <c r="D96" s="91"/>
      <c r="E96" s="91"/>
      <c r="F96" s="91"/>
      <c r="G96" s="91"/>
      <c r="H96" s="91"/>
      <c r="I96" s="91"/>
      <c r="J96" s="91"/>
      <c r="K96" s="94"/>
      <c r="L96" s="94"/>
      <c r="M96" s="94"/>
      <c r="N96" s="91"/>
      <c r="O96" s="91"/>
      <c r="P96" s="91"/>
      <c r="Q96" s="91"/>
    </row>
    <row r="97" spans="1:17" s="101" customFormat="1" x14ac:dyDescent="0.35">
      <c r="A97" s="90"/>
      <c r="B97" s="91"/>
      <c r="C97" s="91"/>
      <c r="D97" s="91"/>
      <c r="E97" s="91"/>
      <c r="F97" s="91"/>
      <c r="G97" s="91"/>
      <c r="H97" s="91"/>
      <c r="I97" s="91"/>
      <c r="J97" s="91"/>
      <c r="K97" s="94"/>
      <c r="L97" s="94"/>
      <c r="M97" s="94"/>
      <c r="N97" s="91"/>
      <c r="O97" s="91"/>
      <c r="P97" s="91"/>
      <c r="Q97" s="91"/>
    </row>
    <row r="98" spans="1:17" s="101" customFormat="1" x14ac:dyDescent="0.35">
      <c r="A98" s="90"/>
      <c r="B98" s="91"/>
      <c r="C98" s="91"/>
      <c r="D98" s="91"/>
      <c r="E98" s="91"/>
      <c r="F98" s="91"/>
      <c r="G98" s="91"/>
      <c r="H98" s="91"/>
      <c r="I98" s="91"/>
      <c r="J98" s="91"/>
      <c r="K98" s="94"/>
      <c r="L98" s="94"/>
      <c r="M98" s="94"/>
      <c r="N98" s="91"/>
      <c r="O98" s="91"/>
      <c r="P98" s="91"/>
      <c r="Q98" s="91"/>
    </row>
    <row r="99" spans="1:17" s="101" customFormat="1" x14ac:dyDescent="0.35">
      <c r="A99" s="90"/>
      <c r="B99" s="91"/>
      <c r="C99" s="91"/>
      <c r="D99" s="91"/>
      <c r="E99" s="91"/>
      <c r="F99" s="91"/>
      <c r="G99" s="91"/>
      <c r="H99" s="91"/>
      <c r="I99" s="91"/>
      <c r="J99" s="91"/>
      <c r="K99" s="94"/>
      <c r="L99" s="94"/>
      <c r="M99" s="94"/>
      <c r="N99" s="91"/>
      <c r="O99" s="91"/>
      <c r="P99" s="91"/>
      <c r="Q99" s="91"/>
    </row>
    <row r="100" spans="1:17" s="101" customFormat="1" x14ac:dyDescent="0.35">
      <c r="A100" s="90"/>
      <c r="B100" s="91"/>
      <c r="C100" s="91"/>
      <c r="D100" s="91"/>
      <c r="E100" s="91"/>
      <c r="F100" s="91"/>
      <c r="G100" s="91"/>
      <c r="H100" s="91"/>
      <c r="I100" s="91"/>
      <c r="J100" s="91"/>
      <c r="K100" s="94"/>
      <c r="L100" s="94"/>
      <c r="M100" s="94"/>
      <c r="N100" s="91"/>
      <c r="O100" s="91"/>
      <c r="P100" s="91"/>
      <c r="Q100" s="91"/>
    </row>
    <row r="101" spans="1:17" s="101" customFormat="1" x14ac:dyDescent="0.35">
      <c r="A101" s="90"/>
      <c r="B101" s="91"/>
      <c r="C101" s="91"/>
      <c r="D101" s="91"/>
      <c r="E101" s="91"/>
      <c r="F101" s="91"/>
      <c r="G101" s="91"/>
      <c r="H101" s="91"/>
      <c r="I101" s="91"/>
      <c r="J101" s="91"/>
      <c r="K101" s="94"/>
      <c r="L101" s="94"/>
      <c r="M101" s="94"/>
      <c r="N101" s="91"/>
      <c r="O101" s="91"/>
      <c r="P101" s="91"/>
      <c r="Q101" s="91"/>
    </row>
    <row r="102" spans="1:17" s="101" customFormat="1" x14ac:dyDescent="0.35">
      <c r="A102" s="90"/>
      <c r="B102" s="91"/>
      <c r="C102" s="91"/>
      <c r="D102" s="91"/>
      <c r="E102" s="91"/>
      <c r="F102" s="91"/>
      <c r="G102" s="91"/>
      <c r="H102" s="91"/>
      <c r="I102" s="91"/>
      <c r="J102" s="91"/>
      <c r="K102" s="94"/>
      <c r="L102" s="94"/>
      <c r="M102" s="94"/>
      <c r="N102" s="91"/>
      <c r="O102" s="91"/>
      <c r="P102" s="91"/>
      <c r="Q102" s="91"/>
    </row>
    <row r="103" spans="1:17" s="101" customFormat="1" x14ac:dyDescent="0.35">
      <c r="A103" s="90"/>
      <c r="B103" s="91"/>
      <c r="C103" s="91"/>
      <c r="D103" s="91"/>
      <c r="E103" s="91"/>
      <c r="F103" s="91"/>
      <c r="G103" s="91"/>
      <c r="H103" s="91"/>
      <c r="I103" s="91"/>
      <c r="J103" s="91"/>
      <c r="K103" s="94"/>
      <c r="L103" s="94"/>
      <c r="M103" s="94"/>
      <c r="N103" s="91"/>
      <c r="O103" s="91"/>
      <c r="P103" s="91"/>
      <c r="Q103" s="91"/>
    </row>
    <row r="104" spans="1:17" s="101" customFormat="1" x14ac:dyDescent="0.35">
      <c r="A104" s="90"/>
      <c r="B104" s="91"/>
      <c r="C104" s="91"/>
      <c r="D104" s="91"/>
      <c r="E104" s="91"/>
      <c r="F104" s="91"/>
      <c r="G104" s="91"/>
      <c r="H104" s="91"/>
      <c r="I104" s="91"/>
      <c r="J104" s="91"/>
      <c r="K104" s="94"/>
      <c r="L104" s="94"/>
      <c r="M104" s="94"/>
      <c r="N104" s="91"/>
      <c r="O104" s="91"/>
      <c r="P104" s="91"/>
      <c r="Q104" s="91"/>
    </row>
    <row r="105" spans="1:17" s="101" customFormat="1" x14ac:dyDescent="0.35">
      <c r="A105" s="90"/>
      <c r="B105" s="91"/>
      <c r="C105" s="91"/>
      <c r="D105" s="91"/>
      <c r="E105" s="91"/>
      <c r="F105" s="91"/>
      <c r="G105" s="91"/>
      <c r="H105" s="91"/>
      <c r="I105" s="91"/>
      <c r="J105" s="91"/>
      <c r="K105" s="94"/>
      <c r="L105" s="94"/>
      <c r="M105" s="94"/>
      <c r="N105" s="91"/>
      <c r="O105" s="91"/>
      <c r="P105" s="91"/>
      <c r="Q105" s="91"/>
    </row>
    <row r="106" spans="1:17" s="101" customFormat="1" x14ac:dyDescent="0.35">
      <c r="A106" s="90"/>
      <c r="B106" s="91"/>
      <c r="C106" s="91"/>
      <c r="D106" s="91"/>
      <c r="E106" s="91"/>
      <c r="F106" s="91"/>
      <c r="G106" s="91"/>
      <c r="H106" s="91"/>
      <c r="I106" s="91"/>
      <c r="J106" s="91"/>
      <c r="K106" s="94"/>
      <c r="L106" s="94"/>
      <c r="M106" s="94"/>
      <c r="N106" s="91"/>
      <c r="O106" s="91"/>
      <c r="P106" s="91"/>
      <c r="Q106" s="91"/>
    </row>
    <row r="107" spans="1:17" s="101" customFormat="1" x14ac:dyDescent="0.35">
      <c r="A107" s="90"/>
      <c r="B107" s="91"/>
      <c r="C107" s="91"/>
      <c r="D107" s="91"/>
      <c r="E107" s="91"/>
      <c r="F107" s="91"/>
      <c r="G107" s="91"/>
      <c r="H107" s="91"/>
      <c r="I107" s="91"/>
      <c r="J107" s="91"/>
      <c r="K107" s="94"/>
      <c r="L107" s="94"/>
      <c r="M107" s="94"/>
      <c r="N107" s="91"/>
      <c r="O107" s="91"/>
      <c r="P107" s="91"/>
      <c r="Q107" s="91"/>
    </row>
    <row r="108" spans="1:17" s="101" customFormat="1" x14ac:dyDescent="0.35">
      <c r="A108" s="90"/>
      <c r="B108" s="91"/>
      <c r="C108" s="91"/>
      <c r="D108" s="91"/>
      <c r="E108" s="91"/>
      <c r="F108" s="91"/>
      <c r="G108" s="91"/>
      <c r="H108" s="91"/>
      <c r="I108" s="91"/>
      <c r="J108" s="91"/>
      <c r="K108" s="94"/>
      <c r="L108" s="94"/>
      <c r="M108" s="94"/>
      <c r="N108" s="91"/>
      <c r="O108" s="91"/>
      <c r="P108" s="91"/>
      <c r="Q108" s="91"/>
    </row>
    <row r="109" spans="1:17" s="101" customFormat="1" x14ac:dyDescent="0.35">
      <c r="A109" s="90"/>
      <c r="B109" s="91"/>
      <c r="C109" s="91"/>
      <c r="D109" s="91"/>
      <c r="E109" s="91"/>
      <c r="F109" s="91"/>
      <c r="G109" s="91"/>
      <c r="H109" s="91"/>
      <c r="I109" s="91"/>
      <c r="J109" s="91"/>
      <c r="K109" s="94"/>
      <c r="L109" s="94"/>
      <c r="M109" s="94"/>
      <c r="N109" s="91"/>
      <c r="O109" s="91"/>
      <c r="P109" s="91"/>
      <c r="Q109" s="91"/>
    </row>
    <row r="110" spans="1:17" s="101" customFormat="1" x14ac:dyDescent="0.35">
      <c r="A110" s="90"/>
      <c r="B110" s="91"/>
      <c r="C110" s="91"/>
      <c r="D110" s="91"/>
      <c r="E110" s="91"/>
      <c r="F110" s="91"/>
      <c r="G110" s="91"/>
      <c r="H110" s="91"/>
      <c r="I110" s="91"/>
      <c r="J110" s="91"/>
      <c r="K110" s="94"/>
      <c r="L110" s="94"/>
      <c r="M110" s="94"/>
      <c r="N110" s="91"/>
      <c r="O110" s="91"/>
      <c r="P110" s="91"/>
      <c r="Q110" s="91"/>
    </row>
    <row r="111" spans="1:17" s="101" customFormat="1" x14ac:dyDescent="0.35">
      <c r="A111" s="90"/>
      <c r="B111" s="91"/>
      <c r="C111" s="91"/>
      <c r="D111" s="91"/>
      <c r="E111" s="91"/>
      <c r="F111" s="91"/>
      <c r="G111" s="91"/>
      <c r="H111" s="91"/>
      <c r="I111" s="91"/>
      <c r="J111" s="91"/>
      <c r="K111" s="94"/>
      <c r="L111" s="94"/>
      <c r="M111" s="94"/>
      <c r="N111" s="91"/>
      <c r="O111" s="91"/>
      <c r="P111" s="91"/>
      <c r="Q111" s="91"/>
    </row>
    <row r="112" spans="1:17" s="101" customFormat="1" x14ac:dyDescent="0.35">
      <c r="A112" s="90"/>
      <c r="B112" s="91"/>
      <c r="C112" s="91"/>
      <c r="D112" s="91"/>
      <c r="E112" s="91"/>
      <c r="F112" s="91"/>
      <c r="G112" s="91"/>
      <c r="H112" s="91"/>
      <c r="I112" s="91"/>
      <c r="J112" s="91"/>
      <c r="K112" s="94"/>
      <c r="L112" s="94"/>
      <c r="M112" s="94"/>
      <c r="N112" s="91"/>
      <c r="O112" s="91"/>
      <c r="P112" s="91"/>
      <c r="Q112" s="91"/>
    </row>
    <row r="113" spans="1:17" s="101" customFormat="1" x14ac:dyDescent="0.35">
      <c r="A113" s="90"/>
      <c r="B113" s="91"/>
      <c r="C113" s="91"/>
      <c r="D113" s="91"/>
      <c r="E113" s="91"/>
      <c r="F113" s="91"/>
      <c r="G113" s="91"/>
      <c r="H113" s="91"/>
      <c r="I113" s="91"/>
      <c r="J113" s="91"/>
      <c r="K113" s="94"/>
      <c r="L113" s="94"/>
      <c r="M113" s="94"/>
      <c r="N113" s="91"/>
      <c r="O113" s="91"/>
      <c r="P113" s="91"/>
      <c r="Q113" s="91"/>
    </row>
    <row r="114" spans="1:17" s="101" customFormat="1" x14ac:dyDescent="0.35">
      <c r="A114" s="90"/>
      <c r="B114" s="91"/>
      <c r="C114" s="91"/>
      <c r="D114" s="91"/>
      <c r="E114" s="91"/>
      <c r="F114" s="91"/>
      <c r="G114" s="91"/>
      <c r="H114" s="91"/>
      <c r="I114" s="91"/>
      <c r="J114" s="91"/>
      <c r="K114" s="94"/>
      <c r="L114" s="94"/>
      <c r="M114" s="94"/>
      <c r="N114" s="91"/>
      <c r="O114" s="91"/>
      <c r="P114" s="91"/>
      <c r="Q114" s="91"/>
    </row>
    <row r="115" spans="1:17" s="101" customFormat="1" x14ac:dyDescent="0.35">
      <c r="A115" s="90"/>
      <c r="B115" s="91"/>
      <c r="C115" s="91"/>
      <c r="D115" s="91"/>
      <c r="E115" s="91"/>
      <c r="F115" s="91"/>
      <c r="G115" s="91"/>
      <c r="H115" s="91"/>
      <c r="I115" s="91"/>
      <c r="J115" s="91"/>
      <c r="K115" s="94"/>
      <c r="L115" s="94"/>
      <c r="M115" s="94"/>
      <c r="N115" s="91"/>
      <c r="O115" s="91"/>
      <c r="P115" s="91"/>
      <c r="Q115" s="91"/>
    </row>
    <row r="116" spans="1:17" s="101" customFormat="1" x14ac:dyDescent="0.35">
      <c r="A116" s="90"/>
      <c r="B116" s="91"/>
      <c r="C116" s="91"/>
      <c r="D116" s="91"/>
      <c r="E116" s="91"/>
      <c r="F116" s="91"/>
      <c r="G116" s="91"/>
      <c r="H116" s="91"/>
      <c r="I116" s="91"/>
      <c r="J116" s="91"/>
      <c r="K116" s="94"/>
      <c r="L116" s="94"/>
      <c r="M116" s="94"/>
      <c r="N116" s="91"/>
      <c r="O116" s="91"/>
      <c r="P116" s="91"/>
      <c r="Q116" s="91"/>
    </row>
    <row r="117" spans="1:17" s="101" customFormat="1" x14ac:dyDescent="0.35">
      <c r="A117" s="90"/>
      <c r="B117" s="91"/>
      <c r="C117" s="91"/>
      <c r="D117" s="91"/>
      <c r="E117" s="91"/>
      <c r="F117" s="91"/>
      <c r="G117" s="91"/>
      <c r="H117" s="91"/>
      <c r="I117" s="91"/>
      <c r="J117" s="91"/>
      <c r="K117" s="94"/>
      <c r="L117" s="94"/>
      <c r="M117" s="94"/>
      <c r="N117" s="91"/>
      <c r="O117" s="91"/>
      <c r="P117" s="91"/>
      <c r="Q117" s="91"/>
    </row>
    <row r="118" spans="1:17" s="101" customFormat="1" x14ac:dyDescent="0.35">
      <c r="A118" s="90"/>
      <c r="B118" s="91"/>
      <c r="C118" s="91"/>
      <c r="D118" s="91"/>
      <c r="E118" s="91"/>
      <c r="F118" s="91"/>
      <c r="G118" s="91"/>
      <c r="H118" s="91"/>
      <c r="I118" s="91"/>
      <c r="J118" s="91"/>
      <c r="K118" s="94"/>
      <c r="L118" s="94"/>
      <c r="M118" s="94"/>
      <c r="N118" s="91"/>
      <c r="O118" s="91"/>
      <c r="P118" s="91"/>
      <c r="Q118" s="91"/>
    </row>
    <row r="119" spans="1:17" s="101" customFormat="1" x14ac:dyDescent="0.35">
      <c r="A119" s="90"/>
      <c r="B119" s="91"/>
      <c r="C119" s="91"/>
      <c r="D119" s="91"/>
      <c r="E119" s="91"/>
      <c r="F119" s="91"/>
      <c r="G119" s="91"/>
      <c r="H119" s="91"/>
      <c r="I119" s="91"/>
      <c r="J119" s="91"/>
      <c r="K119" s="94"/>
      <c r="L119" s="94"/>
      <c r="M119" s="94"/>
      <c r="N119" s="91"/>
      <c r="O119" s="91"/>
      <c r="P119" s="91"/>
      <c r="Q119" s="91"/>
    </row>
    <row r="120" spans="1:17" s="101" customFormat="1" x14ac:dyDescent="0.35">
      <c r="A120" s="90"/>
      <c r="B120" s="91"/>
      <c r="C120" s="91"/>
      <c r="D120" s="91"/>
      <c r="E120" s="91"/>
      <c r="F120" s="91"/>
      <c r="G120" s="91"/>
      <c r="H120" s="91"/>
      <c r="I120" s="91"/>
      <c r="J120" s="91"/>
      <c r="K120" s="94"/>
      <c r="L120" s="94"/>
      <c r="M120" s="94"/>
      <c r="N120" s="91"/>
      <c r="O120" s="91"/>
      <c r="P120" s="91"/>
      <c r="Q120" s="91"/>
    </row>
    <row r="121" spans="1:17" s="101" customFormat="1" x14ac:dyDescent="0.35">
      <c r="A121" s="90"/>
      <c r="B121" s="91"/>
      <c r="C121" s="91"/>
      <c r="D121" s="91"/>
      <c r="E121" s="91"/>
      <c r="F121" s="91"/>
      <c r="G121" s="91"/>
      <c r="H121" s="91"/>
      <c r="I121" s="91"/>
      <c r="J121" s="91"/>
      <c r="K121" s="94"/>
      <c r="L121" s="94"/>
      <c r="M121" s="94"/>
      <c r="N121" s="91"/>
      <c r="O121" s="91"/>
      <c r="P121" s="91"/>
      <c r="Q121" s="91"/>
    </row>
    <row r="122" spans="1:17" s="101" customFormat="1" x14ac:dyDescent="0.35">
      <c r="A122" s="90"/>
      <c r="B122" s="91"/>
      <c r="C122" s="91"/>
      <c r="D122" s="91"/>
      <c r="E122" s="91"/>
      <c r="F122" s="91"/>
      <c r="G122" s="91"/>
      <c r="H122" s="91"/>
      <c r="I122" s="91"/>
      <c r="J122" s="91"/>
      <c r="K122" s="94"/>
      <c r="L122" s="94"/>
      <c r="M122" s="94"/>
      <c r="N122" s="91"/>
      <c r="O122" s="91"/>
      <c r="P122" s="91"/>
      <c r="Q122" s="91"/>
    </row>
    <row r="123" spans="1:17" s="101" customFormat="1" x14ac:dyDescent="0.35">
      <c r="A123" s="90"/>
      <c r="B123" s="91"/>
      <c r="C123" s="91"/>
      <c r="D123" s="91"/>
      <c r="E123" s="91"/>
      <c r="F123" s="91"/>
      <c r="G123" s="91"/>
      <c r="H123" s="91"/>
      <c r="I123" s="91"/>
      <c r="J123" s="91"/>
      <c r="K123" s="94"/>
      <c r="L123" s="94"/>
      <c r="M123" s="94"/>
      <c r="N123" s="91"/>
      <c r="O123" s="91"/>
      <c r="P123" s="91"/>
      <c r="Q123" s="91"/>
    </row>
    <row r="124" spans="1:17" s="101" customFormat="1" x14ac:dyDescent="0.35">
      <c r="A124" s="90"/>
      <c r="B124" s="91"/>
      <c r="C124" s="91"/>
      <c r="D124" s="91"/>
      <c r="E124" s="91"/>
      <c r="F124" s="91"/>
      <c r="G124" s="91"/>
      <c r="H124" s="91"/>
      <c r="I124" s="91"/>
      <c r="J124" s="91"/>
      <c r="K124" s="94"/>
      <c r="L124" s="94"/>
      <c r="M124" s="94"/>
      <c r="N124" s="91"/>
      <c r="O124" s="91"/>
      <c r="P124" s="91"/>
      <c r="Q124" s="91"/>
    </row>
    <row r="125" spans="1:17" s="101" customFormat="1" x14ac:dyDescent="0.35">
      <c r="A125" s="90"/>
      <c r="B125" s="91"/>
      <c r="C125" s="91"/>
      <c r="D125" s="91"/>
      <c r="E125" s="91"/>
      <c r="F125" s="91"/>
      <c r="G125" s="91"/>
      <c r="H125" s="91"/>
      <c r="I125" s="91"/>
      <c r="J125" s="91"/>
      <c r="K125" s="94"/>
      <c r="L125" s="94"/>
      <c r="M125" s="94"/>
      <c r="N125" s="91"/>
      <c r="O125" s="91"/>
      <c r="P125" s="91"/>
      <c r="Q125" s="91"/>
    </row>
    <row r="126" spans="1:17" s="101" customFormat="1" x14ac:dyDescent="0.35">
      <c r="A126" s="90"/>
      <c r="B126" s="91"/>
      <c r="C126" s="91"/>
      <c r="D126" s="91"/>
      <c r="E126" s="91"/>
      <c r="F126" s="91"/>
      <c r="G126" s="91"/>
      <c r="H126" s="91"/>
      <c r="I126" s="91"/>
      <c r="J126" s="91"/>
      <c r="K126" s="94"/>
      <c r="L126" s="94"/>
      <c r="M126" s="94"/>
      <c r="N126" s="91"/>
      <c r="O126" s="91"/>
      <c r="P126" s="91"/>
      <c r="Q126" s="91"/>
    </row>
    <row r="127" spans="1:17" s="101" customFormat="1" x14ac:dyDescent="0.35">
      <c r="A127" s="90"/>
      <c r="B127" s="91"/>
      <c r="C127" s="91"/>
      <c r="D127" s="91"/>
      <c r="E127" s="91"/>
      <c r="F127" s="91"/>
      <c r="G127" s="91"/>
      <c r="H127" s="91"/>
      <c r="I127" s="91"/>
      <c r="J127" s="91"/>
      <c r="K127" s="94"/>
      <c r="L127" s="94"/>
      <c r="M127" s="94"/>
      <c r="N127" s="91"/>
      <c r="O127" s="91"/>
      <c r="P127" s="91"/>
      <c r="Q127" s="91"/>
    </row>
    <row r="128" spans="1:17" s="101" customFormat="1" x14ac:dyDescent="0.35">
      <c r="A128" s="90"/>
      <c r="B128" s="91"/>
      <c r="C128" s="91"/>
      <c r="D128" s="91"/>
      <c r="E128" s="91"/>
      <c r="F128" s="91"/>
      <c r="G128" s="91"/>
      <c r="H128" s="91"/>
      <c r="I128" s="91"/>
      <c r="J128" s="91"/>
      <c r="K128" s="94"/>
      <c r="L128" s="94"/>
      <c r="M128" s="94"/>
      <c r="N128" s="91"/>
      <c r="O128" s="91"/>
      <c r="P128" s="91"/>
      <c r="Q128" s="91"/>
    </row>
    <row r="129" spans="1:17" s="101" customFormat="1" x14ac:dyDescent="0.35">
      <c r="A129" s="90"/>
      <c r="B129" s="91"/>
      <c r="C129" s="91"/>
      <c r="D129" s="91"/>
      <c r="E129" s="91"/>
      <c r="F129" s="91"/>
      <c r="G129" s="91"/>
      <c r="H129" s="91"/>
      <c r="I129" s="91"/>
      <c r="J129" s="91"/>
      <c r="K129" s="94"/>
      <c r="L129" s="94"/>
      <c r="M129" s="94"/>
      <c r="N129" s="91"/>
      <c r="O129" s="91"/>
      <c r="P129" s="91"/>
      <c r="Q129" s="91"/>
    </row>
    <row r="130" spans="1:17" s="101" customFormat="1" x14ac:dyDescent="0.35">
      <c r="A130" s="90"/>
      <c r="B130" s="91"/>
      <c r="C130" s="91"/>
      <c r="D130" s="91"/>
      <c r="E130" s="91"/>
      <c r="F130" s="91"/>
      <c r="G130" s="91"/>
      <c r="H130" s="91"/>
      <c r="I130" s="91"/>
      <c r="J130" s="91"/>
      <c r="K130" s="94"/>
      <c r="L130" s="94"/>
      <c r="M130" s="94"/>
      <c r="N130" s="91"/>
      <c r="O130" s="91"/>
      <c r="P130" s="91"/>
      <c r="Q130" s="91"/>
    </row>
    <row r="131" spans="1:17" s="101" customFormat="1" x14ac:dyDescent="0.35">
      <c r="A131" s="90"/>
      <c r="B131" s="91"/>
      <c r="C131" s="91"/>
      <c r="D131" s="91"/>
      <c r="E131" s="91"/>
      <c r="F131" s="91"/>
      <c r="G131" s="91"/>
      <c r="H131" s="91"/>
      <c r="I131" s="91"/>
      <c r="J131" s="91"/>
      <c r="K131" s="94"/>
      <c r="L131" s="94"/>
      <c r="M131" s="94"/>
      <c r="N131" s="91"/>
      <c r="O131" s="91"/>
      <c r="P131" s="91"/>
      <c r="Q131" s="91"/>
    </row>
    <row r="132" spans="1:17" s="101" customFormat="1" x14ac:dyDescent="0.35">
      <c r="A132" s="90"/>
      <c r="B132" s="91"/>
      <c r="C132" s="91"/>
      <c r="D132" s="91"/>
      <c r="E132" s="91"/>
      <c r="F132" s="91"/>
      <c r="G132" s="91"/>
      <c r="H132" s="91"/>
      <c r="I132" s="91"/>
      <c r="J132" s="91"/>
      <c r="K132" s="94"/>
      <c r="L132" s="94"/>
      <c r="M132" s="94"/>
      <c r="N132" s="91"/>
      <c r="O132" s="91"/>
      <c r="P132" s="91"/>
      <c r="Q132" s="91"/>
    </row>
    <row r="133" spans="1:17" s="101" customFormat="1" x14ac:dyDescent="0.35">
      <c r="A133" s="90"/>
      <c r="B133" s="91"/>
      <c r="C133" s="91"/>
      <c r="D133" s="91"/>
      <c r="E133" s="91"/>
      <c r="F133" s="91"/>
      <c r="G133" s="91"/>
      <c r="H133" s="91"/>
      <c r="I133" s="91"/>
      <c r="J133" s="91"/>
      <c r="K133" s="94"/>
      <c r="L133" s="94"/>
      <c r="M133" s="94"/>
      <c r="N133" s="91"/>
      <c r="O133" s="91"/>
      <c r="P133" s="91"/>
      <c r="Q133" s="91"/>
    </row>
    <row r="134" spans="1:17" s="101" customFormat="1" x14ac:dyDescent="0.35">
      <c r="A134" s="90"/>
      <c r="B134" s="91"/>
      <c r="C134" s="91"/>
      <c r="D134" s="91"/>
      <c r="E134" s="91"/>
      <c r="F134" s="91"/>
      <c r="G134" s="91"/>
      <c r="H134" s="91"/>
      <c r="I134" s="91"/>
      <c r="J134" s="91"/>
      <c r="K134" s="94"/>
      <c r="L134" s="94"/>
      <c r="M134" s="94"/>
      <c r="N134" s="91"/>
      <c r="O134" s="91"/>
      <c r="P134" s="91"/>
      <c r="Q134" s="91"/>
    </row>
    <row r="135" spans="1:17" s="101" customFormat="1" x14ac:dyDescent="0.35">
      <c r="A135" s="90"/>
      <c r="B135" s="91"/>
      <c r="C135" s="91"/>
      <c r="D135" s="91"/>
      <c r="E135" s="91"/>
      <c r="F135" s="91"/>
      <c r="G135" s="91"/>
      <c r="H135" s="91"/>
      <c r="I135" s="91"/>
      <c r="J135" s="91"/>
      <c r="K135" s="94"/>
      <c r="L135" s="94"/>
      <c r="M135" s="94"/>
      <c r="N135" s="91"/>
      <c r="O135" s="91"/>
      <c r="P135" s="91"/>
      <c r="Q135" s="91"/>
    </row>
    <row r="136" spans="1:17" s="101" customFormat="1" x14ac:dyDescent="0.35">
      <c r="A136" s="90"/>
      <c r="B136" s="91"/>
      <c r="C136" s="91"/>
      <c r="D136" s="91"/>
      <c r="E136" s="91"/>
      <c r="F136" s="91"/>
      <c r="G136" s="91"/>
      <c r="H136" s="91"/>
      <c r="I136" s="91"/>
      <c r="J136" s="91"/>
      <c r="K136" s="94"/>
      <c r="L136" s="94"/>
      <c r="M136" s="94"/>
      <c r="N136" s="91"/>
      <c r="O136" s="91"/>
      <c r="P136" s="91"/>
      <c r="Q136" s="91"/>
    </row>
    <row r="137" spans="1:17" s="101" customFormat="1" x14ac:dyDescent="0.35">
      <c r="A137" s="90"/>
      <c r="B137" s="91"/>
      <c r="C137" s="91"/>
      <c r="D137" s="91"/>
      <c r="E137" s="91"/>
      <c r="F137" s="91"/>
      <c r="G137" s="91"/>
      <c r="H137" s="91"/>
      <c r="I137" s="91"/>
      <c r="J137" s="91"/>
      <c r="K137" s="94"/>
      <c r="L137" s="94"/>
      <c r="M137" s="94"/>
      <c r="N137" s="91"/>
      <c r="O137" s="91"/>
      <c r="P137" s="91"/>
      <c r="Q137" s="91"/>
    </row>
    <row r="138" spans="1:17" s="101" customFormat="1" x14ac:dyDescent="0.35">
      <c r="A138" s="90"/>
      <c r="B138" s="91"/>
      <c r="C138" s="91"/>
      <c r="D138" s="91"/>
      <c r="E138" s="91"/>
      <c r="F138" s="91"/>
      <c r="G138" s="91"/>
      <c r="H138" s="91"/>
      <c r="I138" s="91"/>
      <c r="J138" s="91"/>
      <c r="K138" s="94"/>
      <c r="L138" s="94"/>
      <c r="M138" s="94"/>
      <c r="N138" s="91"/>
      <c r="O138" s="91"/>
      <c r="P138" s="91"/>
      <c r="Q138" s="91"/>
    </row>
    <row r="139" spans="1:17" s="101" customFormat="1" x14ac:dyDescent="0.35">
      <c r="A139" s="90"/>
      <c r="B139" s="91"/>
      <c r="C139" s="91"/>
      <c r="D139" s="91"/>
      <c r="E139" s="91"/>
      <c r="F139" s="91"/>
      <c r="G139" s="91"/>
      <c r="H139" s="91"/>
      <c r="I139" s="91"/>
      <c r="J139" s="91"/>
      <c r="K139" s="94"/>
      <c r="L139" s="94"/>
      <c r="M139" s="94"/>
      <c r="N139" s="91"/>
      <c r="O139" s="91"/>
      <c r="P139" s="91"/>
      <c r="Q139" s="91"/>
    </row>
    <row r="140" spans="1:17" s="101" customFormat="1" x14ac:dyDescent="0.35">
      <c r="A140" s="90"/>
      <c r="B140" s="91"/>
      <c r="C140" s="91"/>
      <c r="D140" s="91"/>
      <c r="E140" s="91"/>
      <c r="F140" s="91"/>
      <c r="G140" s="91"/>
      <c r="H140" s="91"/>
      <c r="I140" s="91"/>
      <c r="J140" s="91"/>
      <c r="K140" s="94"/>
      <c r="L140" s="94"/>
      <c r="M140" s="94"/>
      <c r="N140" s="91"/>
      <c r="O140" s="91"/>
      <c r="P140" s="91"/>
      <c r="Q140" s="91"/>
    </row>
    <row r="141" spans="1:17" s="101" customFormat="1" x14ac:dyDescent="0.35">
      <c r="A141" s="90"/>
      <c r="B141" s="91"/>
      <c r="C141" s="91"/>
      <c r="D141" s="91"/>
      <c r="E141" s="91"/>
      <c r="F141" s="91"/>
      <c r="G141" s="91"/>
      <c r="H141" s="91"/>
      <c r="I141" s="91"/>
      <c r="J141" s="91"/>
      <c r="K141" s="94"/>
      <c r="L141" s="94"/>
      <c r="M141" s="94"/>
      <c r="N141" s="91"/>
      <c r="O141" s="91"/>
      <c r="P141" s="91"/>
      <c r="Q141" s="91"/>
    </row>
    <row r="142" spans="1:17" s="101" customFormat="1" x14ac:dyDescent="0.35">
      <c r="A142" s="90"/>
      <c r="B142" s="91"/>
      <c r="C142" s="91"/>
      <c r="D142" s="91"/>
      <c r="E142" s="91"/>
      <c r="F142" s="91"/>
      <c r="G142" s="91"/>
      <c r="H142" s="91"/>
      <c r="I142" s="91"/>
      <c r="J142" s="91"/>
      <c r="K142" s="94"/>
      <c r="L142" s="94"/>
      <c r="M142" s="94"/>
      <c r="N142" s="91"/>
      <c r="O142" s="91"/>
      <c r="P142" s="91"/>
      <c r="Q142" s="91"/>
    </row>
    <row r="143" spans="1:17" s="101" customFormat="1" x14ac:dyDescent="0.35">
      <c r="A143" s="90"/>
      <c r="B143" s="91"/>
      <c r="C143" s="91"/>
      <c r="D143" s="91"/>
      <c r="E143" s="91"/>
      <c r="F143" s="91"/>
      <c r="G143" s="91"/>
      <c r="H143" s="91"/>
      <c r="I143" s="91"/>
      <c r="J143" s="91"/>
      <c r="K143" s="94"/>
      <c r="L143" s="94"/>
      <c r="M143" s="94"/>
      <c r="N143" s="91"/>
      <c r="O143" s="91"/>
      <c r="P143" s="91"/>
      <c r="Q143" s="91"/>
    </row>
    <row r="144" spans="1:17" s="101" customFormat="1" x14ac:dyDescent="0.35">
      <c r="A144" s="90"/>
      <c r="B144" s="91"/>
      <c r="C144" s="91"/>
      <c r="D144" s="91"/>
      <c r="E144" s="91"/>
      <c r="F144" s="91"/>
      <c r="G144" s="91"/>
      <c r="H144" s="91"/>
      <c r="I144" s="91"/>
      <c r="J144" s="91"/>
      <c r="K144" s="94"/>
      <c r="L144" s="94"/>
      <c r="M144" s="94"/>
      <c r="N144" s="91"/>
      <c r="O144" s="91"/>
      <c r="P144" s="91"/>
      <c r="Q144" s="91"/>
    </row>
    <row r="145" spans="1:17" s="101" customFormat="1" x14ac:dyDescent="0.35">
      <c r="A145" s="90"/>
      <c r="B145" s="91"/>
      <c r="C145" s="91"/>
      <c r="D145" s="91"/>
      <c r="E145" s="91"/>
      <c r="F145" s="91"/>
      <c r="G145" s="91"/>
      <c r="H145" s="91"/>
      <c r="I145" s="91"/>
      <c r="J145" s="91"/>
      <c r="K145" s="94"/>
      <c r="L145" s="94"/>
      <c r="M145" s="94"/>
      <c r="N145" s="91"/>
      <c r="O145" s="91"/>
      <c r="P145" s="91"/>
      <c r="Q145" s="91"/>
    </row>
    <row r="146" spans="1:17" s="101" customFormat="1" x14ac:dyDescent="0.35">
      <c r="A146" s="90"/>
      <c r="B146" s="91"/>
      <c r="C146" s="91"/>
      <c r="D146" s="91"/>
      <c r="E146" s="91"/>
      <c r="F146" s="91"/>
      <c r="G146" s="91"/>
      <c r="H146" s="91"/>
      <c r="I146" s="91"/>
      <c r="J146" s="91"/>
      <c r="K146" s="94"/>
      <c r="L146" s="94"/>
      <c r="M146" s="94"/>
      <c r="N146" s="91"/>
      <c r="O146" s="91"/>
      <c r="P146" s="91"/>
      <c r="Q146" s="91"/>
    </row>
    <row r="147" spans="1:17" s="101" customFormat="1" x14ac:dyDescent="0.35">
      <c r="A147" s="90"/>
      <c r="B147" s="91"/>
      <c r="C147" s="91"/>
      <c r="D147" s="91"/>
      <c r="E147" s="91"/>
      <c r="F147" s="91"/>
      <c r="G147" s="91"/>
      <c r="H147" s="91"/>
      <c r="I147" s="91"/>
      <c r="J147" s="91"/>
      <c r="K147" s="94"/>
      <c r="L147" s="94"/>
      <c r="M147" s="94"/>
      <c r="N147" s="91"/>
      <c r="O147" s="91"/>
      <c r="P147" s="91"/>
      <c r="Q147" s="91"/>
    </row>
    <row r="148" spans="1:17" s="101" customFormat="1" x14ac:dyDescent="0.35">
      <c r="A148" s="90"/>
      <c r="B148" s="91"/>
      <c r="C148" s="91"/>
      <c r="D148" s="91"/>
      <c r="E148" s="91"/>
      <c r="F148" s="91"/>
      <c r="G148" s="91"/>
      <c r="H148" s="91"/>
      <c r="I148" s="91"/>
      <c r="J148" s="91"/>
      <c r="K148" s="94"/>
      <c r="L148" s="94"/>
      <c r="M148" s="94"/>
      <c r="N148" s="91"/>
      <c r="O148" s="91"/>
      <c r="P148" s="91"/>
      <c r="Q148" s="91"/>
    </row>
    <row r="149" spans="1:17" s="101" customFormat="1" x14ac:dyDescent="0.35">
      <c r="A149" s="90"/>
      <c r="B149" s="91"/>
      <c r="C149" s="91"/>
      <c r="D149" s="91"/>
      <c r="E149" s="91"/>
      <c r="F149" s="91"/>
      <c r="G149" s="91"/>
      <c r="H149" s="91"/>
      <c r="I149" s="91"/>
      <c r="J149" s="91"/>
      <c r="K149" s="94"/>
      <c r="L149" s="94"/>
      <c r="M149" s="94"/>
      <c r="N149" s="91"/>
      <c r="O149" s="91"/>
      <c r="P149" s="91"/>
      <c r="Q149" s="91"/>
    </row>
    <row r="150" spans="1:17" s="101" customFormat="1" x14ac:dyDescent="0.35">
      <c r="A150" s="90"/>
      <c r="B150" s="91"/>
      <c r="C150" s="91"/>
      <c r="D150" s="91"/>
      <c r="E150" s="91"/>
      <c r="F150" s="91"/>
      <c r="G150" s="91"/>
      <c r="H150" s="91"/>
      <c r="I150" s="91"/>
      <c r="J150" s="91"/>
      <c r="K150" s="94"/>
      <c r="L150" s="94"/>
      <c r="M150" s="94"/>
      <c r="N150" s="91"/>
      <c r="O150" s="91"/>
      <c r="P150" s="91"/>
      <c r="Q150" s="91"/>
    </row>
    <row r="151" spans="1:17" s="101" customFormat="1" x14ac:dyDescent="0.35">
      <c r="A151" s="90"/>
      <c r="B151" s="91"/>
      <c r="C151" s="91"/>
      <c r="D151" s="91"/>
      <c r="E151" s="91"/>
      <c r="F151" s="91"/>
      <c r="G151" s="91"/>
      <c r="H151" s="91"/>
      <c r="I151" s="91"/>
      <c r="J151" s="91"/>
      <c r="K151" s="94"/>
      <c r="L151" s="94"/>
      <c r="M151" s="94"/>
      <c r="N151" s="91"/>
      <c r="O151" s="91"/>
      <c r="P151" s="91"/>
      <c r="Q151" s="91"/>
    </row>
    <row r="152" spans="1:17" s="101" customFormat="1" x14ac:dyDescent="0.35">
      <c r="A152" s="90"/>
      <c r="B152" s="91"/>
      <c r="C152" s="91"/>
      <c r="D152" s="91"/>
      <c r="E152" s="91"/>
      <c r="F152" s="91"/>
      <c r="G152" s="91"/>
      <c r="H152" s="91"/>
      <c r="I152" s="91"/>
      <c r="J152" s="91"/>
      <c r="K152" s="94"/>
      <c r="L152" s="94"/>
      <c r="M152" s="94"/>
      <c r="N152" s="91"/>
      <c r="O152" s="91"/>
      <c r="P152" s="91"/>
      <c r="Q152" s="91"/>
    </row>
    <row r="153" spans="1:17" s="101" customFormat="1" x14ac:dyDescent="0.35">
      <c r="A153" s="90"/>
      <c r="B153" s="91"/>
      <c r="C153" s="91"/>
      <c r="D153" s="91"/>
      <c r="E153" s="91"/>
      <c r="F153" s="91"/>
      <c r="G153" s="91"/>
      <c r="H153" s="91"/>
      <c r="I153" s="91"/>
      <c r="J153" s="91"/>
      <c r="K153" s="94"/>
      <c r="L153" s="94"/>
      <c r="M153" s="94"/>
      <c r="N153" s="91"/>
      <c r="O153" s="91"/>
      <c r="P153" s="91"/>
      <c r="Q153" s="91"/>
    </row>
    <row r="154" spans="1:17" s="101" customFormat="1" x14ac:dyDescent="0.35">
      <c r="A154" s="90"/>
      <c r="B154" s="91"/>
      <c r="C154" s="91"/>
      <c r="D154" s="91"/>
      <c r="E154" s="91"/>
      <c r="F154" s="91"/>
      <c r="G154" s="91"/>
      <c r="H154" s="91"/>
      <c r="I154" s="91"/>
      <c r="J154" s="91"/>
      <c r="K154" s="94"/>
      <c r="L154" s="94"/>
      <c r="M154" s="94"/>
      <c r="N154" s="91"/>
      <c r="O154" s="91"/>
      <c r="P154" s="91"/>
      <c r="Q154" s="91"/>
    </row>
    <row r="155" spans="1:17" s="101" customFormat="1" x14ac:dyDescent="0.35">
      <c r="A155" s="90"/>
      <c r="B155" s="91"/>
      <c r="C155" s="91"/>
      <c r="D155" s="91"/>
      <c r="E155" s="91"/>
      <c r="F155" s="91"/>
      <c r="G155" s="91"/>
      <c r="H155" s="91"/>
      <c r="I155" s="91"/>
      <c r="J155" s="91"/>
      <c r="K155" s="94"/>
      <c r="L155" s="94"/>
      <c r="M155" s="94"/>
      <c r="N155" s="91"/>
      <c r="O155" s="91"/>
      <c r="P155" s="91"/>
      <c r="Q155" s="91"/>
    </row>
    <row r="156" spans="1:17" s="101" customFormat="1" x14ac:dyDescent="0.35">
      <c r="A156" s="90"/>
      <c r="B156" s="91"/>
      <c r="C156" s="91"/>
      <c r="D156" s="91"/>
      <c r="E156" s="91"/>
      <c r="F156" s="91"/>
      <c r="G156" s="91"/>
      <c r="H156" s="91"/>
      <c r="I156" s="91"/>
      <c r="J156" s="91"/>
      <c r="K156" s="94"/>
      <c r="L156" s="94"/>
      <c r="M156" s="94"/>
      <c r="N156" s="91"/>
      <c r="O156" s="91"/>
      <c r="P156" s="91"/>
      <c r="Q156" s="91"/>
    </row>
    <row r="157" spans="1:17" s="101" customFormat="1" x14ac:dyDescent="0.35">
      <c r="A157" s="90"/>
      <c r="B157" s="91"/>
      <c r="C157" s="91"/>
      <c r="D157" s="91"/>
      <c r="E157" s="91"/>
      <c r="F157" s="91"/>
      <c r="G157" s="91"/>
      <c r="H157" s="91"/>
      <c r="I157" s="91"/>
      <c r="J157" s="91"/>
      <c r="K157" s="94"/>
      <c r="L157" s="94"/>
      <c r="M157" s="94"/>
      <c r="N157" s="91"/>
      <c r="O157" s="91"/>
      <c r="P157" s="91"/>
      <c r="Q157" s="91"/>
    </row>
    <row r="158" spans="1:17" s="101" customFormat="1" x14ac:dyDescent="0.35">
      <c r="A158" s="90"/>
      <c r="B158" s="91"/>
      <c r="C158" s="91"/>
      <c r="D158" s="91"/>
      <c r="E158" s="91"/>
      <c r="F158" s="91"/>
      <c r="G158" s="91"/>
      <c r="H158" s="91"/>
      <c r="I158" s="91"/>
      <c r="J158" s="91"/>
      <c r="K158" s="94"/>
      <c r="L158" s="94"/>
      <c r="M158" s="94"/>
      <c r="N158" s="91"/>
      <c r="O158" s="91"/>
      <c r="P158" s="91"/>
      <c r="Q158" s="91"/>
    </row>
    <row r="159" spans="1:17" s="101" customFormat="1" x14ac:dyDescent="0.35">
      <c r="A159" s="90"/>
      <c r="B159" s="91"/>
      <c r="C159" s="91"/>
      <c r="D159" s="91"/>
      <c r="E159" s="91"/>
      <c r="F159" s="91"/>
      <c r="G159" s="91"/>
      <c r="H159" s="91"/>
      <c r="I159" s="91"/>
      <c r="J159" s="91"/>
      <c r="K159" s="94"/>
      <c r="L159" s="94"/>
      <c r="M159" s="94"/>
      <c r="N159" s="91"/>
      <c r="O159" s="91"/>
      <c r="P159" s="91"/>
      <c r="Q159" s="91"/>
    </row>
    <row r="160" spans="1:17" s="101" customFormat="1" x14ac:dyDescent="0.35">
      <c r="A160" s="90"/>
      <c r="B160" s="91"/>
      <c r="C160" s="91"/>
      <c r="D160" s="91"/>
      <c r="E160" s="91"/>
      <c r="F160" s="91"/>
      <c r="G160" s="91"/>
      <c r="H160" s="91"/>
      <c r="I160" s="91"/>
      <c r="J160" s="91"/>
      <c r="K160" s="94"/>
      <c r="L160" s="94"/>
      <c r="M160" s="94"/>
      <c r="N160" s="91"/>
      <c r="O160" s="91"/>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c r="P188" s="91"/>
    </row>
    <row r="189" spans="1:17" x14ac:dyDescent="0.35">
      <c r="A189" s="90"/>
      <c r="B189" s="91"/>
      <c r="C189" s="91"/>
      <c r="D189" s="91"/>
      <c r="E189" s="91"/>
      <c r="F189" s="91"/>
      <c r="G189" s="91"/>
      <c r="H189" s="91"/>
      <c r="I189" s="91"/>
      <c r="J189" s="91"/>
      <c r="K189" s="91"/>
      <c r="L189" s="91"/>
      <c r="M189" s="91"/>
      <c r="N189" s="91"/>
      <c r="O189" s="91"/>
      <c r="P189" s="91"/>
    </row>
    <row r="190" spans="1:17" x14ac:dyDescent="0.35">
      <c r="A190" s="90"/>
      <c r="B190" s="91"/>
      <c r="C190" s="91"/>
      <c r="D190" s="91"/>
      <c r="E190" s="91"/>
      <c r="F190" s="91"/>
      <c r="G190" s="91"/>
      <c r="H190" s="91"/>
      <c r="I190" s="91"/>
      <c r="J190" s="91"/>
      <c r="K190" s="91"/>
      <c r="L190" s="91"/>
      <c r="M190" s="91"/>
      <c r="N190" s="91"/>
      <c r="O190" s="91"/>
      <c r="P190" s="91"/>
    </row>
    <row r="191" spans="1:17" x14ac:dyDescent="0.35">
      <c r="A191" s="90"/>
      <c r="B191" s="91"/>
      <c r="C191" s="91"/>
      <c r="D191" s="91"/>
      <c r="E191" s="91"/>
      <c r="F191" s="91"/>
      <c r="G191" s="91"/>
      <c r="H191" s="91"/>
      <c r="I191" s="91"/>
      <c r="J191" s="91"/>
      <c r="K191" s="91"/>
      <c r="L191" s="91"/>
      <c r="M191" s="91"/>
      <c r="N191" s="91"/>
      <c r="O191" s="91"/>
      <c r="P191" s="91"/>
    </row>
    <row r="192" spans="1:17" x14ac:dyDescent="0.35">
      <c r="A192" s="90"/>
      <c r="B192" s="91"/>
      <c r="C192" s="91"/>
      <c r="D192" s="91"/>
      <c r="E192" s="91"/>
      <c r="F192" s="91"/>
      <c r="G192" s="91"/>
      <c r="H192" s="91"/>
      <c r="I192" s="91"/>
      <c r="J192" s="91"/>
      <c r="K192" s="91"/>
      <c r="L192" s="91"/>
      <c r="M192" s="91"/>
      <c r="N192" s="91"/>
      <c r="O192" s="91"/>
      <c r="P192" s="91"/>
    </row>
    <row r="193" spans="1:16" x14ac:dyDescent="0.35">
      <c r="A193" s="90"/>
      <c r="B193" s="91"/>
      <c r="C193" s="91"/>
      <c r="D193" s="91"/>
      <c r="E193" s="91"/>
      <c r="F193" s="91"/>
      <c r="G193" s="91"/>
      <c r="H193" s="91"/>
      <c r="I193" s="91"/>
      <c r="J193" s="91"/>
      <c r="K193" s="91"/>
      <c r="L193" s="91"/>
      <c r="M193" s="91"/>
      <c r="N193" s="91"/>
      <c r="O193" s="91"/>
      <c r="P193" s="91"/>
    </row>
    <row r="194" spans="1:16" x14ac:dyDescent="0.35">
      <c r="A194" s="90"/>
      <c r="B194" s="91"/>
      <c r="C194" s="91"/>
      <c r="D194" s="91"/>
      <c r="E194" s="91"/>
      <c r="F194" s="91"/>
      <c r="G194" s="91"/>
      <c r="H194" s="91"/>
      <c r="I194" s="91"/>
      <c r="J194" s="91"/>
      <c r="K194" s="91"/>
      <c r="L194" s="91"/>
      <c r="M194" s="91"/>
      <c r="N194" s="91"/>
      <c r="O194" s="91"/>
      <c r="P194" s="91"/>
    </row>
    <row r="195" spans="1:16" x14ac:dyDescent="0.35">
      <c r="A195" s="90"/>
      <c r="B195" s="91"/>
      <c r="C195" s="91"/>
      <c r="D195" s="91"/>
      <c r="E195" s="91"/>
      <c r="F195" s="91"/>
      <c r="G195" s="91"/>
      <c r="H195" s="91"/>
      <c r="I195" s="91"/>
      <c r="J195" s="91"/>
      <c r="K195" s="91"/>
      <c r="L195" s="91"/>
      <c r="M195" s="91"/>
      <c r="N195" s="91"/>
      <c r="O195" s="91"/>
      <c r="P195" s="91"/>
    </row>
    <row r="196" spans="1:16" x14ac:dyDescent="0.35">
      <c r="A196" s="90"/>
      <c r="B196" s="91"/>
      <c r="C196" s="91"/>
      <c r="D196" s="91"/>
      <c r="E196" s="91"/>
      <c r="F196" s="91"/>
      <c r="G196" s="91"/>
      <c r="H196" s="91"/>
      <c r="I196" s="91"/>
      <c r="J196" s="91"/>
      <c r="K196" s="91"/>
      <c r="L196" s="91"/>
      <c r="M196" s="91"/>
      <c r="N196" s="91"/>
      <c r="O196" s="91"/>
      <c r="P196" s="91"/>
    </row>
    <row r="197" spans="1:16" x14ac:dyDescent="0.35">
      <c r="A197" s="90"/>
      <c r="B197" s="91"/>
      <c r="C197" s="91"/>
      <c r="D197" s="91"/>
      <c r="E197" s="91"/>
      <c r="F197" s="91"/>
      <c r="G197" s="91"/>
      <c r="H197" s="91"/>
      <c r="I197" s="91"/>
      <c r="J197" s="91"/>
      <c r="K197" s="91"/>
      <c r="L197" s="91"/>
      <c r="M197" s="91"/>
      <c r="N197" s="91"/>
      <c r="O197" s="91"/>
      <c r="P197" s="91"/>
    </row>
    <row r="198" spans="1:16" x14ac:dyDescent="0.35">
      <c r="A198" s="90"/>
      <c r="B198" s="91"/>
      <c r="C198" s="91"/>
      <c r="D198" s="91"/>
      <c r="E198" s="91"/>
      <c r="F198" s="91"/>
      <c r="G198" s="91"/>
      <c r="H198" s="91"/>
      <c r="I198" s="91"/>
      <c r="J198" s="91"/>
      <c r="K198" s="91"/>
      <c r="L198" s="91"/>
      <c r="M198" s="91"/>
      <c r="N198" s="91"/>
      <c r="O198" s="91"/>
      <c r="P198" s="91"/>
    </row>
    <row r="199" spans="1:16" x14ac:dyDescent="0.35">
      <c r="A199" s="90"/>
      <c r="B199" s="91"/>
      <c r="C199" s="91"/>
      <c r="D199" s="91"/>
      <c r="E199" s="91"/>
      <c r="F199" s="91"/>
      <c r="G199" s="91"/>
      <c r="H199" s="91"/>
      <c r="I199" s="91"/>
      <c r="J199" s="91"/>
      <c r="K199" s="91"/>
      <c r="L199" s="91"/>
      <c r="M199" s="91"/>
      <c r="N199" s="91"/>
      <c r="O199" s="91"/>
    </row>
    <row r="200" spans="1:16" x14ac:dyDescent="0.35">
      <c r="A200" s="90"/>
      <c r="B200" s="91"/>
      <c r="C200" s="91"/>
      <c r="D200" s="91"/>
      <c r="E200" s="91"/>
      <c r="F200" s="91"/>
      <c r="G200" s="91"/>
      <c r="H200" s="91"/>
      <c r="I200" s="91"/>
      <c r="J200" s="91"/>
      <c r="K200" s="91"/>
      <c r="L200" s="91"/>
      <c r="M200" s="91"/>
      <c r="N200" s="91"/>
      <c r="O200" s="91"/>
    </row>
    <row r="201" spans="1:16" x14ac:dyDescent="0.35">
      <c r="A201" s="90"/>
      <c r="B201" s="91"/>
      <c r="C201" s="91"/>
      <c r="D201" s="91"/>
      <c r="E201" s="91"/>
      <c r="F201" s="91"/>
      <c r="G201" s="91"/>
      <c r="H201" s="91"/>
      <c r="I201" s="91"/>
      <c r="J201" s="91"/>
      <c r="K201" s="91"/>
      <c r="L201" s="91"/>
      <c r="M201" s="91"/>
      <c r="N201" s="91"/>
      <c r="O201" s="91"/>
    </row>
    <row r="202" spans="1:16" x14ac:dyDescent="0.35">
      <c r="A202" s="90"/>
      <c r="B202" s="91"/>
      <c r="C202" s="91"/>
      <c r="D202" s="91"/>
      <c r="E202" s="91"/>
      <c r="F202" s="91"/>
      <c r="G202" s="91"/>
      <c r="H202" s="91"/>
      <c r="I202" s="91"/>
      <c r="J202" s="91"/>
      <c r="K202" s="91"/>
      <c r="L202" s="91"/>
      <c r="M202" s="91"/>
      <c r="N202" s="91"/>
      <c r="O202" s="91"/>
    </row>
    <row r="203" spans="1:16" x14ac:dyDescent="0.35">
      <c r="A203" s="90"/>
      <c r="B203" s="91"/>
      <c r="C203" s="91"/>
      <c r="D203" s="91"/>
      <c r="E203" s="91"/>
      <c r="F203" s="91"/>
      <c r="G203" s="91"/>
      <c r="H203" s="91"/>
      <c r="I203" s="91"/>
      <c r="J203" s="91"/>
      <c r="K203" s="91"/>
      <c r="L203" s="91"/>
      <c r="M203" s="91"/>
      <c r="N203" s="91"/>
      <c r="O203" s="91"/>
    </row>
    <row r="204" spans="1:16" x14ac:dyDescent="0.35">
      <c r="A204" s="90"/>
      <c r="B204" s="91"/>
      <c r="C204" s="91"/>
      <c r="D204" s="91"/>
      <c r="E204" s="91"/>
      <c r="F204" s="91"/>
      <c r="G204" s="91"/>
      <c r="H204" s="91"/>
      <c r="I204" s="91"/>
      <c r="J204" s="91"/>
      <c r="K204" s="91"/>
      <c r="L204" s="91"/>
      <c r="M204" s="91"/>
      <c r="N204" s="91"/>
      <c r="O204" s="91"/>
    </row>
    <row r="205" spans="1:16" x14ac:dyDescent="0.35">
      <c r="A205" s="90"/>
      <c r="B205" s="91"/>
      <c r="C205" s="91"/>
      <c r="D205" s="91"/>
      <c r="E205" s="91"/>
      <c r="F205" s="91"/>
      <c r="G205" s="91"/>
      <c r="H205" s="91"/>
      <c r="I205" s="91"/>
      <c r="J205" s="91"/>
      <c r="K205" s="91"/>
      <c r="L205" s="91"/>
      <c r="M205" s="91"/>
      <c r="N205" s="91"/>
      <c r="O205" s="91"/>
    </row>
    <row r="207" spans="1:16" x14ac:dyDescent="0.35">
      <c r="A207" s="92"/>
    </row>
    <row r="208" spans="1:16"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162:O205 B5:Q36 Q37:Q187 P162:P198 B37:P161">
    <cfRule type="cellIs" dxfId="6" priority="1" stopIfTrue="1" operator="equal">
      <formula>0</formula>
    </cfRule>
  </conditionalFormatting>
  <conditionalFormatting sqref="B48:J176 B5:K55">
    <cfRule type="cellIs" priority="2" stopIfTrue="1" operat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2"/>
  </sheetPr>
  <dimension ref="A2:Q216"/>
  <sheetViews>
    <sheetView showGridLines="0" showRowColHeaders="0" zoomScale="85" zoomScaleNormal="85" workbookViewId="0">
      <pane xSplit="1" ySplit="4" topLeftCell="B15" activePane="bottomRight" state="frozen"/>
      <selection activeCell="C35" sqref="C35"/>
      <selection pane="topRight" activeCell="C35" sqref="C35"/>
      <selection pane="bottomLeft" activeCell="C35" sqref="C35"/>
      <selection pane="bottomRight" activeCell="A4" sqref="A4:P56"/>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264</v>
      </c>
    </row>
    <row r="4" spans="1:17" s="101" customFormat="1" x14ac:dyDescent="0.35">
      <c r="A4" s="212"/>
      <c r="B4" s="212"/>
      <c r="C4" s="212"/>
      <c r="D4" s="212"/>
      <c r="E4" s="212"/>
      <c r="F4" s="212"/>
      <c r="G4" s="212"/>
      <c r="H4" s="212"/>
      <c r="I4" s="212"/>
      <c r="J4" s="212"/>
      <c r="K4" s="212"/>
      <c r="L4" s="212"/>
      <c r="M4" s="212"/>
      <c r="N4" s="212"/>
      <c r="O4" s="212"/>
      <c r="P4" s="212"/>
    </row>
    <row r="5" spans="1:17" s="101" customFormat="1" x14ac:dyDescent="0.35">
      <c r="A5" s="212"/>
      <c r="B5" s="214"/>
      <c r="C5" s="214"/>
      <c r="D5" s="214"/>
      <c r="E5" s="214"/>
      <c r="F5" s="214"/>
      <c r="G5" s="214"/>
      <c r="H5" s="214"/>
      <c r="I5" s="214"/>
      <c r="J5" s="214"/>
      <c r="K5" s="214"/>
      <c r="L5" s="213"/>
      <c r="M5" s="213"/>
      <c r="N5" s="213"/>
      <c r="O5" s="214"/>
      <c r="P5" s="214"/>
      <c r="Q5" s="91"/>
    </row>
    <row r="6" spans="1:17" s="101" customFormat="1" x14ac:dyDescent="0.35">
      <c r="A6" s="215"/>
      <c r="B6" s="216"/>
      <c r="C6" s="216"/>
      <c r="D6" s="216"/>
      <c r="E6" s="216"/>
      <c r="F6" s="216"/>
      <c r="G6" s="216"/>
      <c r="H6" s="216"/>
      <c r="I6" s="216"/>
      <c r="J6" s="216"/>
      <c r="K6" s="216"/>
      <c r="L6" s="217"/>
      <c r="M6" s="217"/>
      <c r="N6" s="217"/>
      <c r="O6" s="216"/>
      <c r="P6" s="216"/>
      <c r="Q6" s="91"/>
    </row>
    <row r="7" spans="1:17" s="101" customFormat="1" x14ac:dyDescent="0.35">
      <c r="A7" s="90"/>
      <c r="B7" s="91"/>
      <c r="C7" s="91"/>
      <c r="D7" s="91"/>
      <c r="E7" s="91"/>
      <c r="F7" s="91"/>
      <c r="G7" s="91"/>
      <c r="H7" s="91"/>
      <c r="I7" s="91"/>
      <c r="J7" s="91"/>
      <c r="K7" s="91"/>
      <c r="L7" s="213"/>
      <c r="M7" s="213"/>
      <c r="N7" s="213"/>
      <c r="O7" s="214"/>
      <c r="P7" s="214"/>
      <c r="Q7" s="91"/>
    </row>
    <row r="8" spans="1:17" s="101" customFormat="1" x14ac:dyDescent="0.35">
      <c r="A8" s="90"/>
      <c r="B8" s="91"/>
      <c r="C8" s="91"/>
      <c r="D8" s="91"/>
      <c r="E8" s="91"/>
      <c r="F8" s="91"/>
      <c r="G8" s="91"/>
      <c r="H8" s="91"/>
      <c r="I8" s="91"/>
      <c r="J8" s="91"/>
      <c r="K8" s="91"/>
      <c r="L8" s="213"/>
      <c r="M8" s="213"/>
      <c r="N8" s="213"/>
      <c r="O8" s="214"/>
      <c r="P8" s="214"/>
      <c r="Q8" s="91"/>
    </row>
    <row r="9" spans="1:17" s="101" customFormat="1" x14ac:dyDescent="0.35">
      <c r="A9" s="90"/>
      <c r="B9" s="91"/>
      <c r="C9" s="91"/>
      <c r="D9" s="91"/>
      <c r="E9" s="91"/>
      <c r="F9" s="91"/>
      <c r="G9" s="91"/>
      <c r="H9" s="91"/>
      <c r="I9" s="91"/>
      <c r="J9" s="91"/>
      <c r="K9" s="91"/>
      <c r="L9" s="213"/>
      <c r="M9" s="213"/>
      <c r="N9" s="213"/>
      <c r="O9" s="214"/>
      <c r="P9" s="214"/>
      <c r="Q9" s="91"/>
    </row>
    <row r="10" spans="1:17" s="101" customFormat="1" x14ac:dyDescent="0.35">
      <c r="A10" s="90"/>
      <c r="B10" s="91"/>
      <c r="C10" s="91"/>
      <c r="D10" s="91"/>
      <c r="E10" s="91"/>
      <c r="F10" s="91"/>
      <c r="G10" s="91"/>
      <c r="H10" s="91"/>
      <c r="I10" s="91"/>
      <c r="J10" s="91"/>
      <c r="K10" s="91"/>
      <c r="L10" s="213"/>
      <c r="M10" s="213"/>
      <c r="N10" s="213"/>
      <c r="O10" s="214"/>
      <c r="P10" s="214"/>
      <c r="Q10" s="91"/>
    </row>
    <row r="11" spans="1:17" s="101" customFormat="1" x14ac:dyDescent="0.35">
      <c r="A11" s="90"/>
      <c r="B11" s="91"/>
      <c r="C11" s="91"/>
      <c r="D11" s="91"/>
      <c r="E11" s="91"/>
      <c r="F11" s="91"/>
      <c r="G11" s="91"/>
      <c r="H11" s="91"/>
      <c r="I11" s="91"/>
      <c r="J11" s="91"/>
      <c r="K11" s="91"/>
      <c r="L11" s="213"/>
      <c r="M11" s="213"/>
      <c r="N11" s="213"/>
      <c r="O11" s="214"/>
      <c r="P11" s="214"/>
      <c r="Q11" s="91"/>
    </row>
    <row r="12" spans="1:17" s="101" customFormat="1" x14ac:dyDescent="0.35">
      <c r="A12" s="90"/>
      <c r="B12" s="91"/>
      <c r="C12" s="91"/>
      <c r="D12" s="91"/>
      <c r="E12" s="91"/>
      <c r="F12" s="91"/>
      <c r="G12" s="91"/>
      <c r="H12" s="91"/>
      <c r="I12" s="91"/>
      <c r="J12" s="91"/>
      <c r="K12" s="91"/>
      <c r="L12" s="213"/>
      <c r="M12" s="213"/>
      <c r="N12" s="213"/>
      <c r="O12" s="214"/>
      <c r="P12" s="214"/>
      <c r="Q12" s="91"/>
    </row>
    <row r="13" spans="1:17" s="101" customFormat="1" x14ac:dyDescent="0.35">
      <c r="A13" s="90"/>
      <c r="B13" s="91"/>
      <c r="C13" s="91"/>
      <c r="D13" s="91"/>
      <c r="E13" s="91"/>
      <c r="F13" s="91"/>
      <c r="G13" s="91"/>
      <c r="H13" s="91"/>
      <c r="I13" s="91"/>
      <c r="J13" s="91"/>
      <c r="K13" s="91"/>
      <c r="L13" s="213"/>
      <c r="M13" s="213"/>
      <c r="N13" s="213"/>
      <c r="O13" s="214"/>
      <c r="P13" s="214"/>
      <c r="Q13" s="91"/>
    </row>
    <row r="14" spans="1:17" s="101" customFormat="1" x14ac:dyDescent="0.35">
      <c r="A14" s="90"/>
      <c r="B14" s="91"/>
      <c r="C14" s="91"/>
      <c r="D14" s="91"/>
      <c r="E14" s="91"/>
      <c r="F14" s="91"/>
      <c r="G14" s="91"/>
      <c r="H14" s="91"/>
      <c r="I14" s="91"/>
      <c r="J14" s="91"/>
      <c r="K14" s="91"/>
      <c r="L14" s="213"/>
      <c r="M14" s="213"/>
      <c r="N14" s="213"/>
      <c r="O14" s="214"/>
      <c r="P14" s="214"/>
      <c r="Q14" s="91"/>
    </row>
    <row r="15" spans="1:17" s="101" customFormat="1" x14ac:dyDescent="0.35">
      <c r="A15" s="90"/>
      <c r="B15" s="91"/>
      <c r="C15" s="91"/>
      <c r="D15" s="91"/>
      <c r="E15" s="91"/>
      <c r="F15" s="91"/>
      <c r="G15" s="91"/>
      <c r="H15" s="91"/>
      <c r="I15" s="91"/>
      <c r="J15" s="91"/>
      <c r="K15" s="91"/>
      <c r="L15" s="213"/>
      <c r="M15" s="213"/>
      <c r="N15" s="213"/>
      <c r="O15" s="214"/>
      <c r="P15" s="214"/>
      <c r="Q15" s="91"/>
    </row>
    <row r="16" spans="1:17" s="101" customFormat="1" x14ac:dyDescent="0.35">
      <c r="A16" s="215"/>
      <c r="B16" s="216"/>
      <c r="C16" s="216"/>
      <c r="D16" s="216"/>
      <c r="E16" s="216"/>
      <c r="F16" s="216"/>
      <c r="G16" s="216"/>
      <c r="H16" s="216"/>
      <c r="I16" s="216"/>
      <c r="J16" s="216"/>
      <c r="K16" s="216"/>
      <c r="L16" s="217"/>
      <c r="M16" s="217"/>
      <c r="N16" s="217"/>
      <c r="O16" s="216"/>
      <c r="P16" s="216"/>
      <c r="Q16" s="91"/>
    </row>
    <row r="17" spans="1:17" s="101" customFormat="1" x14ac:dyDescent="0.35">
      <c r="A17" s="90"/>
      <c r="B17" s="91"/>
      <c r="C17" s="91"/>
      <c r="D17" s="91"/>
      <c r="E17" s="91"/>
      <c r="F17" s="91"/>
      <c r="G17" s="91"/>
      <c r="H17" s="91"/>
      <c r="I17" s="91"/>
      <c r="J17" s="91"/>
      <c r="K17" s="91"/>
      <c r="L17" s="213"/>
      <c r="M17" s="213"/>
      <c r="N17" s="213"/>
      <c r="O17" s="214"/>
      <c r="P17" s="214"/>
      <c r="Q17" s="91"/>
    </row>
    <row r="18" spans="1:17" s="101" customFormat="1" x14ac:dyDescent="0.35">
      <c r="A18" s="90"/>
      <c r="B18" s="91"/>
      <c r="C18" s="91"/>
      <c r="D18" s="91"/>
      <c r="E18" s="91"/>
      <c r="F18" s="91"/>
      <c r="G18" s="91"/>
      <c r="H18" s="91"/>
      <c r="I18" s="91"/>
      <c r="J18" s="91"/>
      <c r="K18" s="91"/>
      <c r="L18" s="213"/>
      <c r="M18" s="213"/>
      <c r="N18" s="213"/>
      <c r="O18" s="214"/>
      <c r="P18" s="214"/>
      <c r="Q18" s="91"/>
    </row>
    <row r="19" spans="1:17" s="101" customFormat="1" x14ac:dyDescent="0.35">
      <c r="A19" s="90"/>
      <c r="B19" s="91"/>
      <c r="C19" s="91"/>
      <c r="D19" s="91"/>
      <c r="E19" s="91"/>
      <c r="F19" s="91"/>
      <c r="G19" s="91"/>
      <c r="H19" s="91"/>
      <c r="I19" s="91"/>
      <c r="J19" s="91"/>
      <c r="K19" s="91"/>
      <c r="L19" s="213"/>
      <c r="M19" s="213"/>
      <c r="N19" s="213"/>
      <c r="O19" s="214"/>
      <c r="P19" s="214"/>
      <c r="Q19" s="91"/>
    </row>
    <row r="20" spans="1:17" s="101" customFormat="1" x14ac:dyDescent="0.35">
      <c r="A20" s="90"/>
      <c r="B20" s="91"/>
      <c r="C20" s="91"/>
      <c r="D20" s="91"/>
      <c r="E20" s="91"/>
      <c r="F20" s="91"/>
      <c r="G20" s="91"/>
      <c r="H20" s="91"/>
      <c r="I20" s="91"/>
      <c r="J20" s="91"/>
      <c r="K20" s="91"/>
      <c r="L20" s="213"/>
      <c r="M20" s="213"/>
      <c r="N20" s="213"/>
      <c r="O20" s="214"/>
      <c r="P20" s="214"/>
      <c r="Q20" s="91"/>
    </row>
    <row r="21" spans="1:17" s="101" customFormat="1" x14ac:dyDescent="0.35">
      <c r="A21" s="90"/>
      <c r="B21" s="91"/>
      <c r="C21" s="91"/>
      <c r="D21" s="91"/>
      <c r="E21" s="91"/>
      <c r="F21" s="91"/>
      <c r="G21" s="91"/>
      <c r="H21" s="91"/>
      <c r="I21" s="91"/>
      <c r="J21" s="91"/>
      <c r="K21" s="91"/>
      <c r="L21" s="213"/>
      <c r="M21" s="213"/>
      <c r="N21" s="213"/>
      <c r="O21" s="214"/>
      <c r="P21" s="214"/>
      <c r="Q21" s="91"/>
    </row>
    <row r="22" spans="1:17" s="101" customFormat="1" x14ac:dyDescent="0.35">
      <c r="A22" s="90"/>
      <c r="B22" s="91"/>
      <c r="C22" s="91"/>
      <c r="D22" s="91"/>
      <c r="E22" s="91"/>
      <c r="F22" s="91"/>
      <c r="G22" s="91"/>
      <c r="H22" s="91"/>
      <c r="I22" s="91"/>
      <c r="J22" s="91"/>
      <c r="K22" s="91"/>
      <c r="L22" s="213"/>
      <c r="M22" s="213"/>
      <c r="N22" s="213"/>
      <c r="O22" s="214"/>
      <c r="P22" s="214"/>
      <c r="Q22" s="91"/>
    </row>
    <row r="23" spans="1:17" s="101" customFormat="1" x14ac:dyDescent="0.35">
      <c r="A23" s="90"/>
      <c r="B23" s="91"/>
      <c r="C23" s="91"/>
      <c r="D23" s="91"/>
      <c r="E23" s="91"/>
      <c r="F23" s="91"/>
      <c r="G23" s="91"/>
      <c r="H23" s="91"/>
      <c r="I23" s="91"/>
      <c r="J23" s="91"/>
      <c r="K23" s="91"/>
      <c r="L23" s="213"/>
      <c r="M23" s="213"/>
      <c r="N23" s="213"/>
      <c r="O23" s="214"/>
      <c r="P23" s="214"/>
      <c r="Q23" s="91"/>
    </row>
    <row r="24" spans="1:17" s="101" customFormat="1" x14ac:dyDescent="0.35">
      <c r="A24" s="90"/>
      <c r="B24" s="91"/>
      <c r="C24" s="91"/>
      <c r="D24" s="91"/>
      <c r="E24" s="91"/>
      <c r="F24" s="91"/>
      <c r="G24" s="91"/>
      <c r="H24" s="91"/>
      <c r="I24" s="91"/>
      <c r="J24" s="91"/>
      <c r="K24" s="91"/>
      <c r="L24" s="213"/>
      <c r="M24" s="213"/>
      <c r="N24" s="213"/>
      <c r="O24" s="214"/>
      <c r="P24" s="214"/>
      <c r="Q24" s="91"/>
    </row>
    <row r="25" spans="1:17" s="101" customFormat="1" x14ac:dyDescent="0.35">
      <c r="A25" s="90"/>
      <c r="B25" s="91"/>
      <c r="C25" s="91"/>
      <c r="D25" s="91"/>
      <c r="E25" s="91"/>
      <c r="F25" s="91"/>
      <c r="G25" s="91"/>
      <c r="H25" s="91"/>
      <c r="I25" s="91"/>
      <c r="J25" s="91"/>
      <c r="K25" s="91"/>
      <c r="L25" s="213"/>
      <c r="M25" s="213"/>
      <c r="N25" s="213"/>
      <c r="O25" s="214"/>
      <c r="P25" s="214"/>
      <c r="Q25" s="91"/>
    </row>
    <row r="26" spans="1:17" s="101" customFormat="1" x14ac:dyDescent="0.35">
      <c r="A26" s="90"/>
      <c r="B26" s="91"/>
      <c r="C26" s="91"/>
      <c r="D26" s="91"/>
      <c r="E26" s="91"/>
      <c r="F26" s="91"/>
      <c r="G26" s="91"/>
      <c r="H26" s="91"/>
      <c r="I26" s="91"/>
      <c r="J26" s="91"/>
      <c r="K26" s="91"/>
      <c r="L26" s="213"/>
      <c r="M26" s="213"/>
      <c r="N26" s="213"/>
      <c r="O26" s="214"/>
      <c r="P26" s="214"/>
      <c r="Q26" s="91"/>
    </row>
    <row r="27" spans="1:17" s="101" customFormat="1" x14ac:dyDescent="0.35">
      <c r="A27" s="90"/>
      <c r="B27" s="91"/>
      <c r="C27" s="91"/>
      <c r="D27" s="91"/>
      <c r="E27" s="91"/>
      <c r="F27" s="91"/>
      <c r="G27" s="91"/>
      <c r="H27" s="91"/>
      <c r="I27" s="91"/>
      <c r="J27" s="91"/>
      <c r="K27" s="91"/>
      <c r="L27" s="213"/>
      <c r="M27" s="213"/>
      <c r="N27" s="213"/>
      <c r="O27" s="214"/>
      <c r="P27" s="214"/>
      <c r="Q27" s="91"/>
    </row>
    <row r="28" spans="1:17" s="101" customFormat="1" x14ac:dyDescent="0.35">
      <c r="A28" s="90"/>
      <c r="B28" s="91"/>
      <c r="C28" s="91"/>
      <c r="D28" s="91"/>
      <c r="E28" s="91"/>
      <c r="F28" s="91"/>
      <c r="G28" s="91"/>
      <c r="H28" s="91"/>
      <c r="I28" s="91"/>
      <c r="J28" s="91"/>
      <c r="K28" s="91"/>
      <c r="L28" s="213"/>
      <c r="M28" s="213"/>
      <c r="N28" s="213"/>
      <c r="O28" s="214"/>
      <c r="P28" s="214"/>
      <c r="Q28" s="91"/>
    </row>
    <row r="29" spans="1:17" s="101" customFormat="1" x14ac:dyDescent="0.35">
      <c r="A29" s="90"/>
      <c r="B29" s="91"/>
      <c r="C29" s="91"/>
      <c r="D29" s="91"/>
      <c r="E29" s="91"/>
      <c r="F29" s="91"/>
      <c r="G29" s="91"/>
      <c r="H29" s="91"/>
      <c r="I29" s="91"/>
      <c r="J29" s="91"/>
      <c r="K29" s="91"/>
      <c r="L29" s="213"/>
      <c r="M29" s="213"/>
      <c r="N29" s="213"/>
      <c r="O29" s="214"/>
      <c r="P29" s="214"/>
      <c r="Q29" s="91"/>
    </row>
    <row r="30" spans="1:17" s="101" customFormat="1" x14ac:dyDescent="0.35">
      <c r="A30" s="215"/>
      <c r="B30" s="216"/>
      <c r="C30" s="216"/>
      <c r="D30" s="216"/>
      <c r="E30" s="216"/>
      <c r="F30" s="216"/>
      <c r="G30" s="216"/>
      <c r="H30" s="216"/>
      <c r="I30" s="216"/>
      <c r="J30" s="216"/>
      <c r="K30" s="216"/>
      <c r="L30" s="217"/>
      <c r="M30" s="217"/>
      <c r="N30" s="217"/>
      <c r="O30" s="216"/>
      <c r="P30" s="216"/>
      <c r="Q30" s="91"/>
    </row>
    <row r="31" spans="1:17" s="101" customFormat="1" x14ac:dyDescent="0.35">
      <c r="A31" s="90"/>
      <c r="B31" s="91"/>
      <c r="C31" s="91"/>
      <c r="D31" s="91"/>
      <c r="E31" s="91"/>
      <c r="F31" s="91"/>
      <c r="G31" s="91"/>
      <c r="H31" s="91"/>
      <c r="I31" s="91"/>
      <c r="J31" s="91"/>
      <c r="K31" s="91"/>
      <c r="L31" s="213"/>
      <c r="M31" s="213"/>
      <c r="N31" s="213"/>
      <c r="O31" s="214"/>
      <c r="P31" s="214"/>
      <c r="Q31" s="91"/>
    </row>
    <row r="32" spans="1:17" s="101" customFormat="1" x14ac:dyDescent="0.35">
      <c r="A32" s="90"/>
      <c r="B32" s="91"/>
      <c r="C32" s="91"/>
      <c r="D32" s="91"/>
      <c r="E32" s="91"/>
      <c r="F32" s="91"/>
      <c r="G32" s="91"/>
      <c r="H32" s="91"/>
      <c r="I32" s="91"/>
      <c r="J32" s="91"/>
      <c r="K32" s="91"/>
      <c r="L32" s="213"/>
      <c r="M32" s="213"/>
      <c r="N32" s="213"/>
      <c r="O32" s="214"/>
      <c r="P32" s="214"/>
      <c r="Q32" s="91"/>
    </row>
    <row r="33" spans="1:17" s="101" customFormat="1" x14ac:dyDescent="0.35">
      <c r="A33" s="90"/>
      <c r="B33" s="91"/>
      <c r="C33" s="91"/>
      <c r="D33" s="91"/>
      <c r="E33" s="91"/>
      <c r="F33" s="91"/>
      <c r="G33" s="91"/>
      <c r="H33" s="91"/>
      <c r="I33" s="91"/>
      <c r="J33" s="91"/>
      <c r="K33" s="91"/>
      <c r="L33" s="213"/>
      <c r="M33" s="213"/>
      <c r="N33" s="213"/>
      <c r="O33" s="214"/>
      <c r="P33" s="214"/>
      <c r="Q33" s="91"/>
    </row>
    <row r="34" spans="1:17" s="101" customFormat="1" x14ac:dyDescent="0.35">
      <c r="A34" s="90"/>
      <c r="B34" s="91"/>
      <c r="C34" s="91"/>
      <c r="D34" s="91"/>
      <c r="E34" s="91"/>
      <c r="F34" s="91"/>
      <c r="G34" s="91"/>
      <c r="H34" s="91"/>
      <c r="I34" s="91"/>
      <c r="J34" s="91"/>
      <c r="K34" s="91"/>
      <c r="L34" s="213"/>
      <c r="M34" s="213"/>
      <c r="N34" s="213"/>
      <c r="O34" s="214"/>
      <c r="P34" s="214"/>
      <c r="Q34" s="91"/>
    </row>
    <row r="35" spans="1:17" s="101" customFormat="1" x14ac:dyDescent="0.35">
      <c r="A35" s="90"/>
      <c r="B35" s="91"/>
      <c r="C35" s="91"/>
      <c r="D35" s="91"/>
      <c r="E35" s="91"/>
      <c r="F35" s="91"/>
      <c r="G35" s="91"/>
      <c r="H35" s="91"/>
      <c r="I35" s="91"/>
      <c r="J35" s="91"/>
      <c r="K35" s="91"/>
      <c r="L35" s="213"/>
      <c r="M35" s="213"/>
      <c r="N35" s="213"/>
      <c r="O35" s="214"/>
      <c r="P35" s="214"/>
      <c r="Q35" s="91"/>
    </row>
    <row r="36" spans="1:17" s="101" customFormat="1" x14ac:dyDescent="0.35">
      <c r="A36" s="218"/>
      <c r="B36" s="219"/>
      <c r="C36" s="219"/>
      <c r="D36" s="219"/>
      <c r="E36" s="219"/>
      <c r="F36" s="219"/>
      <c r="G36" s="219"/>
      <c r="H36" s="219"/>
      <c r="I36" s="219"/>
      <c r="J36" s="219"/>
      <c r="K36" s="219"/>
      <c r="L36" s="217"/>
      <c r="M36" s="217"/>
      <c r="N36" s="217"/>
      <c r="O36" s="216"/>
      <c r="P36" s="216"/>
      <c r="Q36" s="91"/>
    </row>
    <row r="37" spans="1:17" s="101" customFormat="1" x14ac:dyDescent="0.35">
      <c r="A37" s="212"/>
      <c r="B37" s="91"/>
      <c r="C37" s="91"/>
      <c r="D37" s="91"/>
      <c r="E37" s="91"/>
      <c r="F37" s="91"/>
      <c r="G37" s="91"/>
      <c r="H37" s="91"/>
      <c r="I37" s="91"/>
      <c r="J37" s="91"/>
      <c r="K37" s="91"/>
      <c r="L37" s="213"/>
      <c r="M37" s="213"/>
      <c r="N37" s="213"/>
      <c r="O37" s="214"/>
      <c r="P37" s="214"/>
      <c r="Q37" s="91"/>
    </row>
    <row r="38" spans="1:17" s="101" customFormat="1" x14ac:dyDescent="0.35">
      <c r="A38" s="90"/>
      <c r="B38" s="91"/>
      <c r="C38" s="91"/>
      <c r="D38" s="91"/>
      <c r="E38" s="91"/>
      <c r="F38" s="91"/>
      <c r="G38" s="91"/>
      <c r="H38" s="91"/>
      <c r="I38" s="91"/>
      <c r="J38" s="91"/>
      <c r="K38" s="91"/>
      <c r="L38" s="213"/>
      <c r="M38" s="213"/>
      <c r="N38" s="213"/>
      <c r="O38" s="214"/>
      <c r="P38" s="214"/>
      <c r="Q38" s="91"/>
    </row>
    <row r="39" spans="1:17" s="101" customFormat="1" x14ac:dyDescent="0.35">
      <c r="A39" s="90"/>
      <c r="B39" s="91"/>
      <c r="C39" s="91"/>
      <c r="D39" s="91"/>
      <c r="E39" s="91"/>
      <c r="F39" s="91"/>
      <c r="G39" s="91"/>
      <c r="H39" s="91"/>
      <c r="I39" s="91"/>
      <c r="J39" s="91"/>
      <c r="K39" s="91"/>
      <c r="L39" s="213"/>
      <c r="M39" s="213"/>
      <c r="N39" s="213"/>
      <c r="O39" s="214"/>
      <c r="P39" s="214"/>
      <c r="Q39" s="91"/>
    </row>
    <row r="40" spans="1:17" s="101" customFormat="1" x14ac:dyDescent="0.35">
      <c r="A40" s="90"/>
      <c r="B40" s="91"/>
      <c r="C40" s="91"/>
      <c r="D40" s="91"/>
      <c r="E40" s="91"/>
      <c r="F40" s="91"/>
      <c r="G40" s="91"/>
      <c r="H40" s="91"/>
      <c r="I40" s="91"/>
      <c r="J40" s="91"/>
      <c r="K40" s="91"/>
      <c r="L40" s="213"/>
      <c r="M40" s="213"/>
      <c r="N40" s="213"/>
      <c r="O40" s="214"/>
      <c r="P40" s="214"/>
      <c r="Q40" s="91"/>
    </row>
    <row r="41" spans="1:17" s="101" customFormat="1" x14ac:dyDescent="0.35">
      <c r="A41" s="90"/>
      <c r="B41" s="91"/>
      <c r="C41" s="91"/>
      <c r="D41" s="91"/>
      <c r="E41" s="91"/>
      <c r="F41" s="91"/>
      <c r="G41" s="91"/>
      <c r="H41" s="91"/>
      <c r="I41" s="91"/>
      <c r="J41" s="91"/>
      <c r="K41" s="91"/>
      <c r="L41" s="213"/>
      <c r="M41" s="213"/>
      <c r="N41" s="213"/>
      <c r="O41" s="214"/>
      <c r="P41" s="214"/>
      <c r="Q41" s="91"/>
    </row>
    <row r="42" spans="1:17" s="101" customFormat="1" x14ac:dyDescent="0.35">
      <c r="A42" s="90"/>
      <c r="B42" s="91"/>
      <c r="C42" s="91"/>
      <c r="D42" s="91"/>
      <c r="E42" s="91"/>
      <c r="F42" s="91"/>
      <c r="G42" s="91"/>
      <c r="H42" s="91"/>
      <c r="I42" s="91"/>
      <c r="J42" s="91"/>
      <c r="K42" s="91"/>
      <c r="L42" s="213"/>
      <c r="M42" s="213"/>
      <c r="N42" s="213"/>
      <c r="O42" s="214"/>
      <c r="P42" s="214"/>
      <c r="Q42" s="91"/>
    </row>
    <row r="43" spans="1:17" s="101" customFormat="1" x14ac:dyDescent="0.35">
      <c r="A43" s="90"/>
      <c r="B43" s="91"/>
      <c r="C43" s="91"/>
      <c r="D43" s="91"/>
      <c r="E43" s="91"/>
      <c r="F43" s="91"/>
      <c r="G43" s="91"/>
      <c r="H43" s="91"/>
      <c r="I43" s="91"/>
      <c r="J43" s="91"/>
      <c r="K43" s="91"/>
      <c r="L43" s="213"/>
      <c r="M43" s="213"/>
      <c r="N43" s="213"/>
      <c r="O43" s="214"/>
      <c r="P43" s="214"/>
      <c r="Q43" s="91"/>
    </row>
    <row r="44" spans="1:17" s="101" customFormat="1" x14ac:dyDescent="0.35">
      <c r="A44" s="90"/>
      <c r="B44" s="91"/>
      <c r="C44" s="91"/>
      <c r="D44" s="91"/>
      <c r="E44" s="91"/>
      <c r="F44" s="91"/>
      <c r="G44" s="91"/>
      <c r="H44" s="91"/>
      <c r="I44" s="91"/>
      <c r="J44" s="91"/>
      <c r="K44" s="91"/>
      <c r="L44" s="213"/>
      <c r="M44" s="213"/>
      <c r="N44" s="213"/>
      <c r="O44" s="214"/>
      <c r="P44" s="214"/>
      <c r="Q44" s="91"/>
    </row>
    <row r="45" spans="1:17" s="101" customFormat="1" x14ac:dyDescent="0.35">
      <c r="A45" s="90"/>
      <c r="B45" s="91"/>
      <c r="C45" s="91"/>
      <c r="D45" s="91"/>
      <c r="E45" s="91"/>
      <c r="F45" s="91"/>
      <c r="G45" s="91"/>
      <c r="H45" s="91"/>
      <c r="I45" s="91"/>
      <c r="J45" s="91"/>
      <c r="K45" s="91"/>
      <c r="L45" s="213"/>
      <c r="M45" s="213"/>
      <c r="N45" s="213"/>
      <c r="O45" s="214"/>
      <c r="P45" s="214"/>
      <c r="Q45" s="91"/>
    </row>
    <row r="46" spans="1:17" s="101" customFormat="1" x14ac:dyDescent="0.35">
      <c r="A46" s="90"/>
      <c r="B46" s="91"/>
      <c r="C46" s="91"/>
      <c r="D46" s="91"/>
      <c r="E46" s="91"/>
      <c r="F46" s="91"/>
      <c r="G46" s="91"/>
      <c r="H46" s="91"/>
      <c r="I46" s="91"/>
      <c r="J46" s="91"/>
      <c r="K46" s="91"/>
      <c r="L46" s="94"/>
      <c r="M46" s="94"/>
      <c r="N46" s="94"/>
      <c r="O46" s="91"/>
      <c r="P46" s="91"/>
      <c r="Q46" s="91"/>
    </row>
    <row r="47" spans="1:17" s="101" customFormat="1" x14ac:dyDescent="0.35">
      <c r="A47" s="90"/>
      <c r="B47" s="91"/>
      <c r="C47" s="91"/>
      <c r="D47" s="91"/>
      <c r="E47" s="91"/>
      <c r="F47" s="91"/>
      <c r="G47" s="91"/>
      <c r="H47" s="91"/>
      <c r="I47" s="91"/>
      <c r="J47" s="91"/>
      <c r="K47" s="91"/>
      <c r="L47" s="94"/>
      <c r="M47" s="94"/>
      <c r="N47" s="94"/>
      <c r="O47" s="91"/>
      <c r="P47" s="91"/>
      <c r="Q47" s="91"/>
    </row>
    <row r="48" spans="1:17" s="101" customFormat="1" x14ac:dyDescent="0.35">
      <c r="A48" s="90"/>
      <c r="B48" s="91"/>
      <c r="C48" s="91"/>
      <c r="D48" s="91"/>
      <c r="E48" s="91"/>
      <c r="F48" s="91"/>
      <c r="G48" s="91"/>
      <c r="H48" s="91"/>
      <c r="I48" s="91"/>
      <c r="J48" s="91"/>
      <c r="K48" s="91"/>
      <c r="L48" s="94"/>
      <c r="M48" s="94"/>
      <c r="N48" s="94"/>
      <c r="O48" s="91"/>
      <c r="P48" s="91"/>
      <c r="Q48" s="91"/>
    </row>
    <row r="49" spans="1:17" s="101" customFormat="1" x14ac:dyDescent="0.35">
      <c r="A49" s="90"/>
      <c r="B49" s="91"/>
      <c r="C49" s="91"/>
      <c r="D49" s="91"/>
      <c r="E49" s="91"/>
      <c r="F49" s="91"/>
      <c r="G49" s="91"/>
      <c r="H49" s="91"/>
      <c r="I49" s="91"/>
      <c r="J49" s="91"/>
      <c r="K49" s="91"/>
      <c r="L49" s="94"/>
      <c r="M49" s="94"/>
      <c r="N49" s="94"/>
      <c r="O49" s="91"/>
      <c r="P49" s="91"/>
      <c r="Q49" s="91"/>
    </row>
    <row r="50" spans="1:17" s="101" customFormat="1" x14ac:dyDescent="0.35">
      <c r="A50" s="90"/>
      <c r="B50" s="91"/>
      <c r="C50" s="91"/>
      <c r="D50" s="91"/>
      <c r="E50" s="91"/>
      <c r="F50" s="91"/>
      <c r="G50" s="91"/>
      <c r="H50" s="91"/>
      <c r="I50" s="91"/>
      <c r="J50" s="91"/>
      <c r="K50" s="91"/>
      <c r="L50" s="94"/>
      <c r="M50" s="94"/>
      <c r="N50" s="94"/>
      <c r="O50" s="91"/>
      <c r="P50" s="91"/>
      <c r="Q50" s="91"/>
    </row>
    <row r="51" spans="1:17" s="101" customFormat="1" x14ac:dyDescent="0.35">
      <c r="A51" s="90"/>
      <c r="B51" s="91"/>
      <c r="C51" s="91"/>
      <c r="D51" s="91"/>
      <c r="E51" s="91"/>
      <c r="F51" s="91"/>
      <c r="G51" s="91"/>
      <c r="H51" s="91"/>
      <c r="I51" s="91"/>
      <c r="J51" s="91"/>
      <c r="K51" s="91"/>
      <c r="L51" s="94"/>
      <c r="M51" s="94"/>
      <c r="N51" s="94"/>
      <c r="O51" s="91"/>
      <c r="P51" s="91"/>
      <c r="Q51" s="91"/>
    </row>
    <row r="52" spans="1:17" s="101" customFormat="1" x14ac:dyDescent="0.35">
      <c r="A52" s="90"/>
      <c r="B52" s="91"/>
      <c r="C52" s="91"/>
      <c r="D52" s="91"/>
      <c r="E52" s="91"/>
      <c r="F52" s="91"/>
      <c r="G52" s="91"/>
      <c r="H52" s="91"/>
      <c r="I52" s="91"/>
      <c r="J52" s="91"/>
      <c r="K52" s="91"/>
      <c r="L52" s="94"/>
      <c r="M52" s="94"/>
      <c r="N52" s="94"/>
      <c r="O52" s="91"/>
      <c r="P52" s="91"/>
      <c r="Q52" s="91"/>
    </row>
    <row r="53" spans="1:17" s="101" customFormat="1" x14ac:dyDescent="0.35">
      <c r="A53" s="90"/>
      <c r="B53" s="91"/>
      <c r="C53" s="91"/>
      <c r="D53" s="91"/>
      <c r="E53" s="91"/>
      <c r="F53" s="91"/>
      <c r="G53" s="91"/>
      <c r="H53" s="91"/>
      <c r="I53" s="91"/>
      <c r="J53" s="91"/>
      <c r="K53" s="91"/>
      <c r="L53" s="94"/>
      <c r="M53" s="94"/>
      <c r="N53" s="94"/>
      <c r="O53" s="91"/>
      <c r="P53" s="91"/>
      <c r="Q53" s="91"/>
    </row>
    <row r="54" spans="1:17" s="101" customFormat="1" x14ac:dyDescent="0.35">
      <c r="A54" s="90"/>
      <c r="B54" s="91"/>
      <c r="C54" s="91"/>
      <c r="D54" s="91"/>
      <c r="E54" s="91"/>
      <c r="F54" s="91"/>
      <c r="G54" s="91"/>
      <c r="H54" s="91"/>
      <c r="I54" s="91"/>
      <c r="J54" s="91"/>
      <c r="K54" s="91"/>
      <c r="L54" s="94"/>
      <c r="M54" s="94"/>
      <c r="N54" s="94"/>
      <c r="O54" s="91"/>
      <c r="P54" s="91"/>
      <c r="Q54" s="91"/>
    </row>
    <row r="55" spans="1:17" s="101" customFormat="1" x14ac:dyDescent="0.35">
      <c r="A55" s="90"/>
      <c r="B55" s="91"/>
      <c r="C55" s="91"/>
      <c r="D55" s="91"/>
      <c r="E55" s="91"/>
      <c r="F55" s="91"/>
      <c r="G55" s="91"/>
      <c r="H55" s="91"/>
      <c r="I55" s="91"/>
      <c r="J55" s="91"/>
      <c r="K55" s="91"/>
      <c r="L55" s="94"/>
      <c r="M55" s="94"/>
      <c r="N55" s="94"/>
      <c r="O55" s="91"/>
      <c r="P55" s="91"/>
      <c r="Q55" s="91"/>
    </row>
    <row r="56" spans="1:17" s="101" customFormat="1" x14ac:dyDescent="0.35">
      <c r="A56" s="90"/>
      <c r="B56" s="91"/>
      <c r="C56" s="91"/>
      <c r="D56" s="91"/>
      <c r="E56" s="91"/>
      <c r="F56" s="91"/>
      <c r="G56" s="91"/>
      <c r="H56" s="91"/>
      <c r="I56" s="91"/>
      <c r="J56" s="91"/>
      <c r="K56" s="94"/>
      <c r="L56" s="94"/>
      <c r="M56" s="94"/>
      <c r="N56" s="91"/>
      <c r="O56" s="91"/>
      <c r="P56" s="91"/>
      <c r="Q56" s="91"/>
    </row>
    <row r="57" spans="1:17" s="101" customFormat="1" x14ac:dyDescent="0.35">
      <c r="A57" s="90"/>
      <c r="B57" s="91"/>
      <c r="C57" s="91"/>
      <c r="D57" s="91"/>
      <c r="E57" s="91"/>
      <c r="F57" s="91"/>
      <c r="G57" s="91"/>
      <c r="H57" s="91"/>
      <c r="I57" s="91"/>
      <c r="J57" s="91"/>
      <c r="K57" s="94"/>
      <c r="L57" s="94"/>
      <c r="M57" s="94"/>
      <c r="N57" s="91"/>
      <c r="O57" s="91"/>
      <c r="P57" s="91"/>
      <c r="Q57" s="91"/>
    </row>
    <row r="58" spans="1:17" s="101" customFormat="1" x14ac:dyDescent="0.35">
      <c r="A58" s="90"/>
      <c r="B58" s="91"/>
      <c r="C58" s="91"/>
      <c r="D58" s="91"/>
      <c r="E58" s="91"/>
      <c r="F58" s="91"/>
      <c r="G58" s="91"/>
      <c r="H58" s="91"/>
      <c r="I58" s="91"/>
      <c r="J58" s="91"/>
      <c r="K58" s="94"/>
      <c r="L58" s="94"/>
      <c r="M58" s="94"/>
      <c r="N58" s="91"/>
      <c r="O58" s="91"/>
      <c r="P58" s="91"/>
      <c r="Q58" s="91"/>
    </row>
    <row r="59" spans="1:17" s="101" customFormat="1" x14ac:dyDescent="0.35">
      <c r="A59" s="90"/>
      <c r="B59" s="91"/>
      <c r="C59" s="91"/>
      <c r="D59" s="91"/>
      <c r="E59" s="91"/>
      <c r="F59" s="91"/>
      <c r="G59" s="91"/>
      <c r="H59" s="91"/>
      <c r="I59" s="91"/>
      <c r="J59" s="91"/>
      <c r="K59" s="94"/>
      <c r="L59" s="94"/>
      <c r="M59" s="94"/>
      <c r="N59" s="91"/>
      <c r="O59" s="91"/>
      <c r="P59" s="91"/>
      <c r="Q59" s="91"/>
    </row>
    <row r="60" spans="1:17" s="101" customFormat="1" x14ac:dyDescent="0.35">
      <c r="A60" s="90"/>
      <c r="B60" s="91"/>
      <c r="C60" s="91"/>
      <c r="D60" s="91"/>
      <c r="E60" s="91"/>
      <c r="F60" s="91"/>
      <c r="G60" s="91"/>
      <c r="H60" s="91"/>
      <c r="I60" s="91"/>
      <c r="J60" s="91"/>
      <c r="K60" s="94"/>
      <c r="L60" s="94"/>
      <c r="M60" s="94"/>
      <c r="N60" s="91"/>
      <c r="O60" s="91"/>
      <c r="P60" s="91"/>
      <c r="Q60" s="91"/>
    </row>
    <row r="61" spans="1:17" s="101" customFormat="1" x14ac:dyDescent="0.35">
      <c r="A61" s="90"/>
      <c r="B61" s="91"/>
      <c r="C61" s="91"/>
      <c r="D61" s="91"/>
      <c r="E61" s="91"/>
      <c r="F61" s="91"/>
      <c r="G61" s="91"/>
      <c r="H61" s="91"/>
      <c r="I61" s="91"/>
      <c r="J61" s="91"/>
      <c r="K61" s="94"/>
      <c r="L61" s="94"/>
      <c r="M61" s="94"/>
      <c r="N61" s="91"/>
      <c r="O61" s="91"/>
      <c r="P61" s="91"/>
      <c r="Q61" s="91"/>
    </row>
    <row r="62" spans="1:17" s="101" customFormat="1" x14ac:dyDescent="0.35">
      <c r="A62" s="90"/>
      <c r="B62" s="91"/>
      <c r="C62" s="91"/>
      <c r="D62" s="91"/>
      <c r="E62" s="91"/>
      <c r="F62" s="91"/>
      <c r="G62" s="91"/>
      <c r="H62" s="91"/>
      <c r="I62" s="91"/>
      <c r="J62" s="91"/>
      <c r="K62" s="94"/>
      <c r="L62" s="94"/>
      <c r="M62" s="94"/>
      <c r="N62" s="91"/>
      <c r="O62" s="91"/>
      <c r="P62" s="91"/>
      <c r="Q62" s="91"/>
    </row>
    <row r="63" spans="1:17" s="101" customFormat="1" x14ac:dyDescent="0.35">
      <c r="A63" s="90"/>
      <c r="B63" s="91"/>
      <c r="C63" s="91"/>
      <c r="D63" s="91"/>
      <c r="E63" s="91"/>
      <c r="F63" s="91"/>
      <c r="G63" s="91"/>
      <c r="H63" s="91"/>
      <c r="I63" s="91"/>
      <c r="J63" s="91"/>
      <c r="K63" s="94"/>
      <c r="L63" s="94"/>
      <c r="M63" s="94"/>
      <c r="N63" s="91"/>
      <c r="O63" s="91"/>
      <c r="P63" s="91"/>
      <c r="Q63" s="91"/>
    </row>
    <row r="64" spans="1:17" s="101" customFormat="1" x14ac:dyDescent="0.35">
      <c r="A64" s="90"/>
      <c r="B64" s="91"/>
      <c r="C64" s="91"/>
      <c r="D64" s="91"/>
      <c r="E64" s="91"/>
      <c r="F64" s="91"/>
      <c r="G64" s="91"/>
      <c r="H64" s="91"/>
      <c r="I64" s="91"/>
      <c r="J64" s="91"/>
      <c r="K64" s="94"/>
      <c r="L64" s="94"/>
      <c r="M64" s="94"/>
      <c r="N64" s="91"/>
      <c r="O64" s="91"/>
      <c r="P64" s="91"/>
      <c r="Q64" s="91"/>
    </row>
    <row r="65" spans="1:17" s="101" customFormat="1" x14ac:dyDescent="0.35">
      <c r="A65" s="90"/>
      <c r="B65" s="91"/>
      <c r="C65" s="91"/>
      <c r="D65" s="91"/>
      <c r="E65" s="91"/>
      <c r="F65" s="91"/>
      <c r="G65" s="91"/>
      <c r="H65" s="91"/>
      <c r="I65" s="91"/>
      <c r="J65" s="91"/>
      <c r="K65" s="94"/>
      <c r="L65" s="94"/>
      <c r="M65" s="94"/>
      <c r="N65" s="91"/>
      <c r="O65" s="91"/>
      <c r="P65" s="91"/>
      <c r="Q65" s="91"/>
    </row>
    <row r="66" spans="1:17" s="101" customFormat="1" x14ac:dyDescent="0.35">
      <c r="A66" s="90"/>
      <c r="B66" s="91"/>
      <c r="C66" s="91"/>
      <c r="D66" s="91"/>
      <c r="E66" s="91"/>
      <c r="F66" s="91"/>
      <c r="G66" s="91"/>
      <c r="H66" s="91"/>
      <c r="I66" s="91"/>
      <c r="J66" s="91"/>
      <c r="K66" s="94"/>
      <c r="L66" s="94"/>
      <c r="M66" s="94"/>
      <c r="N66" s="91"/>
      <c r="O66" s="91"/>
      <c r="P66" s="91"/>
      <c r="Q66" s="91"/>
    </row>
    <row r="67" spans="1:17" s="101" customFormat="1" x14ac:dyDescent="0.35">
      <c r="A67" s="90"/>
      <c r="B67" s="91"/>
      <c r="C67" s="91"/>
      <c r="D67" s="91"/>
      <c r="E67" s="91"/>
      <c r="F67" s="91"/>
      <c r="G67" s="91"/>
      <c r="H67" s="91"/>
      <c r="I67" s="91"/>
      <c r="J67" s="91"/>
      <c r="K67" s="94"/>
      <c r="L67" s="94"/>
      <c r="M67" s="94"/>
      <c r="N67" s="91"/>
      <c r="O67" s="91"/>
      <c r="P67" s="91"/>
      <c r="Q67" s="91"/>
    </row>
    <row r="68" spans="1:17" s="101" customFormat="1" x14ac:dyDescent="0.35">
      <c r="A68" s="90"/>
      <c r="B68" s="91"/>
      <c r="C68" s="91"/>
      <c r="D68" s="91"/>
      <c r="E68" s="91"/>
      <c r="F68" s="91"/>
      <c r="G68" s="91"/>
      <c r="H68" s="91"/>
      <c r="I68" s="91"/>
      <c r="J68" s="91"/>
      <c r="K68" s="94"/>
      <c r="L68" s="94"/>
      <c r="M68" s="94"/>
      <c r="N68" s="91"/>
      <c r="O68" s="91"/>
      <c r="P68" s="91"/>
      <c r="Q68" s="91"/>
    </row>
    <row r="69" spans="1:17" s="101" customFormat="1" x14ac:dyDescent="0.35">
      <c r="A69" s="90"/>
      <c r="B69" s="91"/>
      <c r="C69" s="91"/>
      <c r="D69" s="91"/>
      <c r="E69" s="91"/>
      <c r="F69" s="91"/>
      <c r="G69" s="91"/>
      <c r="H69" s="91"/>
      <c r="I69" s="91"/>
      <c r="J69" s="91"/>
      <c r="K69" s="94"/>
      <c r="L69" s="94"/>
      <c r="M69" s="94"/>
      <c r="N69" s="91"/>
      <c r="O69" s="91"/>
      <c r="P69" s="91"/>
      <c r="Q69" s="91"/>
    </row>
    <row r="70" spans="1:17" s="101" customFormat="1" x14ac:dyDescent="0.35">
      <c r="A70" s="90"/>
      <c r="B70" s="91"/>
      <c r="C70" s="91"/>
      <c r="D70" s="91"/>
      <c r="E70" s="91"/>
      <c r="F70" s="91"/>
      <c r="G70" s="91"/>
      <c r="H70" s="91"/>
      <c r="I70" s="91"/>
      <c r="J70" s="91"/>
      <c r="K70" s="94"/>
      <c r="L70" s="94"/>
      <c r="M70" s="94"/>
      <c r="N70" s="91"/>
      <c r="O70" s="91"/>
      <c r="P70" s="91"/>
      <c r="Q70" s="91"/>
    </row>
    <row r="71" spans="1:17" s="101" customFormat="1" x14ac:dyDescent="0.35">
      <c r="A71" s="90"/>
      <c r="B71" s="91"/>
      <c r="C71" s="91"/>
      <c r="D71" s="91"/>
      <c r="E71" s="91"/>
      <c r="F71" s="91"/>
      <c r="G71" s="91"/>
      <c r="H71" s="91"/>
      <c r="I71" s="91"/>
      <c r="J71" s="91"/>
      <c r="K71" s="94"/>
      <c r="L71" s="94"/>
      <c r="M71" s="94"/>
      <c r="N71" s="91"/>
      <c r="O71" s="91"/>
      <c r="P71" s="91"/>
      <c r="Q71" s="91"/>
    </row>
    <row r="72" spans="1:17" s="101" customFormat="1" x14ac:dyDescent="0.35">
      <c r="A72" s="90"/>
      <c r="B72" s="91"/>
      <c r="C72" s="91"/>
      <c r="D72" s="91"/>
      <c r="E72" s="91"/>
      <c r="F72" s="91"/>
      <c r="G72" s="91"/>
      <c r="H72" s="91"/>
      <c r="I72" s="91"/>
      <c r="J72" s="91"/>
      <c r="K72" s="94"/>
      <c r="L72" s="94"/>
      <c r="M72" s="94"/>
      <c r="N72" s="91"/>
      <c r="O72" s="91"/>
      <c r="P72" s="91"/>
      <c r="Q72" s="91"/>
    </row>
    <row r="73" spans="1:17" s="101" customFormat="1" x14ac:dyDescent="0.35">
      <c r="A73" s="90"/>
      <c r="B73" s="91"/>
      <c r="C73" s="91"/>
      <c r="D73" s="91"/>
      <c r="E73" s="91"/>
      <c r="F73" s="91"/>
      <c r="G73" s="91"/>
      <c r="H73" s="91"/>
      <c r="I73" s="91"/>
      <c r="J73" s="91"/>
      <c r="K73" s="94"/>
      <c r="L73" s="94"/>
      <c r="M73" s="94"/>
      <c r="N73" s="91"/>
      <c r="O73" s="91"/>
      <c r="P73" s="91"/>
      <c r="Q73" s="91"/>
    </row>
    <row r="74" spans="1:17" s="101" customFormat="1" x14ac:dyDescent="0.35">
      <c r="A74" s="90"/>
      <c r="B74" s="91"/>
      <c r="C74" s="91"/>
      <c r="D74" s="91"/>
      <c r="E74" s="91"/>
      <c r="F74" s="91"/>
      <c r="G74" s="91"/>
      <c r="H74" s="91"/>
      <c r="I74" s="91"/>
      <c r="J74" s="91"/>
      <c r="K74" s="94"/>
      <c r="L74" s="94"/>
      <c r="M74" s="94"/>
      <c r="N74" s="91"/>
      <c r="O74" s="91"/>
      <c r="P74" s="91"/>
      <c r="Q74" s="91"/>
    </row>
    <row r="75" spans="1:17" s="101" customFormat="1" x14ac:dyDescent="0.35">
      <c r="A75" s="90"/>
      <c r="B75" s="91"/>
      <c r="C75" s="91"/>
      <c r="D75" s="91"/>
      <c r="E75" s="91"/>
      <c r="F75" s="91"/>
      <c r="G75" s="91"/>
      <c r="H75" s="91"/>
      <c r="I75" s="91"/>
      <c r="J75" s="91"/>
      <c r="K75" s="94"/>
      <c r="L75" s="94"/>
      <c r="M75" s="94"/>
      <c r="N75" s="91"/>
      <c r="O75" s="91"/>
      <c r="P75" s="91"/>
      <c r="Q75" s="91"/>
    </row>
    <row r="76" spans="1:17" s="101" customFormat="1" x14ac:dyDescent="0.35">
      <c r="A76" s="90"/>
      <c r="B76" s="91"/>
      <c r="C76" s="91"/>
      <c r="D76" s="91"/>
      <c r="E76" s="91"/>
      <c r="F76" s="91"/>
      <c r="G76" s="91"/>
      <c r="H76" s="91"/>
      <c r="I76" s="91"/>
      <c r="J76" s="91"/>
      <c r="K76" s="94"/>
      <c r="L76" s="94"/>
      <c r="M76" s="94"/>
      <c r="N76" s="91"/>
      <c r="O76" s="91"/>
      <c r="P76" s="91"/>
      <c r="Q76" s="91"/>
    </row>
    <row r="77" spans="1:17" s="101" customFormat="1" x14ac:dyDescent="0.35">
      <c r="A77" s="90"/>
      <c r="B77" s="91"/>
      <c r="C77" s="91"/>
      <c r="D77" s="91"/>
      <c r="E77" s="91"/>
      <c r="F77" s="91"/>
      <c r="G77" s="91"/>
      <c r="H77" s="91"/>
      <c r="I77" s="91"/>
      <c r="J77" s="91"/>
      <c r="K77" s="94"/>
      <c r="L77" s="94"/>
      <c r="M77" s="94"/>
      <c r="N77" s="91"/>
      <c r="O77" s="91"/>
      <c r="P77" s="91"/>
      <c r="Q77" s="91"/>
    </row>
    <row r="78" spans="1:17" s="101" customFormat="1" x14ac:dyDescent="0.35">
      <c r="A78" s="90"/>
      <c r="B78" s="91"/>
      <c r="C78" s="91"/>
      <c r="D78" s="91"/>
      <c r="E78" s="91"/>
      <c r="F78" s="91"/>
      <c r="G78" s="91"/>
      <c r="H78" s="91"/>
      <c r="I78" s="91"/>
      <c r="J78" s="91"/>
      <c r="K78" s="94"/>
      <c r="L78" s="94"/>
      <c r="M78" s="94"/>
      <c r="N78" s="91"/>
      <c r="O78" s="91"/>
      <c r="P78" s="91"/>
      <c r="Q78" s="91"/>
    </row>
    <row r="79" spans="1:17" s="101" customFormat="1" x14ac:dyDescent="0.35">
      <c r="A79" s="90"/>
      <c r="B79" s="91"/>
      <c r="C79" s="91"/>
      <c r="D79" s="91"/>
      <c r="E79" s="91"/>
      <c r="F79" s="91"/>
      <c r="G79" s="91"/>
      <c r="H79" s="91"/>
      <c r="I79" s="91"/>
      <c r="J79" s="91"/>
      <c r="K79" s="94"/>
      <c r="L79" s="94"/>
      <c r="M79" s="94"/>
      <c r="N79" s="91"/>
      <c r="O79" s="91"/>
      <c r="P79" s="91"/>
      <c r="Q79" s="91"/>
    </row>
    <row r="80" spans="1:17" s="101" customFormat="1" x14ac:dyDescent="0.35">
      <c r="A80" s="90"/>
      <c r="B80" s="91"/>
      <c r="C80" s="91"/>
      <c r="D80" s="91"/>
      <c r="E80" s="91"/>
      <c r="F80" s="91"/>
      <c r="G80" s="91"/>
      <c r="H80" s="91"/>
      <c r="I80" s="91"/>
      <c r="J80" s="91"/>
      <c r="K80" s="94"/>
      <c r="L80" s="94"/>
      <c r="M80" s="94"/>
      <c r="N80" s="91"/>
      <c r="O80" s="91"/>
      <c r="P80" s="91"/>
      <c r="Q80" s="91"/>
    </row>
    <row r="81" spans="1:17" s="101" customFormat="1" x14ac:dyDescent="0.35">
      <c r="A81" s="90"/>
      <c r="B81" s="91"/>
      <c r="C81" s="91"/>
      <c r="D81" s="91"/>
      <c r="E81" s="91"/>
      <c r="F81" s="91"/>
      <c r="G81" s="91"/>
      <c r="H81" s="91"/>
      <c r="I81" s="91"/>
      <c r="J81" s="91"/>
      <c r="K81" s="94"/>
      <c r="L81" s="94"/>
      <c r="M81" s="94"/>
      <c r="N81" s="91"/>
      <c r="O81" s="91"/>
      <c r="P81" s="91"/>
      <c r="Q81" s="91"/>
    </row>
    <row r="82" spans="1:17" s="101" customFormat="1" x14ac:dyDescent="0.35">
      <c r="A82" s="90"/>
      <c r="B82" s="91"/>
      <c r="C82" s="91"/>
      <c r="D82" s="91"/>
      <c r="E82" s="91"/>
      <c r="F82" s="91"/>
      <c r="G82" s="91"/>
      <c r="H82" s="91"/>
      <c r="I82" s="91"/>
      <c r="J82" s="91"/>
      <c r="K82" s="94"/>
      <c r="L82" s="94"/>
      <c r="M82" s="94"/>
      <c r="N82" s="91"/>
      <c r="O82" s="91"/>
      <c r="P82" s="91"/>
      <c r="Q82" s="91"/>
    </row>
    <row r="83" spans="1:17" s="101" customFormat="1" x14ac:dyDescent="0.35">
      <c r="A83" s="90"/>
      <c r="B83" s="91"/>
      <c r="C83" s="91"/>
      <c r="D83" s="91"/>
      <c r="E83" s="91"/>
      <c r="F83" s="91"/>
      <c r="G83" s="91"/>
      <c r="H83" s="91"/>
      <c r="I83" s="91"/>
      <c r="J83" s="91"/>
      <c r="K83" s="94"/>
      <c r="L83" s="94"/>
      <c r="M83" s="94"/>
      <c r="N83" s="91"/>
      <c r="O83" s="91"/>
      <c r="P83" s="91"/>
      <c r="Q83" s="91"/>
    </row>
    <row r="84" spans="1:17" s="101" customFormat="1" x14ac:dyDescent="0.35">
      <c r="A84" s="90"/>
      <c r="B84" s="91"/>
      <c r="C84" s="91"/>
      <c r="D84" s="91"/>
      <c r="E84" s="91"/>
      <c r="F84" s="91"/>
      <c r="G84" s="91"/>
      <c r="H84" s="91"/>
      <c r="I84" s="91"/>
      <c r="J84" s="91"/>
      <c r="K84" s="94"/>
      <c r="L84" s="94"/>
      <c r="M84" s="94"/>
      <c r="N84" s="91"/>
      <c r="O84" s="91"/>
      <c r="P84" s="91"/>
      <c r="Q84" s="91"/>
    </row>
    <row r="85" spans="1:17" s="101" customFormat="1" x14ac:dyDescent="0.35">
      <c r="A85" s="90"/>
      <c r="B85" s="91"/>
      <c r="C85" s="91"/>
      <c r="D85" s="91"/>
      <c r="E85" s="91"/>
      <c r="F85" s="91"/>
      <c r="G85" s="91"/>
      <c r="H85" s="91"/>
      <c r="I85" s="91"/>
      <c r="J85" s="91"/>
      <c r="K85" s="94"/>
      <c r="L85" s="94"/>
      <c r="M85" s="94"/>
      <c r="N85" s="91"/>
      <c r="O85" s="91"/>
      <c r="P85" s="91"/>
      <c r="Q85" s="91"/>
    </row>
    <row r="86" spans="1:17" s="101" customFormat="1" x14ac:dyDescent="0.35">
      <c r="A86" s="90"/>
      <c r="B86" s="91"/>
      <c r="C86" s="91"/>
      <c r="D86" s="91"/>
      <c r="E86" s="91"/>
      <c r="F86" s="91"/>
      <c r="G86" s="91"/>
      <c r="H86" s="91"/>
      <c r="I86" s="91"/>
      <c r="J86" s="91"/>
      <c r="K86" s="94"/>
      <c r="L86" s="94"/>
      <c r="M86" s="94"/>
      <c r="N86" s="91"/>
      <c r="O86" s="91"/>
      <c r="P86" s="91"/>
      <c r="Q86" s="91"/>
    </row>
    <row r="87" spans="1:17" s="101" customFormat="1" x14ac:dyDescent="0.35">
      <c r="A87" s="90"/>
      <c r="B87" s="91"/>
      <c r="C87" s="91"/>
      <c r="D87" s="91"/>
      <c r="E87" s="91"/>
      <c r="F87" s="91"/>
      <c r="G87" s="91"/>
      <c r="H87" s="91"/>
      <c r="I87" s="91"/>
      <c r="J87" s="91"/>
      <c r="K87" s="94"/>
      <c r="L87" s="94"/>
      <c r="M87" s="94"/>
      <c r="N87" s="91"/>
      <c r="O87" s="91"/>
      <c r="P87" s="91"/>
      <c r="Q87" s="91"/>
    </row>
    <row r="88" spans="1:17" s="101" customFormat="1" x14ac:dyDescent="0.35">
      <c r="A88" s="90"/>
      <c r="B88" s="91"/>
      <c r="C88" s="91"/>
      <c r="D88" s="91"/>
      <c r="E88" s="91"/>
      <c r="F88" s="91"/>
      <c r="G88" s="91"/>
      <c r="H88" s="91"/>
      <c r="I88" s="91"/>
      <c r="J88" s="91"/>
      <c r="K88" s="94"/>
      <c r="L88" s="94"/>
      <c r="M88" s="94"/>
      <c r="N88" s="91"/>
      <c r="O88" s="91"/>
      <c r="P88" s="91"/>
      <c r="Q88" s="91"/>
    </row>
    <row r="89" spans="1:17" s="101" customFormat="1" x14ac:dyDescent="0.35">
      <c r="A89" s="90"/>
      <c r="B89" s="91"/>
      <c r="C89" s="91"/>
      <c r="D89" s="91"/>
      <c r="E89" s="91"/>
      <c r="F89" s="91"/>
      <c r="G89" s="91"/>
      <c r="H89" s="91"/>
      <c r="I89" s="91"/>
      <c r="J89" s="91"/>
      <c r="K89" s="94"/>
      <c r="L89" s="94"/>
      <c r="M89" s="94"/>
      <c r="N89" s="91"/>
      <c r="O89" s="91"/>
      <c r="P89" s="91"/>
      <c r="Q89" s="91"/>
    </row>
    <row r="90" spans="1:17" s="101" customFormat="1" x14ac:dyDescent="0.35">
      <c r="A90" s="90"/>
      <c r="B90" s="91"/>
      <c r="C90" s="91"/>
      <c r="D90" s="91"/>
      <c r="E90" s="91"/>
      <c r="F90" s="91"/>
      <c r="G90" s="91"/>
      <c r="H90" s="91"/>
      <c r="I90" s="91"/>
      <c r="J90" s="91"/>
      <c r="K90" s="94"/>
      <c r="L90" s="94"/>
      <c r="M90" s="94"/>
      <c r="N90" s="91"/>
      <c r="O90" s="91"/>
      <c r="P90" s="91"/>
      <c r="Q90" s="91"/>
    </row>
    <row r="91" spans="1:17" s="101" customFormat="1" x14ac:dyDescent="0.35">
      <c r="A91" s="90"/>
      <c r="B91" s="91"/>
      <c r="C91" s="91"/>
      <c r="D91" s="91"/>
      <c r="E91" s="91"/>
      <c r="F91" s="91"/>
      <c r="G91" s="91"/>
      <c r="H91" s="91"/>
      <c r="I91" s="91"/>
      <c r="J91" s="91"/>
      <c r="K91" s="94"/>
      <c r="L91" s="94"/>
      <c r="M91" s="94"/>
      <c r="N91" s="91"/>
      <c r="O91" s="91"/>
      <c r="P91" s="91"/>
      <c r="Q91" s="91"/>
    </row>
    <row r="92" spans="1:17" s="101" customFormat="1" x14ac:dyDescent="0.35">
      <c r="A92" s="90"/>
      <c r="B92" s="91"/>
      <c r="C92" s="91"/>
      <c r="D92" s="91"/>
      <c r="E92" s="91"/>
      <c r="F92" s="91"/>
      <c r="G92" s="91"/>
      <c r="H92" s="91"/>
      <c r="I92" s="91"/>
      <c r="J92" s="91"/>
      <c r="K92" s="94"/>
      <c r="L92" s="94"/>
      <c r="M92" s="94"/>
      <c r="N92" s="91"/>
      <c r="O92" s="91"/>
      <c r="P92" s="91"/>
      <c r="Q92" s="91"/>
    </row>
    <row r="93" spans="1:17" s="101" customFormat="1" x14ac:dyDescent="0.35">
      <c r="A93" s="90"/>
      <c r="B93" s="91"/>
      <c r="C93" s="91"/>
      <c r="D93" s="91"/>
      <c r="E93" s="91"/>
      <c r="F93" s="91"/>
      <c r="G93" s="91"/>
      <c r="H93" s="91"/>
      <c r="I93" s="91"/>
      <c r="J93" s="91"/>
      <c r="K93" s="94"/>
      <c r="L93" s="94"/>
      <c r="M93" s="94"/>
      <c r="N93" s="91"/>
      <c r="O93" s="91"/>
      <c r="P93" s="91"/>
      <c r="Q93" s="91"/>
    </row>
    <row r="94" spans="1:17" s="101" customFormat="1" x14ac:dyDescent="0.35">
      <c r="A94" s="90"/>
      <c r="B94" s="91"/>
      <c r="C94" s="91"/>
      <c r="D94" s="91"/>
      <c r="E94" s="91"/>
      <c r="F94" s="91"/>
      <c r="G94" s="91"/>
      <c r="H94" s="91"/>
      <c r="I94" s="91"/>
      <c r="J94" s="91"/>
      <c r="K94" s="94"/>
      <c r="L94" s="94"/>
      <c r="M94" s="94"/>
      <c r="N94" s="91"/>
      <c r="O94" s="91"/>
      <c r="P94" s="91"/>
      <c r="Q94" s="91"/>
    </row>
    <row r="95" spans="1:17" s="101" customFormat="1" x14ac:dyDescent="0.35">
      <c r="A95" s="90"/>
      <c r="B95" s="91"/>
      <c r="C95" s="91"/>
      <c r="D95" s="91"/>
      <c r="E95" s="91"/>
      <c r="F95" s="91"/>
      <c r="G95" s="91"/>
      <c r="H95" s="91"/>
      <c r="I95" s="91"/>
      <c r="J95" s="91"/>
      <c r="K95" s="94"/>
      <c r="L95" s="94"/>
      <c r="M95" s="94"/>
      <c r="N95" s="91"/>
      <c r="O95" s="91"/>
      <c r="P95" s="91"/>
      <c r="Q95" s="91"/>
    </row>
    <row r="96" spans="1:17" s="101" customFormat="1" x14ac:dyDescent="0.35">
      <c r="A96" s="90"/>
      <c r="B96" s="91"/>
      <c r="C96" s="91"/>
      <c r="D96" s="91"/>
      <c r="E96" s="91"/>
      <c r="F96" s="91"/>
      <c r="G96" s="91"/>
      <c r="H96" s="91"/>
      <c r="I96" s="91"/>
      <c r="J96" s="91"/>
      <c r="K96" s="94"/>
      <c r="L96" s="94"/>
      <c r="M96" s="94"/>
      <c r="N96" s="91"/>
      <c r="O96" s="91"/>
      <c r="P96" s="91"/>
      <c r="Q96" s="91"/>
    </row>
    <row r="97" spans="1:17" s="101" customFormat="1" x14ac:dyDescent="0.35">
      <c r="A97" s="90"/>
      <c r="B97" s="91"/>
      <c r="C97" s="91"/>
      <c r="D97" s="91"/>
      <c r="E97" s="91"/>
      <c r="F97" s="91"/>
      <c r="G97" s="91"/>
      <c r="H97" s="91"/>
      <c r="I97" s="91"/>
      <c r="J97" s="91"/>
      <c r="K97" s="94"/>
      <c r="L97" s="94"/>
      <c r="M97" s="94"/>
      <c r="N97" s="91"/>
      <c r="O97" s="91"/>
      <c r="P97" s="91"/>
      <c r="Q97" s="91"/>
    </row>
    <row r="98" spans="1:17" s="101" customFormat="1" x14ac:dyDescent="0.35">
      <c r="A98" s="90"/>
      <c r="B98" s="91"/>
      <c r="C98" s="91"/>
      <c r="D98" s="91"/>
      <c r="E98" s="91"/>
      <c r="F98" s="91"/>
      <c r="G98" s="91"/>
      <c r="H98" s="91"/>
      <c r="I98" s="91"/>
      <c r="J98" s="91"/>
      <c r="K98" s="94"/>
      <c r="L98" s="94"/>
      <c r="M98" s="94"/>
      <c r="N98" s="91"/>
      <c r="O98" s="91"/>
      <c r="P98" s="91"/>
      <c r="Q98" s="91"/>
    </row>
    <row r="99" spans="1:17" s="101" customFormat="1" x14ac:dyDescent="0.35">
      <c r="A99" s="90"/>
      <c r="B99" s="91"/>
      <c r="C99" s="91"/>
      <c r="D99" s="91"/>
      <c r="E99" s="91"/>
      <c r="F99" s="91"/>
      <c r="G99" s="91"/>
      <c r="H99" s="91"/>
      <c r="I99" s="91"/>
      <c r="J99" s="91"/>
      <c r="K99" s="94"/>
      <c r="L99" s="94"/>
      <c r="M99" s="94"/>
      <c r="N99" s="91"/>
      <c r="O99" s="91"/>
      <c r="P99" s="91"/>
      <c r="Q99" s="91"/>
    </row>
    <row r="100" spans="1:17" s="101" customFormat="1" x14ac:dyDescent="0.35">
      <c r="A100" s="90"/>
      <c r="B100" s="91"/>
      <c r="C100" s="91"/>
      <c r="D100" s="91"/>
      <c r="E100" s="91"/>
      <c r="F100" s="91"/>
      <c r="G100" s="91"/>
      <c r="H100" s="91"/>
      <c r="I100" s="91"/>
      <c r="J100" s="91"/>
      <c r="K100" s="94"/>
      <c r="L100" s="94"/>
      <c r="M100" s="94"/>
      <c r="N100" s="91"/>
      <c r="O100" s="91"/>
      <c r="P100" s="91"/>
      <c r="Q100" s="91"/>
    </row>
    <row r="101" spans="1:17" s="101" customFormat="1" x14ac:dyDescent="0.35">
      <c r="A101" s="90"/>
      <c r="B101" s="91"/>
      <c r="C101" s="91"/>
      <c r="D101" s="91"/>
      <c r="E101" s="91"/>
      <c r="F101" s="91"/>
      <c r="G101" s="91"/>
      <c r="H101" s="91"/>
      <c r="I101" s="91"/>
      <c r="J101" s="91"/>
      <c r="K101" s="94"/>
      <c r="L101" s="94"/>
      <c r="M101" s="94"/>
      <c r="N101" s="91"/>
      <c r="O101" s="91"/>
      <c r="P101" s="91"/>
      <c r="Q101" s="91"/>
    </row>
    <row r="102" spans="1:17" s="101" customFormat="1" x14ac:dyDescent="0.35">
      <c r="A102" s="90"/>
      <c r="B102" s="91"/>
      <c r="C102" s="91"/>
      <c r="D102" s="91"/>
      <c r="E102" s="91"/>
      <c r="F102" s="91"/>
      <c r="G102" s="91"/>
      <c r="H102" s="91"/>
      <c r="I102" s="91"/>
      <c r="J102" s="91"/>
      <c r="K102" s="94"/>
      <c r="L102" s="94"/>
      <c r="M102" s="94"/>
      <c r="N102" s="91"/>
      <c r="O102" s="91"/>
      <c r="P102" s="91"/>
      <c r="Q102" s="91"/>
    </row>
    <row r="103" spans="1:17" s="101" customFormat="1" x14ac:dyDescent="0.35">
      <c r="A103" s="90"/>
      <c r="B103" s="91"/>
      <c r="C103" s="91"/>
      <c r="D103" s="91"/>
      <c r="E103" s="91"/>
      <c r="F103" s="91"/>
      <c r="G103" s="91"/>
      <c r="H103" s="91"/>
      <c r="I103" s="91"/>
      <c r="J103" s="91"/>
      <c r="K103" s="94"/>
      <c r="L103" s="94"/>
      <c r="M103" s="94"/>
      <c r="N103" s="91"/>
      <c r="O103" s="91"/>
      <c r="P103" s="91"/>
      <c r="Q103" s="91"/>
    </row>
    <row r="104" spans="1:17" s="101" customFormat="1" x14ac:dyDescent="0.35">
      <c r="A104" s="90"/>
      <c r="B104" s="91"/>
      <c r="C104" s="91"/>
      <c r="D104" s="91"/>
      <c r="E104" s="91"/>
      <c r="F104" s="91"/>
      <c r="G104" s="91"/>
      <c r="H104" s="91"/>
      <c r="I104" s="91"/>
      <c r="J104" s="91"/>
      <c r="K104" s="94"/>
      <c r="L104" s="94"/>
      <c r="M104" s="94"/>
      <c r="N104" s="91"/>
      <c r="O104" s="91"/>
      <c r="P104" s="91"/>
      <c r="Q104" s="91"/>
    </row>
    <row r="105" spans="1:17" s="101" customFormat="1" x14ac:dyDescent="0.35">
      <c r="A105" s="90"/>
      <c r="B105" s="91"/>
      <c r="C105" s="91"/>
      <c r="D105" s="91"/>
      <c r="E105" s="91"/>
      <c r="F105" s="91"/>
      <c r="G105" s="91"/>
      <c r="H105" s="91"/>
      <c r="I105" s="91"/>
      <c r="J105" s="91"/>
      <c r="K105" s="94"/>
      <c r="L105" s="94"/>
      <c r="M105" s="94"/>
      <c r="N105" s="91"/>
      <c r="O105" s="91"/>
      <c r="P105" s="91"/>
      <c r="Q105" s="91"/>
    </row>
    <row r="106" spans="1:17" s="101" customFormat="1" x14ac:dyDescent="0.35">
      <c r="A106" s="90"/>
      <c r="B106" s="91"/>
      <c r="C106" s="91"/>
      <c r="D106" s="91"/>
      <c r="E106" s="91"/>
      <c r="F106" s="91"/>
      <c r="G106" s="91"/>
      <c r="H106" s="91"/>
      <c r="I106" s="91"/>
      <c r="J106" s="91"/>
      <c r="K106" s="94"/>
      <c r="L106" s="94"/>
      <c r="M106" s="94"/>
      <c r="N106" s="91"/>
      <c r="O106" s="91"/>
      <c r="P106" s="91"/>
      <c r="Q106" s="91"/>
    </row>
    <row r="107" spans="1:17" s="101" customFormat="1" x14ac:dyDescent="0.35">
      <c r="A107" s="90"/>
      <c r="B107" s="91"/>
      <c r="C107" s="91"/>
      <c r="D107" s="91"/>
      <c r="E107" s="91"/>
      <c r="F107" s="91"/>
      <c r="G107" s="91"/>
      <c r="H107" s="91"/>
      <c r="I107" s="91"/>
      <c r="J107" s="91"/>
      <c r="K107" s="94"/>
      <c r="L107" s="94"/>
      <c r="M107" s="94"/>
      <c r="N107" s="91"/>
      <c r="O107" s="91"/>
      <c r="P107" s="91"/>
      <c r="Q107" s="91"/>
    </row>
    <row r="108" spans="1:17" s="101" customFormat="1" x14ac:dyDescent="0.35">
      <c r="A108" s="90"/>
      <c r="B108" s="91"/>
      <c r="C108" s="91"/>
      <c r="D108" s="91"/>
      <c r="E108" s="91"/>
      <c r="F108" s="91"/>
      <c r="G108" s="91"/>
      <c r="H108" s="91"/>
      <c r="I108" s="91"/>
      <c r="J108" s="91"/>
      <c r="K108" s="94"/>
      <c r="L108" s="94"/>
      <c r="M108" s="94"/>
      <c r="N108" s="91"/>
      <c r="O108" s="91"/>
      <c r="P108" s="91"/>
      <c r="Q108" s="91"/>
    </row>
    <row r="109" spans="1:17" s="101" customFormat="1" x14ac:dyDescent="0.35">
      <c r="A109" s="90"/>
      <c r="B109" s="91"/>
      <c r="C109" s="91"/>
      <c r="D109" s="91"/>
      <c r="E109" s="91"/>
      <c r="F109" s="91"/>
      <c r="G109" s="91"/>
      <c r="H109" s="91"/>
      <c r="I109" s="91"/>
      <c r="J109" s="91"/>
      <c r="K109" s="94"/>
      <c r="L109" s="94"/>
      <c r="M109" s="94"/>
      <c r="N109" s="91"/>
      <c r="O109" s="91"/>
      <c r="P109" s="91"/>
      <c r="Q109" s="91"/>
    </row>
    <row r="110" spans="1:17" s="101" customFormat="1" x14ac:dyDescent="0.35">
      <c r="A110" s="90"/>
      <c r="B110" s="91"/>
      <c r="C110" s="91"/>
      <c r="D110" s="91"/>
      <c r="E110" s="91"/>
      <c r="F110" s="91"/>
      <c r="G110" s="91"/>
      <c r="H110" s="91"/>
      <c r="I110" s="91"/>
      <c r="J110" s="91"/>
      <c r="K110" s="94"/>
      <c r="L110" s="94"/>
      <c r="M110" s="94"/>
      <c r="N110" s="91"/>
      <c r="O110" s="91"/>
      <c r="P110" s="91"/>
      <c r="Q110" s="91"/>
    </row>
    <row r="111" spans="1:17" s="101" customFormat="1" x14ac:dyDescent="0.35">
      <c r="A111" s="90"/>
      <c r="B111" s="91"/>
      <c r="C111" s="91"/>
      <c r="D111" s="91"/>
      <c r="E111" s="91"/>
      <c r="F111" s="91"/>
      <c r="G111" s="91"/>
      <c r="H111" s="91"/>
      <c r="I111" s="91"/>
      <c r="J111" s="91"/>
      <c r="K111" s="94"/>
      <c r="L111" s="94"/>
      <c r="M111" s="94"/>
      <c r="N111" s="91"/>
      <c r="O111" s="91"/>
      <c r="P111" s="91"/>
      <c r="Q111" s="91"/>
    </row>
    <row r="112" spans="1:17" s="101" customFormat="1" x14ac:dyDescent="0.35">
      <c r="A112" s="90"/>
      <c r="B112" s="91"/>
      <c r="C112" s="91"/>
      <c r="D112" s="91"/>
      <c r="E112" s="91"/>
      <c r="F112" s="91"/>
      <c r="G112" s="91"/>
      <c r="H112" s="91"/>
      <c r="I112" s="91"/>
      <c r="J112" s="91"/>
      <c r="K112" s="94"/>
      <c r="L112" s="94"/>
      <c r="M112" s="94"/>
      <c r="N112" s="91"/>
      <c r="O112" s="91"/>
      <c r="P112" s="91"/>
      <c r="Q112" s="91"/>
    </row>
    <row r="113" spans="1:17" s="101" customFormat="1" x14ac:dyDescent="0.35">
      <c r="A113" s="90"/>
      <c r="B113" s="91"/>
      <c r="C113" s="91"/>
      <c r="D113" s="91"/>
      <c r="E113" s="91"/>
      <c r="F113" s="91"/>
      <c r="G113" s="91"/>
      <c r="H113" s="91"/>
      <c r="I113" s="91"/>
      <c r="J113" s="91"/>
      <c r="K113" s="94"/>
      <c r="L113" s="94"/>
      <c r="M113" s="94"/>
      <c r="N113" s="91"/>
      <c r="O113" s="91"/>
      <c r="P113" s="91"/>
      <c r="Q113" s="91"/>
    </row>
    <row r="114" spans="1:17" s="101" customFormat="1" x14ac:dyDescent="0.35">
      <c r="A114" s="90"/>
      <c r="B114" s="91"/>
      <c r="C114" s="91"/>
      <c r="D114" s="91"/>
      <c r="E114" s="91"/>
      <c r="F114" s="91"/>
      <c r="G114" s="91"/>
      <c r="H114" s="91"/>
      <c r="I114" s="91"/>
      <c r="J114" s="91"/>
      <c r="K114" s="94"/>
      <c r="L114" s="94"/>
      <c r="M114" s="94"/>
      <c r="N114" s="91"/>
      <c r="O114" s="91"/>
      <c r="P114" s="91"/>
      <c r="Q114" s="91"/>
    </row>
    <row r="115" spans="1:17" s="101" customFormat="1" x14ac:dyDescent="0.35">
      <c r="A115" s="90"/>
      <c r="B115" s="91"/>
      <c r="C115" s="91"/>
      <c r="D115" s="91"/>
      <c r="E115" s="91"/>
      <c r="F115" s="91"/>
      <c r="G115" s="91"/>
      <c r="H115" s="91"/>
      <c r="I115" s="91"/>
      <c r="J115" s="91"/>
      <c r="K115" s="94"/>
      <c r="L115" s="94"/>
      <c r="M115" s="94"/>
      <c r="N115" s="91"/>
      <c r="O115" s="91"/>
      <c r="P115" s="91"/>
      <c r="Q115" s="91"/>
    </row>
    <row r="116" spans="1:17" s="101" customFormat="1" x14ac:dyDescent="0.35">
      <c r="A116" s="90"/>
      <c r="B116" s="91"/>
      <c r="C116" s="91"/>
      <c r="D116" s="91"/>
      <c r="E116" s="91"/>
      <c r="F116" s="91"/>
      <c r="G116" s="91"/>
      <c r="H116" s="91"/>
      <c r="I116" s="91"/>
      <c r="J116" s="91"/>
      <c r="K116" s="94"/>
      <c r="L116" s="94"/>
      <c r="M116" s="94"/>
      <c r="N116" s="91"/>
      <c r="O116" s="91"/>
      <c r="P116" s="91"/>
      <c r="Q116" s="91"/>
    </row>
    <row r="117" spans="1:17" s="101" customFormat="1" x14ac:dyDescent="0.35">
      <c r="A117" s="90"/>
      <c r="B117" s="91"/>
      <c r="C117" s="91"/>
      <c r="D117" s="91"/>
      <c r="E117" s="91"/>
      <c r="F117" s="91"/>
      <c r="G117" s="91"/>
      <c r="H117" s="91"/>
      <c r="I117" s="91"/>
      <c r="J117" s="91"/>
      <c r="K117" s="94"/>
      <c r="L117" s="94"/>
      <c r="M117" s="94"/>
      <c r="N117" s="91"/>
      <c r="O117" s="91"/>
      <c r="P117" s="91"/>
      <c r="Q117" s="91"/>
    </row>
    <row r="118" spans="1:17" s="101" customFormat="1" x14ac:dyDescent="0.35">
      <c r="A118" s="90"/>
      <c r="B118" s="91"/>
      <c r="C118" s="91"/>
      <c r="D118" s="91"/>
      <c r="E118" s="91"/>
      <c r="F118" s="91"/>
      <c r="G118" s="91"/>
      <c r="H118" s="91"/>
      <c r="I118" s="91"/>
      <c r="J118" s="91"/>
      <c r="K118" s="94"/>
      <c r="L118" s="94"/>
      <c r="M118" s="94"/>
      <c r="N118" s="91"/>
      <c r="O118" s="91"/>
      <c r="P118" s="91"/>
      <c r="Q118" s="91"/>
    </row>
    <row r="119" spans="1:17" s="101" customFormat="1" x14ac:dyDescent="0.35">
      <c r="A119" s="90"/>
      <c r="B119" s="91"/>
      <c r="C119" s="91"/>
      <c r="D119" s="91"/>
      <c r="E119" s="91"/>
      <c r="F119" s="91"/>
      <c r="G119" s="91"/>
      <c r="H119" s="91"/>
      <c r="I119" s="91"/>
      <c r="J119" s="91"/>
      <c r="K119" s="94"/>
      <c r="L119" s="94"/>
      <c r="M119" s="94"/>
      <c r="N119" s="91"/>
      <c r="O119" s="91"/>
      <c r="P119" s="91"/>
      <c r="Q119" s="91"/>
    </row>
    <row r="120" spans="1:17" s="101" customFormat="1" x14ac:dyDescent="0.35">
      <c r="A120" s="90"/>
      <c r="B120" s="91"/>
      <c r="C120" s="91"/>
      <c r="D120" s="91"/>
      <c r="E120" s="91"/>
      <c r="F120" s="91"/>
      <c r="G120" s="91"/>
      <c r="H120" s="91"/>
      <c r="I120" s="91"/>
      <c r="J120" s="91"/>
      <c r="K120" s="94"/>
      <c r="L120" s="94"/>
      <c r="M120" s="94"/>
      <c r="N120" s="91"/>
      <c r="O120" s="91"/>
      <c r="P120" s="91"/>
      <c r="Q120" s="91"/>
    </row>
    <row r="121" spans="1:17" s="101" customFormat="1" x14ac:dyDescent="0.35">
      <c r="A121" s="90"/>
      <c r="B121" s="91"/>
      <c r="C121" s="91"/>
      <c r="D121" s="91"/>
      <c r="E121" s="91"/>
      <c r="F121" s="91"/>
      <c r="G121" s="91"/>
      <c r="H121" s="91"/>
      <c r="I121" s="91"/>
      <c r="J121" s="91"/>
      <c r="K121" s="94"/>
      <c r="L121" s="94"/>
      <c r="M121" s="94"/>
      <c r="N121" s="91"/>
      <c r="O121" s="91"/>
      <c r="P121" s="91"/>
      <c r="Q121" s="91"/>
    </row>
    <row r="122" spans="1:17" s="101" customFormat="1" x14ac:dyDescent="0.35">
      <c r="A122" s="90"/>
      <c r="B122" s="91"/>
      <c r="C122" s="91"/>
      <c r="D122" s="91"/>
      <c r="E122" s="91"/>
      <c r="F122" s="91"/>
      <c r="G122" s="91"/>
      <c r="H122" s="91"/>
      <c r="I122" s="91"/>
      <c r="J122" s="91"/>
      <c r="K122" s="94"/>
      <c r="L122" s="94"/>
      <c r="M122" s="94"/>
      <c r="N122" s="91"/>
      <c r="O122" s="91"/>
      <c r="P122" s="91"/>
      <c r="Q122" s="91"/>
    </row>
    <row r="123" spans="1:17" s="101" customFormat="1" x14ac:dyDescent="0.35">
      <c r="A123" s="90"/>
      <c r="B123" s="91"/>
      <c r="C123" s="91"/>
      <c r="D123" s="91"/>
      <c r="E123" s="91"/>
      <c r="F123" s="91"/>
      <c r="G123" s="91"/>
      <c r="H123" s="91"/>
      <c r="I123" s="91"/>
      <c r="J123" s="91"/>
      <c r="K123" s="94"/>
      <c r="L123" s="94"/>
      <c r="M123" s="94"/>
      <c r="N123" s="91"/>
      <c r="O123" s="91"/>
      <c r="P123" s="91"/>
      <c r="Q123" s="91"/>
    </row>
    <row r="124" spans="1:17" s="101" customFormat="1" x14ac:dyDescent="0.35">
      <c r="A124" s="90"/>
      <c r="B124" s="91"/>
      <c r="C124" s="91"/>
      <c r="D124" s="91"/>
      <c r="E124" s="91"/>
      <c r="F124" s="91"/>
      <c r="G124" s="91"/>
      <c r="H124" s="91"/>
      <c r="I124" s="91"/>
      <c r="J124" s="91"/>
      <c r="K124" s="94"/>
      <c r="L124" s="94"/>
      <c r="M124" s="94"/>
      <c r="N124" s="91"/>
      <c r="O124" s="91"/>
      <c r="P124" s="91"/>
      <c r="Q124" s="91"/>
    </row>
    <row r="125" spans="1:17" s="101" customFormat="1" x14ac:dyDescent="0.35">
      <c r="A125" s="90"/>
      <c r="B125" s="91"/>
      <c r="C125" s="91"/>
      <c r="D125" s="91"/>
      <c r="E125" s="91"/>
      <c r="F125" s="91"/>
      <c r="G125" s="91"/>
      <c r="H125" s="91"/>
      <c r="I125" s="91"/>
      <c r="J125" s="91"/>
      <c r="K125" s="94"/>
      <c r="L125" s="94"/>
      <c r="M125" s="94"/>
      <c r="N125" s="91"/>
      <c r="O125" s="91"/>
      <c r="P125" s="91"/>
      <c r="Q125" s="91"/>
    </row>
    <row r="126" spans="1:17" s="101" customFormat="1" x14ac:dyDescent="0.35">
      <c r="A126" s="90"/>
      <c r="B126" s="91"/>
      <c r="C126" s="91"/>
      <c r="D126" s="91"/>
      <c r="E126" s="91"/>
      <c r="F126" s="91"/>
      <c r="G126" s="91"/>
      <c r="H126" s="91"/>
      <c r="I126" s="91"/>
      <c r="J126" s="91"/>
      <c r="K126" s="94"/>
      <c r="L126" s="94"/>
      <c r="M126" s="94"/>
      <c r="N126" s="91"/>
      <c r="O126" s="91"/>
      <c r="P126" s="91"/>
      <c r="Q126" s="91"/>
    </row>
    <row r="127" spans="1:17" s="101" customFormat="1" x14ac:dyDescent="0.35">
      <c r="A127" s="90"/>
      <c r="B127" s="91"/>
      <c r="C127" s="91"/>
      <c r="D127" s="91"/>
      <c r="E127" s="91"/>
      <c r="F127" s="91"/>
      <c r="G127" s="91"/>
      <c r="H127" s="91"/>
      <c r="I127" s="91"/>
      <c r="J127" s="91"/>
      <c r="K127" s="94"/>
      <c r="L127" s="94"/>
      <c r="M127" s="94"/>
      <c r="N127" s="91"/>
      <c r="O127" s="91"/>
      <c r="P127" s="91"/>
      <c r="Q127" s="91"/>
    </row>
    <row r="128" spans="1:17" s="101" customFormat="1" x14ac:dyDescent="0.35">
      <c r="A128" s="90"/>
      <c r="B128" s="91"/>
      <c r="C128" s="91"/>
      <c r="D128" s="91"/>
      <c r="E128" s="91"/>
      <c r="F128" s="91"/>
      <c r="G128" s="91"/>
      <c r="H128" s="91"/>
      <c r="I128" s="91"/>
      <c r="J128" s="91"/>
      <c r="K128" s="94"/>
      <c r="L128" s="94"/>
      <c r="M128" s="94"/>
      <c r="N128" s="91"/>
      <c r="O128" s="91"/>
      <c r="P128" s="91"/>
      <c r="Q128" s="91"/>
    </row>
    <row r="129" spans="1:17" s="101" customFormat="1" x14ac:dyDescent="0.35">
      <c r="A129" s="90"/>
      <c r="B129" s="91"/>
      <c r="C129" s="91"/>
      <c r="D129" s="91"/>
      <c r="E129" s="91"/>
      <c r="F129" s="91"/>
      <c r="G129" s="91"/>
      <c r="H129" s="91"/>
      <c r="I129" s="91"/>
      <c r="J129" s="91"/>
      <c r="K129" s="94"/>
      <c r="L129" s="94"/>
      <c r="M129" s="94"/>
      <c r="N129" s="91"/>
      <c r="O129" s="91"/>
      <c r="P129" s="91"/>
      <c r="Q129" s="91"/>
    </row>
    <row r="130" spans="1:17" s="101" customFormat="1" x14ac:dyDescent="0.35">
      <c r="A130" s="90"/>
      <c r="B130" s="91"/>
      <c r="C130" s="91"/>
      <c r="D130" s="91"/>
      <c r="E130" s="91"/>
      <c r="F130" s="91"/>
      <c r="G130" s="91"/>
      <c r="H130" s="91"/>
      <c r="I130" s="91"/>
      <c r="J130" s="91"/>
      <c r="K130" s="94"/>
      <c r="L130" s="94"/>
      <c r="M130" s="94"/>
      <c r="N130" s="91"/>
      <c r="O130" s="91"/>
      <c r="P130" s="91"/>
      <c r="Q130" s="91"/>
    </row>
    <row r="131" spans="1:17" s="101" customFormat="1" x14ac:dyDescent="0.35">
      <c r="A131" s="90"/>
      <c r="B131" s="91"/>
      <c r="C131" s="91"/>
      <c r="D131" s="91"/>
      <c r="E131" s="91"/>
      <c r="F131" s="91"/>
      <c r="G131" s="91"/>
      <c r="H131" s="91"/>
      <c r="I131" s="91"/>
      <c r="J131" s="91"/>
      <c r="K131" s="94"/>
      <c r="L131" s="94"/>
      <c r="M131" s="94"/>
      <c r="N131" s="91"/>
      <c r="O131" s="91"/>
      <c r="P131" s="91"/>
      <c r="Q131" s="91"/>
    </row>
    <row r="132" spans="1:17" s="101" customFormat="1" x14ac:dyDescent="0.35">
      <c r="A132" s="90"/>
      <c r="B132" s="91"/>
      <c r="C132" s="91"/>
      <c r="D132" s="91"/>
      <c r="E132" s="91"/>
      <c r="F132" s="91"/>
      <c r="G132" s="91"/>
      <c r="H132" s="91"/>
      <c r="I132" s="91"/>
      <c r="J132" s="91"/>
      <c r="K132" s="94"/>
      <c r="L132" s="94"/>
      <c r="M132" s="94"/>
      <c r="N132" s="91"/>
      <c r="O132" s="91"/>
      <c r="P132" s="91"/>
      <c r="Q132" s="91"/>
    </row>
    <row r="133" spans="1:17" s="101" customFormat="1" x14ac:dyDescent="0.35">
      <c r="A133" s="90"/>
      <c r="B133" s="91"/>
      <c r="C133" s="91"/>
      <c r="D133" s="91"/>
      <c r="E133" s="91"/>
      <c r="F133" s="91"/>
      <c r="G133" s="91"/>
      <c r="H133" s="91"/>
      <c r="I133" s="91"/>
      <c r="J133" s="91"/>
      <c r="K133" s="94"/>
      <c r="L133" s="94"/>
      <c r="M133" s="94"/>
      <c r="N133" s="91"/>
      <c r="O133" s="91"/>
      <c r="P133" s="91"/>
      <c r="Q133" s="91"/>
    </row>
    <row r="134" spans="1:17" s="101" customFormat="1" x14ac:dyDescent="0.35">
      <c r="A134" s="90"/>
      <c r="B134" s="91"/>
      <c r="C134" s="91"/>
      <c r="D134" s="91"/>
      <c r="E134" s="91"/>
      <c r="F134" s="91"/>
      <c r="G134" s="91"/>
      <c r="H134" s="91"/>
      <c r="I134" s="91"/>
      <c r="J134" s="91"/>
      <c r="K134" s="94"/>
      <c r="L134" s="94"/>
      <c r="M134" s="94"/>
      <c r="N134" s="91"/>
      <c r="O134" s="91"/>
      <c r="P134" s="91"/>
      <c r="Q134" s="91"/>
    </row>
    <row r="135" spans="1:17" s="101" customFormat="1" x14ac:dyDescent="0.35">
      <c r="A135" s="90"/>
      <c r="B135" s="91"/>
      <c r="C135" s="91"/>
      <c r="D135" s="91"/>
      <c r="E135" s="91"/>
      <c r="F135" s="91"/>
      <c r="G135" s="91"/>
      <c r="H135" s="91"/>
      <c r="I135" s="91"/>
      <c r="J135" s="91"/>
      <c r="K135" s="94"/>
      <c r="L135" s="94"/>
      <c r="M135" s="94"/>
      <c r="N135" s="91"/>
      <c r="O135" s="91"/>
      <c r="P135" s="91"/>
      <c r="Q135" s="91"/>
    </row>
    <row r="136" spans="1:17" s="101" customFormat="1" x14ac:dyDescent="0.35">
      <c r="A136" s="90"/>
      <c r="B136" s="91"/>
      <c r="C136" s="91"/>
      <c r="D136" s="91"/>
      <c r="E136" s="91"/>
      <c r="F136" s="91"/>
      <c r="G136" s="91"/>
      <c r="H136" s="91"/>
      <c r="I136" s="91"/>
      <c r="J136" s="91"/>
      <c r="K136" s="94"/>
      <c r="L136" s="94"/>
      <c r="M136" s="94"/>
      <c r="N136" s="91"/>
      <c r="O136" s="91"/>
      <c r="P136" s="91"/>
      <c r="Q136" s="91"/>
    </row>
    <row r="137" spans="1:17" s="101" customFormat="1" x14ac:dyDescent="0.35">
      <c r="A137" s="90"/>
      <c r="B137" s="91"/>
      <c r="C137" s="91"/>
      <c r="D137" s="91"/>
      <c r="E137" s="91"/>
      <c r="F137" s="91"/>
      <c r="G137" s="91"/>
      <c r="H137" s="91"/>
      <c r="I137" s="91"/>
      <c r="J137" s="91"/>
      <c r="K137" s="94"/>
      <c r="L137" s="94"/>
      <c r="M137" s="94"/>
      <c r="N137" s="91"/>
      <c r="O137" s="91"/>
      <c r="P137" s="91"/>
      <c r="Q137" s="91"/>
    </row>
    <row r="138" spans="1:17" s="101" customFormat="1" x14ac:dyDescent="0.35">
      <c r="A138" s="90"/>
      <c r="B138" s="91"/>
      <c r="C138" s="91"/>
      <c r="D138" s="91"/>
      <c r="E138" s="91"/>
      <c r="F138" s="91"/>
      <c r="G138" s="91"/>
      <c r="H138" s="91"/>
      <c r="I138" s="91"/>
      <c r="J138" s="91"/>
      <c r="K138" s="94"/>
      <c r="L138" s="94"/>
      <c r="M138" s="94"/>
      <c r="N138" s="91"/>
      <c r="O138" s="91"/>
      <c r="P138" s="91"/>
      <c r="Q138" s="91"/>
    </row>
    <row r="139" spans="1:17" s="101" customFormat="1" x14ac:dyDescent="0.35">
      <c r="A139" s="90"/>
      <c r="B139" s="91"/>
      <c r="C139" s="91"/>
      <c r="D139" s="91"/>
      <c r="E139" s="91"/>
      <c r="F139" s="91"/>
      <c r="G139" s="91"/>
      <c r="H139" s="91"/>
      <c r="I139" s="91"/>
      <c r="J139" s="91"/>
      <c r="K139" s="94"/>
      <c r="L139" s="94"/>
      <c r="M139" s="94"/>
      <c r="N139" s="91"/>
      <c r="O139" s="91"/>
      <c r="P139" s="91"/>
      <c r="Q139" s="91"/>
    </row>
    <row r="140" spans="1:17" s="101" customFormat="1" x14ac:dyDescent="0.35">
      <c r="A140" s="90"/>
      <c r="B140" s="91"/>
      <c r="C140" s="91"/>
      <c r="D140" s="91"/>
      <c r="E140" s="91"/>
      <c r="F140" s="91"/>
      <c r="G140" s="91"/>
      <c r="H140" s="91"/>
      <c r="I140" s="91"/>
      <c r="J140" s="91"/>
      <c r="K140" s="94"/>
      <c r="L140" s="94"/>
      <c r="M140" s="94"/>
      <c r="N140" s="91"/>
      <c r="O140" s="91"/>
      <c r="P140" s="91"/>
      <c r="Q140" s="91"/>
    </row>
    <row r="141" spans="1:17" s="101" customFormat="1" x14ac:dyDescent="0.35">
      <c r="A141" s="90"/>
      <c r="B141" s="91"/>
      <c r="C141" s="91"/>
      <c r="D141" s="91"/>
      <c r="E141" s="91"/>
      <c r="F141" s="91"/>
      <c r="G141" s="91"/>
      <c r="H141" s="91"/>
      <c r="I141" s="91"/>
      <c r="J141" s="91"/>
      <c r="K141" s="94"/>
      <c r="L141" s="94"/>
      <c r="M141" s="94"/>
      <c r="N141" s="91"/>
      <c r="O141" s="91"/>
      <c r="P141" s="91"/>
      <c r="Q141" s="91"/>
    </row>
    <row r="142" spans="1:17" s="101" customFormat="1" x14ac:dyDescent="0.35">
      <c r="A142" s="90"/>
      <c r="B142" s="91"/>
      <c r="C142" s="91"/>
      <c r="D142" s="91"/>
      <c r="E142" s="91"/>
      <c r="F142" s="91"/>
      <c r="G142" s="91"/>
      <c r="H142" s="91"/>
      <c r="I142" s="91"/>
      <c r="J142" s="91"/>
      <c r="K142" s="94"/>
      <c r="L142" s="94"/>
      <c r="M142" s="94"/>
      <c r="N142" s="91"/>
      <c r="O142" s="91"/>
      <c r="P142" s="91"/>
      <c r="Q142" s="91"/>
    </row>
    <row r="143" spans="1:17" s="101" customFormat="1" x14ac:dyDescent="0.35">
      <c r="A143" s="90"/>
      <c r="B143" s="91"/>
      <c r="C143" s="91"/>
      <c r="D143" s="91"/>
      <c r="E143" s="91"/>
      <c r="F143" s="91"/>
      <c r="G143" s="91"/>
      <c r="H143" s="91"/>
      <c r="I143" s="91"/>
      <c r="J143" s="91"/>
      <c r="K143" s="94"/>
      <c r="L143" s="94"/>
      <c r="M143" s="94"/>
      <c r="N143" s="91"/>
      <c r="O143" s="91"/>
      <c r="P143" s="91"/>
      <c r="Q143" s="91"/>
    </row>
    <row r="144" spans="1:17" s="101" customFormat="1" x14ac:dyDescent="0.35">
      <c r="A144" s="90"/>
      <c r="B144" s="91"/>
      <c r="C144" s="91"/>
      <c r="D144" s="91"/>
      <c r="E144" s="91"/>
      <c r="F144" s="91"/>
      <c r="G144" s="91"/>
      <c r="H144" s="91"/>
      <c r="I144" s="91"/>
      <c r="J144" s="91"/>
      <c r="K144" s="94"/>
      <c r="L144" s="94"/>
      <c r="M144" s="94"/>
      <c r="N144" s="91"/>
      <c r="O144" s="91"/>
      <c r="P144" s="91"/>
      <c r="Q144" s="91"/>
    </row>
    <row r="145" spans="1:17" s="101" customFormat="1" x14ac:dyDescent="0.35">
      <c r="A145" s="90"/>
      <c r="B145" s="91"/>
      <c r="C145" s="91"/>
      <c r="D145" s="91"/>
      <c r="E145" s="91"/>
      <c r="F145" s="91"/>
      <c r="G145" s="91"/>
      <c r="H145" s="91"/>
      <c r="I145" s="91"/>
      <c r="J145" s="91"/>
      <c r="K145" s="94"/>
      <c r="L145" s="94"/>
      <c r="M145" s="94"/>
      <c r="N145" s="91"/>
      <c r="O145" s="91"/>
      <c r="P145" s="91"/>
      <c r="Q145" s="91"/>
    </row>
    <row r="146" spans="1:17" s="101" customFormat="1" x14ac:dyDescent="0.35">
      <c r="A146" s="90"/>
      <c r="B146" s="91"/>
      <c r="C146" s="91"/>
      <c r="D146" s="91"/>
      <c r="E146" s="91"/>
      <c r="F146" s="91"/>
      <c r="G146" s="91"/>
      <c r="H146" s="91"/>
      <c r="I146" s="91"/>
      <c r="J146" s="91"/>
      <c r="K146" s="94"/>
      <c r="L146" s="94"/>
      <c r="M146" s="94"/>
      <c r="N146" s="91"/>
      <c r="O146" s="91"/>
      <c r="P146" s="91"/>
      <c r="Q146" s="91"/>
    </row>
    <row r="147" spans="1:17" s="101" customFormat="1" x14ac:dyDescent="0.35">
      <c r="A147" s="90"/>
      <c r="B147" s="91"/>
      <c r="C147" s="91"/>
      <c r="D147" s="91"/>
      <c r="E147" s="91"/>
      <c r="F147" s="91"/>
      <c r="G147" s="91"/>
      <c r="H147" s="91"/>
      <c r="I147" s="91"/>
      <c r="J147" s="91"/>
      <c r="K147" s="94"/>
      <c r="L147" s="94"/>
      <c r="M147" s="94"/>
      <c r="N147" s="91"/>
      <c r="O147" s="91"/>
      <c r="P147" s="91"/>
      <c r="Q147" s="91"/>
    </row>
    <row r="148" spans="1:17" s="101" customFormat="1" x14ac:dyDescent="0.35">
      <c r="A148" s="90"/>
      <c r="B148" s="91"/>
      <c r="C148" s="91"/>
      <c r="D148" s="91"/>
      <c r="E148" s="91"/>
      <c r="F148" s="91"/>
      <c r="G148" s="91"/>
      <c r="H148" s="91"/>
      <c r="I148" s="91"/>
      <c r="J148" s="91"/>
      <c r="K148" s="94"/>
      <c r="L148" s="94"/>
      <c r="M148" s="94"/>
      <c r="N148" s="91"/>
      <c r="O148" s="91"/>
      <c r="P148" s="91"/>
      <c r="Q148" s="91"/>
    </row>
    <row r="149" spans="1:17" s="101" customFormat="1" x14ac:dyDescent="0.35">
      <c r="A149" s="90"/>
      <c r="B149" s="91"/>
      <c r="C149" s="91"/>
      <c r="D149" s="91"/>
      <c r="E149" s="91"/>
      <c r="F149" s="91"/>
      <c r="G149" s="91"/>
      <c r="H149" s="91"/>
      <c r="I149" s="91"/>
      <c r="J149" s="91"/>
      <c r="K149" s="94"/>
      <c r="L149" s="94"/>
      <c r="M149" s="94"/>
      <c r="N149" s="91"/>
      <c r="O149" s="91"/>
      <c r="P149" s="91"/>
      <c r="Q149" s="91"/>
    </row>
    <row r="150" spans="1:17" s="101" customFormat="1" x14ac:dyDescent="0.35">
      <c r="A150" s="90"/>
      <c r="B150" s="91"/>
      <c r="C150" s="91"/>
      <c r="D150" s="91"/>
      <c r="E150" s="91"/>
      <c r="F150" s="91"/>
      <c r="G150" s="91"/>
      <c r="H150" s="91"/>
      <c r="I150" s="91"/>
      <c r="J150" s="91"/>
      <c r="K150" s="94"/>
      <c r="L150" s="94"/>
      <c r="M150" s="94"/>
      <c r="N150" s="91"/>
      <c r="O150" s="91"/>
      <c r="P150" s="91"/>
      <c r="Q150" s="91"/>
    </row>
    <row r="151" spans="1:17" s="101" customFormat="1" x14ac:dyDescent="0.35">
      <c r="A151" s="90"/>
      <c r="B151" s="91"/>
      <c r="C151" s="91"/>
      <c r="D151" s="91"/>
      <c r="E151" s="91"/>
      <c r="F151" s="91"/>
      <c r="G151" s="91"/>
      <c r="H151" s="91"/>
      <c r="I151" s="91"/>
      <c r="J151" s="91"/>
      <c r="K151" s="94"/>
      <c r="L151" s="94"/>
      <c r="M151" s="94"/>
      <c r="N151" s="91"/>
      <c r="O151" s="91"/>
      <c r="P151" s="91"/>
      <c r="Q151" s="91"/>
    </row>
    <row r="152" spans="1:17" s="101" customFormat="1" x14ac:dyDescent="0.35">
      <c r="A152" s="90"/>
      <c r="B152" s="91"/>
      <c r="C152" s="91"/>
      <c r="D152" s="91"/>
      <c r="E152" s="91"/>
      <c r="F152" s="91"/>
      <c r="G152" s="91"/>
      <c r="H152" s="91"/>
      <c r="I152" s="91"/>
      <c r="J152" s="91"/>
      <c r="K152" s="94"/>
      <c r="L152" s="94"/>
      <c r="M152" s="94"/>
      <c r="N152" s="91"/>
      <c r="O152" s="91"/>
      <c r="P152" s="91"/>
      <c r="Q152" s="91"/>
    </row>
    <row r="153" spans="1:17" s="101" customFormat="1" x14ac:dyDescent="0.35">
      <c r="A153" s="90"/>
      <c r="B153" s="91"/>
      <c r="C153" s="91"/>
      <c r="D153" s="91"/>
      <c r="E153" s="91"/>
      <c r="F153" s="91"/>
      <c r="G153" s="91"/>
      <c r="H153" s="91"/>
      <c r="I153" s="91"/>
      <c r="J153" s="91"/>
      <c r="K153" s="94"/>
      <c r="L153" s="94"/>
      <c r="M153" s="94"/>
      <c r="N153" s="91"/>
      <c r="O153" s="91"/>
      <c r="P153" s="91"/>
      <c r="Q153" s="91"/>
    </row>
    <row r="154" spans="1:17" s="101" customFormat="1" x14ac:dyDescent="0.35">
      <c r="A154" s="90"/>
      <c r="B154" s="91"/>
      <c r="C154" s="91"/>
      <c r="D154" s="91"/>
      <c r="E154" s="91"/>
      <c r="F154" s="91"/>
      <c r="G154" s="91"/>
      <c r="H154" s="91"/>
      <c r="I154" s="91"/>
      <c r="J154" s="91"/>
      <c r="K154" s="94"/>
      <c r="L154" s="94"/>
      <c r="M154" s="94"/>
      <c r="N154" s="91"/>
      <c r="O154" s="91"/>
      <c r="P154" s="91"/>
      <c r="Q154" s="91"/>
    </row>
    <row r="155" spans="1:17" s="101" customFormat="1" x14ac:dyDescent="0.35">
      <c r="A155" s="90"/>
      <c r="B155" s="91"/>
      <c r="C155" s="91"/>
      <c r="D155" s="91"/>
      <c r="E155" s="91"/>
      <c r="F155" s="91"/>
      <c r="G155" s="91"/>
      <c r="H155" s="91"/>
      <c r="I155" s="91"/>
      <c r="J155" s="91"/>
      <c r="K155" s="94"/>
      <c r="L155" s="94"/>
      <c r="M155" s="94"/>
      <c r="N155" s="91"/>
      <c r="O155" s="91"/>
      <c r="P155" s="91"/>
      <c r="Q155" s="91"/>
    </row>
    <row r="156" spans="1:17" s="101" customFormat="1" x14ac:dyDescent="0.35">
      <c r="A156" s="90"/>
      <c r="B156" s="91"/>
      <c r="C156" s="91"/>
      <c r="D156" s="91"/>
      <c r="E156" s="91"/>
      <c r="F156" s="91"/>
      <c r="G156" s="91"/>
      <c r="H156" s="91"/>
      <c r="I156" s="91"/>
      <c r="J156" s="91"/>
      <c r="K156" s="94"/>
      <c r="L156" s="94"/>
      <c r="M156" s="94"/>
      <c r="N156" s="91"/>
      <c r="O156" s="91"/>
      <c r="P156" s="91"/>
      <c r="Q156" s="91"/>
    </row>
    <row r="157" spans="1:17" s="101" customFormat="1" x14ac:dyDescent="0.35">
      <c r="A157" s="90"/>
      <c r="B157" s="91"/>
      <c r="C157" s="91"/>
      <c r="D157" s="91"/>
      <c r="E157" s="91"/>
      <c r="F157" s="91"/>
      <c r="G157" s="91"/>
      <c r="H157" s="91"/>
      <c r="I157" s="91"/>
      <c r="J157" s="91"/>
      <c r="K157" s="94"/>
      <c r="L157" s="94"/>
      <c r="M157" s="94"/>
      <c r="N157" s="91"/>
      <c r="O157" s="91"/>
      <c r="P157" s="91"/>
      <c r="Q157" s="91"/>
    </row>
    <row r="158" spans="1:17" s="101" customFormat="1" x14ac:dyDescent="0.35">
      <c r="A158" s="90"/>
      <c r="B158" s="91"/>
      <c r="C158" s="91"/>
      <c r="D158" s="91"/>
      <c r="E158" s="91"/>
      <c r="F158" s="91"/>
      <c r="G158" s="91"/>
      <c r="H158" s="91"/>
      <c r="I158" s="91"/>
      <c r="J158" s="91"/>
      <c r="K158" s="94"/>
      <c r="L158" s="94"/>
      <c r="M158" s="94"/>
      <c r="N158" s="91"/>
      <c r="O158" s="91"/>
      <c r="P158" s="91"/>
      <c r="Q158" s="91"/>
    </row>
    <row r="159" spans="1:17" s="101" customFormat="1" x14ac:dyDescent="0.35">
      <c r="A159" s="90"/>
      <c r="B159" s="91"/>
      <c r="C159" s="91"/>
      <c r="D159" s="91"/>
      <c r="E159" s="91"/>
      <c r="F159" s="91"/>
      <c r="G159" s="91"/>
      <c r="H159" s="91"/>
      <c r="I159" s="91"/>
      <c r="J159" s="91"/>
      <c r="K159" s="94"/>
      <c r="L159" s="94"/>
      <c r="M159" s="94"/>
      <c r="N159" s="91"/>
      <c r="O159" s="91"/>
      <c r="P159" s="91"/>
      <c r="Q159" s="91"/>
    </row>
    <row r="160" spans="1:17" s="101" customFormat="1" x14ac:dyDescent="0.35">
      <c r="A160" s="90"/>
      <c r="B160" s="91"/>
      <c r="C160" s="91"/>
      <c r="D160" s="91"/>
      <c r="E160" s="91"/>
      <c r="F160" s="91"/>
      <c r="G160" s="91"/>
      <c r="H160" s="91"/>
      <c r="I160" s="91"/>
      <c r="J160" s="91"/>
      <c r="K160" s="94"/>
      <c r="L160" s="94"/>
      <c r="M160" s="94"/>
      <c r="N160" s="91"/>
      <c r="O160" s="91"/>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c r="P188" s="91"/>
    </row>
    <row r="189" spans="1:17" x14ac:dyDescent="0.35">
      <c r="A189" s="90"/>
      <c r="B189" s="91"/>
      <c r="C189" s="91"/>
      <c r="D189" s="91"/>
      <c r="E189" s="91"/>
      <c r="F189" s="91"/>
      <c r="G189" s="91"/>
      <c r="H189" s="91"/>
      <c r="I189" s="91"/>
      <c r="J189" s="91"/>
      <c r="K189" s="91"/>
      <c r="L189" s="91"/>
      <c r="M189" s="91"/>
      <c r="N189" s="91"/>
      <c r="O189" s="91"/>
      <c r="P189" s="91"/>
    </row>
    <row r="190" spans="1:17" x14ac:dyDescent="0.35">
      <c r="A190" s="90"/>
      <c r="B190" s="91"/>
      <c r="C190" s="91"/>
      <c r="D190" s="91"/>
      <c r="E190" s="91"/>
      <c r="F190" s="91"/>
      <c r="G190" s="91"/>
      <c r="H190" s="91"/>
      <c r="I190" s="91"/>
      <c r="J190" s="91"/>
      <c r="K190" s="91"/>
      <c r="L190" s="91"/>
      <c r="M190" s="91"/>
      <c r="N190" s="91"/>
      <c r="O190" s="91"/>
      <c r="P190" s="91"/>
    </row>
    <row r="191" spans="1:17" x14ac:dyDescent="0.35">
      <c r="A191" s="90"/>
      <c r="B191" s="91"/>
      <c r="C191" s="91"/>
      <c r="D191" s="91"/>
      <c r="E191" s="91"/>
      <c r="F191" s="91"/>
      <c r="G191" s="91"/>
      <c r="H191" s="91"/>
      <c r="I191" s="91"/>
      <c r="J191" s="91"/>
      <c r="K191" s="91"/>
      <c r="L191" s="91"/>
      <c r="M191" s="91"/>
      <c r="N191" s="91"/>
      <c r="O191" s="91"/>
      <c r="P191" s="91"/>
    </row>
    <row r="192" spans="1:17" x14ac:dyDescent="0.35">
      <c r="A192" s="90"/>
      <c r="B192" s="91"/>
      <c r="C192" s="91"/>
      <c r="D192" s="91"/>
      <c r="E192" s="91"/>
      <c r="F192" s="91"/>
      <c r="G192" s="91"/>
      <c r="H192" s="91"/>
      <c r="I192" s="91"/>
      <c r="J192" s="91"/>
      <c r="K192" s="91"/>
      <c r="L192" s="91"/>
      <c r="M192" s="91"/>
      <c r="N192" s="91"/>
      <c r="O192" s="91"/>
      <c r="P192" s="91"/>
    </row>
    <row r="193" spans="1:16" x14ac:dyDescent="0.35">
      <c r="A193" s="90"/>
      <c r="B193" s="91"/>
      <c r="C193" s="91"/>
      <c r="D193" s="91"/>
      <c r="E193" s="91"/>
      <c r="F193" s="91"/>
      <c r="G193" s="91"/>
      <c r="H193" s="91"/>
      <c r="I193" s="91"/>
      <c r="J193" s="91"/>
      <c r="K193" s="91"/>
      <c r="L193" s="91"/>
      <c r="M193" s="91"/>
      <c r="N193" s="91"/>
      <c r="O193" s="91"/>
      <c r="P193" s="91"/>
    </row>
    <row r="194" spans="1:16" x14ac:dyDescent="0.35">
      <c r="A194" s="90"/>
      <c r="B194" s="91"/>
      <c r="C194" s="91"/>
      <c r="D194" s="91"/>
      <c r="E194" s="91"/>
      <c r="F194" s="91"/>
      <c r="G194" s="91"/>
      <c r="H194" s="91"/>
      <c r="I194" s="91"/>
      <c r="J194" s="91"/>
      <c r="K194" s="91"/>
      <c r="L194" s="91"/>
      <c r="M194" s="91"/>
      <c r="N194" s="91"/>
      <c r="O194" s="91"/>
      <c r="P194" s="91"/>
    </row>
    <row r="195" spans="1:16" x14ac:dyDescent="0.35">
      <c r="A195" s="90"/>
      <c r="B195" s="91"/>
      <c r="C195" s="91"/>
      <c r="D195" s="91"/>
      <c r="E195" s="91"/>
      <c r="F195" s="91"/>
      <c r="G195" s="91"/>
      <c r="H195" s="91"/>
      <c r="I195" s="91"/>
      <c r="J195" s="91"/>
      <c r="K195" s="91"/>
      <c r="L195" s="91"/>
      <c r="M195" s="91"/>
      <c r="N195" s="91"/>
      <c r="O195" s="91"/>
      <c r="P195" s="91"/>
    </row>
    <row r="196" spans="1:16" x14ac:dyDescent="0.35">
      <c r="A196" s="90"/>
      <c r="B196" s="91"/>
      <c r="C196" s="91"/>
      <c r="D196" s="91"/>
      <c r="E196" s="91"/>
      <c r="F196" s="91"/>
      <c r="G196" s="91"/>
      <c r="H196" s="91"/>
      <c r="I196" s="91"/>
      <c r="J196" s="91"/>
      <c r="K196" s="91"/>
      <c r="L196" s="91"/>
      <c r="M196" s="91"/>
      <c r="N196" s="91"/>
      <c r="O196" s="91"/>
      <c r="P196" s="91"/>
    </row>
    <row r="197" spans="1:16" x14ac:dyDescent="0.35">
      <c r="A197" s="90"/>
      <c r="B197" s="91"/>
      <c r="C197" s="91"/>
      <c r="D197" s="91"/>
      <c r="E197" s="91"/>
      <c r="F197" s="91"/>
      <c r="G197" s="91"/>
      <c r="H197" s="91"/>
      <c r="I197" s="91"/>
      <c r="J197" s="91"/>
      <c r="K197" s="91"/>
      <c r="L197" s="91"/>
      <c r="M197" s="91"/>
      <c r="N197" s="91"/>
      <c r="O197" s="91"/>
      <c r="P197" s="91"/>
    </row>
    <row r="198" spans="1:16" x14ac:dyDescent="0.35">
      <c r="A198" s="90"/>
      <c r="B198" s="91"/>
      <c r="C198" s="91"/>
      <c r="D198" s="91"/>
      <c r="E198" s="91"/>
      <c r="F198" s="91"/>
      <c r="G198" s="91"/>
      <c r="H198" s="91"/>
      <c r="I198" s="91"/>
      <c r="J198" s="91"/>
      <c r="K198" s="91"/>
      <c r="L198" s="91"/>
      <c r="M198" s="91"/>
      <c r="N198" s="91"/>
      <c r="O198" s="91"/>
      <c r="P198" s="91"/>
    </row>
    <row r="199" spans="1:16" x14ac:dyDescent="0.35">
      <c r="A199" s="90"/>
      <c r="B199" s="91"/>
      <c r="C199" s="91"/>
      <c r="D199" s="91"/>
      <c r="E199" s="91"/>
      <c r="F199" s="91"/>
      <c r="G199" s="91"/>
      <c r="H199" s="91"/>
      <c r="I199" s="91"/>
      <c r="J199" s="91"/>
      <c r="K199" s="91"/>
      <c r="L199" s="91"/>
      <c r="M199" s="91"/>
      <c r="N199" s="91"/>
      <c r="O199" s="91"/>
    </row>
    <row r="200" spans="1:16" x14ac:dyDescent="0.35">
      <c r="A200" s="90"/>
      <c r="B200" s="91"/>
      <c r="C200" s="91"/>
      <c r="D200" s="91"/>
      <c r="E200" s="91"/>
      <c r="F200" s="91"/>
      <c r="G200" s="91"/>
      <c r="H200" s="91"/>
      <c r="I200" s="91"/>
      <c r="J200" s="91"/>
      <c r="K200" s="91"/>
      <c r="L200" s="91"/>
      <c r="M200" s="91"/>
      <c r="N200" s="91"/>
      <c r="O200" s="91"/>
    </row>
    <row r="201" spans="1:16" x14ac:dyDescent="0.35">
      <c r="A201" s="90"/>
      <c r="B201" s="91"/>
      <c r="C201" s="91"/>
      <c r="D201" s="91"/>
      <c r="E201" s="91"/>
      <c r="F201" s="91"/>
      <c r="G201" s="91"/>
      <c r="H201" s="91"/>
      <c r="I201" s="91"/>
      <c r="J201" s="91"/>
      <c r="K201" s="91"/>
      <c r="L201" s="91"/>
      <c r="M201" s="91"/>
      <c r="N201" s="91"/>
      <c r="O201" s="91"/>
    </row>
    <row r="202" spans="1:16" x14ac:dyDescent="0.35">
      <c r="A202" s="90"/>
      <c r="B202" s="91"/>
      <c r="C202" s="91"/>
      <c r="D202" s="91"/>
      <c r="E202" s="91"/>
      <c r="F202" s="91"/>
      <c r="G202" s="91"/>
      <c r="H202" s="91"/>
      <c r="I202" s="91"/>
      <c r="J202" s="91"/>
      <c r="K202" s="91"/>
      <c r="L202" s="91"/>
      <c r="M202" s="91"/>
      <c r="N202" s="91"/>
      <c r="O202" s="91"/>
    </row>
    <row r="203" spans="1:16" x14ac:dyDescent="0.35">
      <c r="A203" s="90"/>
      <c r="B203" s="91"/>
      <c r="C203" s="91"/>
      <c r="D203" s="91"/>
      <c r="E203" s="91"/>
      <c r="F203" s="91"/>
      <c r="G203" s="91"/>
      <c r="H203" s="91"/>
      <c r="I203" s="91"/>
      <c r="J203" s="91"/>
      <c r="K203" s="91"/>
      <c r="L203" s="91"/>
      <c r="M203" s="91"/>
      <c r="N203" s="91"/>
      <c r="O203" s="91"/>
    </row>
    <row r="204" spans="1:16" x14ac:dyDescent="0.35">
      <c r="A204" s="90"/>
      <c r="B204" s="91"/>
      <c r="C204" s="91"/>
      <c r="D204" s="91"/>
      <c r="E204" s="91"/>
      <c r="F204" s="91"/>
      <c r="G204" s="91"/>
      <c r="H204" s="91"/>
      <c r="I204" s="91"/>
      <c r="J204" s="91"/>
      <c r="K204" s="91"/>
      <c r="L204" s="91"/>
      <c r="M204" s="91"/>
      <c r="N204" s="91"/>
      <c r="O204" s="91"/>
    </row>
    <row r="205" spans="1:16" x14ac:dyDescent="0.35">
      <c r="A205" s="90"/>
      <c r="B205" s="91"/>
      <c r="C205" s="91"/>
      <c r="D205" s="91"/>
      <c r="E205" s="91"/>
      <c r="F205" s="91"/>
      <c r="G205" s="91"/>
      <c r="H205" s="91"/>
      <c r="I205" s="91"/>
      <c r="J205" s="91"/>
      <c r="K205" s="91"/>
      <c r="L205" s="91"/>
      <c r="M205" s="91"/>
      <c r="N205" s="91"/>
      <c r="O205" s="91"/>
    </row>
    <row r="207" spans="1:16" x14ac:dyDescent="0.35">
      <c r="A207" s="92"/>
    </row>
    <row r="208" spans="1:16"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162:O205 B5:Q36 Q37:Q187 P162:P198 B37:P161">
    <cfRule type="cellIs" dxfId="5" priority="1" stopIfTrue="1" operator="equal">
      <formula>0</formula>
    </cfRule>
  </conditionalFormatting>
  <conditionalFormatting sqref="B48:J176 B5:K55">
    <cfRule type="cellIs" priority="2" stopIfTrue="1" operator="equal">
      <formula>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2"/>
  </sheetPr>
  <dimension ref="A2:Q216"/>
  <sheetViews>
    <sheetView showGridLines="0" showRowColHeaders="0" zoomScale="85" zoomScaleNormal="85" workbookViewId="0">
      <pane xSplit="1" ySplit="4" topLeftCell="B15" activePane="bottomRight" state="frozen"/>
      <selection activeCell="C35" sqref="C35"/>
      <selection pane="topRight" activeCell="C35" sqref="C35"/>
      <selection pane="bottomLeft" activeCell="C35" sqref="C35"/>
      <selection pane="bottomRight" activeCell="A4" sqref="A4:P56"/>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265</v>
      </c>
    </row>
    <row r="4" spans="1:17" s="101" customFormat="1" x14ac:dyDescent="0.35">
      <c r="A4" s="212"/>
      <c r="B4" s="212"/>
      <c r="C4" s="212"/>
      <c r="D4" s="212"/>
      <c r="E4" s="212"/>
      <c r="F4" s="212"/>
      <c r="G4" s="212"/>
      <c r="H4" s="212"/>
      <c r="I4" s="212"/>
      <c r="J4" s="212"/>
      <c r="K4" s="212"/>
      <c r="L4" s="212"/>
      <c r="M4" s="212"/>
      <c r="N4" s="212"/>
      <c r="O4" s="212"/>
      <c r="P4" s="212"/>
    </row>
    <row r="5" spans="1:17" s="101" customFormat="1" x14ac:dyDescent="0.35">
      <c r="A5" s="212"/>
      <c r="B5" s="214"/>
      <c r="C5" s="214"/>
      <c r="D5" s="214"/>
      <c r="E5" s="214"/>
      <c r="F5" s="214"/>
      <c r="G5" s="214"/>
      <c r="H5" s="214"/>
      <c r="I5" s="214"/>
      <c r="J5" s="214"/>
      <c r="K5" s="214"/>
      <c r="L5" s="213"/>
      <c r="M5" s="213"/>
      <c r="N5" s="213"/>
      <c r="O5" s="214"/>
      <c r="P5" s="214"/>
      <c r="Q5" s="91"/>
    </row>
    <row r="6" spans="1:17" s="101" customFormat="1" x14ac:dyDescent="0.35">
      <c r="A6" s="215"/>
      <c r="B6" s="216"/>
      <c r="C6" s="216"/>
      <c r="D6" s="216"/>
      <c r="E6" s="216"/>
      <c r="F6" s="216"/>
      <c r="G6" s="216"/>
      <c r="H6" s="216"/>
      <c r="I6" s="216"/>
      <c r="J6" s="216"/>
      <c r="K6" s="216"/>
      <c r="L6" s="217"/>
      <c r="M6" s="217"/>
      <c r="N6" s="217"/>
      <c r="O6" s="216"/>
      <c r="P6" s="216"/>
      <c r="Q6" s="91"/>
    </row>
    <row r="7" spans="1:17" s="101" customFormat="1" x14ac:dyDescent="0.35">
      <c r="A7" s="90"/>
      <c r="B7" s="91"/>
      <c r="C7" s="91"/>
      <c r="D7" s="91"/>
      <c r="E7" s="91"/>
      <c r="F7" s="91"/>
      <c r="G7" s="91"/>
      <c r="H7" s="91"/>
      <c r="I7" s="91"/>
      <c r="J7" s="91"/>
      <c r="K7" s="91"/>
      <c r="L7" s="213"/>
      <c r="M7" s="213"/>
      <c r="N7" s="213"/>
      <c r="O7" s="214"/>
      <c r="P7" s="214"/>
      <c r="Q7" s="91"/>
    </row>
    <row r="8" spans="1:17" s="101" customFormat="1" x14ac:dyDescent="0.35">
      <c r="A8" s="90"/>
      <c r="B8" s="91"/>
      <c r="C8" s="91"/>
      <c r="D8" s="91"/>
      <c r="E8" s="91"/>
      <c r="F8" s="91"/>
      <c r="G8" s="91"/>
      <c r="H8" s="91"/>
      <c r="I8" s="91"/>
      <c r="J8" s="91"/>
      <c r="K8" s="91"/>
      <c r="L8" s="213"/>
      <c r="M8" s="213"/>
      <c r="N8" s="213"/>
      <c r="O8" s="214"/>
      <c r="P8" s="214"/>
      <c r="Q8" s="91"/>
    </row>
    <row r="9" spans="1:17" s="101" customFormat="1" x14ac:dyDescent="0.35">
      <c r="A9" s="90"/>
      <c r="B9" s="91"/>
      <c r="C9" s="91"/>
      <c r="D9" s="91"/>
      <c r="E9" s="91"/>
      <c r="F9" s="91"/>
      <c r="G9" s="91"/>
      <c r="H9" s="91"/>
      <c r="I9" s="91"/>
      <c r="J9" s="91"/>
      <c r="K9" s="91"/>
      <c r="L9" s="213"/>
      <c r="M9" s="213"/>
      <c r="N9" s="213"/>
      <c r="O9" s="214"/>
      <c r="P9" s="214"/>
      <c r="Q9" s="91"/>
    </row>
    <row r="10" spans="1:17" s="101" customFormat="1" x14ac:dyDescent="0.35">
      <c r="A10" s="90"/>
      <c r="B10" s="91"/>
      <c r="C10" s="91"/>
      <c r="D10" s="91"/>
      <c r="E10" s="91"/>
      <c r="F10" s="91"/>
      <c r="G10" s="91"/>
      <c r="H10" s="91"/>
      <c r="I10" s="91"/>
      <c r="J10" s="91"/>
      <c r="K10" s="91"/>
      <c r="L10" s="213"/>
      <c r="M10" s="213"/>
      <c r="N10" s="213"/>
      <c r="O10" s="214"/>
      <c r="P10" s="214"/>
      <c r="Q10" s="91"/>
    </row>
    <row r="11" spans="1:17" s="101" customFormat="1" x14ac:dyDescent="0.35">
      <c r="A11" s="90"/>
      <c r="B11" s="91"/>
      <c r="C11" s="91"/>
      <c r="D11" s="91"/>
      <c r="E11" s="91"/>
      <c r="F11" s="91"/>
      <c r="G11" s="91"/>
      <c r="H11" s="91"/>
      <c r="I11" s="91"/>
      <c r="J11" s="91"/>
      <c r="K11" s="91"/>
      <c r="L11" s="213"/>
      <c r="M11" s="213"/>
      <c r="N11" s="213"/>
      <c r="O11" s="214"/>
      <c r="P11" s="214"/>
      <c r="Q11" s="91"/>
    </row>
    <row r="12" spans="1:17" s="101" customFormat="1" x14ac:dyDescent="0.35">
      <c r="A12" s="90"/>
      <c r="B12" s="91"/>
      <c r="C12" s="91"/>
      <c r="D12" s="91"/>
      <c r="E12" s="91"/>
      <c r="F12" s="91"/>
      <c r="G12" s="91"/>
      <c r="H12" s="91"/>
      <c r="I12" s="91"/>
      <c r="J12" s="91"/>
      <c r="K12" s="91"/>
      <c r="L12" s="213"/>
      <c r="M12" s="213"/>
      <c r="N12" s="213"/>
      <c r="O12" s="214"/>
      <c r="P12" s="214"/>
      <c r="Q12" s="91"/>
    </row>
    <row r="13" spans="1:17" s="101" customFormat="1" x14ac:dyDescent="0.35">
      <c r="A13" s="90"/>
      <c r="B13" s="91"/>
      <c r="C13" s="91"/>
      <c r="D13" s="91"/>
      <c r="E13" s="91"/>
      <c r="F13" s="91"/>
      <c r="G13" s="91"/>
      <c r="H13" s="91"/>
      <c r="I13" s="91"/>
      <c r="J13" s="91"/>
      <c r="K13" s="91"/>
      <c r="L13" s="213"/>
      <c r="M13" s="213"/>
      <c r="N13" s="213"/>
      <c r="O13" s="214"/>
      <c r="P13" s="214"/>
      <c r="Q13" s="91"/>
    </row>
    <row r="14" spans="1:17" s="101" customFormat="1" x14ac:dyDescent="0.35">
      <c r="A14" s="90"/>
      <c r="B14" s="91"/>
      <c r="C14" s="91"/>
      <c r="D14" s="91"/>
      <c r="E14" s="91"/>
      <c r="F14" s="91"/>
      <c r="G14" s="91"/>
      <c r="H14" s="91"/>
      <c r="I14" s="91"/>
      <c r="J14" s="91"/>
      <c r="K14" s="91"/>
      <c r="L14" s="213"/>
      <c r="M14" s="213"/>
      <c r="N14" s="213"/>
      <c r="O14" s="214"/>
      <c r="P14" s="214"/>
      <c r="Q14" s="91"/>
    </row>
    <row r="15" spans="1:17" s="101" customFormat="1" x14ac:dyDescent="0.35">
      <c r="A15" s="90"/>
      <c r="B15" s="91"/>
      <c r="C15" s="91"/>
      <c r="D15" s="91"/>
      <c r="E15" s="91"/>
      <c r="F15" s="91"/>
      <c r="G15" s="91"/>
      <c r="H15" s="91"/>
      <c r="I15" s="91"/>
      <c r="J15" s="91"/>
      <c r="K15" s="91"/>
      <c r="L15" s="213"/>
      <c r="M15" s="213"/>
      <c r="N15" s="213"/>
      <c r="O15" s="214"/>
      <c r="P15" s="214"/>
      <c r="Q15" s="91"/>
    </row>
    <row r="16" spans="1:17" s="101" customFormat="1" x14ac:dyDescent="0.35">
      <c r="A16" s="215"/>
      <c r="B16" s="216"/>
      <c r="C16" s="216"/>
      <c r="D16" s="216"/>
      <c r="E16" s="216"/>
      <c r="F16" s="216"/>
      <c r="G16" s="216"/>
      <c r="H16" s="216"/>
      <c r="I16" s="216"/>
      <c r="J16" s="216"/>
      <c r="K16" s="216"/>
      <c r="L16" s="217"/>
      <c r="M16" s="217"/>
      <c r="N16" s="217"/>
      <c r="O16" s="216"/>
      <c r="P16" s="216"/>
      <c r="Q16" s="91"/>
    </row>
    <row r="17" spans="1:17" s="101" customFormat="1" x14ac:dyDescent="0.35">
      <c r="A17" s="90"/>
      <c r="B17" s="91"/>
      <c r="C17" s="91"/>
      <c r="D17" s="91"/>
      <c r="E17" s="91"/>
      <c r="F17" s="91"/>
      <c r="G17" s="91"/>
      <c r="H17" s="91"/>
      <c r="I17" s="91"/>
      <c r="J17" s="91"/>
      <c r="K17" s="91"/>
      <c r="L17" s="213"/>
      <c r="M17" s="213"/>
      <c r="N17" s="213"/>
      <c r="O17" s="214"/>
      <c r="P17" s="214"/>
      <c r="Q17" s="91"/>
    </row>
    <row r="18" spans="1:17" s="101" customFormat="1" x14ac:dyDescent="0.35">
      <c r="A18" s="90"/>
      <c r="B18" s="91"/>
      <c r="C18" s="91"/>
      <c r="D18" s="91"/>
      <c r="E18" s="91"/>
      <c r="F18" s="91"/>
      <c r="G18" s="91"/>
      <c r="H18" s="91"/>
      <c r="I18" s="91"/>
      <c r="J18" s="91"/>
      <c r="K18" s="91"/>
      <c r="L18" s="213"/>
      <c r="M18" s="213"/>
      <c r="N18" s="213"/>
      <c r="O18" s="214"/>
      <c r="P18" s="214"/>
      <c r="Q18" s="91"/>
    </row>
    <row r="19" spans="1:17" s="101" customFormat="1" x14ac:dyDescent="0.35">
      <c r="A19" s="90"/>
      <c r="B19" s="91"/>
      <c r="C19" s="91"/>
      <c r="D19" s="91"/>
      <c r="E19" s="91"/>
      <c r="F19" s="91"/>
      <c r="G19" s="91"/>
      <c r="H19" s="91"/>
      <c r="I19" s="91"/>
      <c r="J19" s="91"/>
      <c r="K19" s="91"/>
      <c r="L19" s="213"/>
      <c r="M19" s="213"/>
      <c r="N19" s="213"/>
      <c r="O19" s="214"/>
      <c r="P19" s="214"/>
      <c r="Q19" s="91"/>
    </row>
    <row r="20" spans="1:17" s="101" customFormat="1" x14ac:dyDescent="0.35">
      <c r="A20" s="90"/>
      <c r="B20" s="91"/>
      <c r="C20" s="91"/>
      <c r="D20" s="91"/>
      <c r="E20" s="91"/>
      <c r="F20" s="91"/>
      <c r="G20" s="91"/>
      <c r="H20" s="91"/>
      <c r="I20" s="91"/>
      <c r="J20" s="91"/>
      <c r="K20" s="91"/>
      <c r="L20" s="213"/>
      <c r="M20" s="213"/>
      <c r="N20" s="213"/>
      <c r="O20" s="214"/>
      <c r="P20" s="214"/>
      <c r="Q20" s="91"/>
    </row>
    <row r="21" spans="1:17" s="101" customFormat="1" x14ac:dyDescent="0.35">
      <c r="A21" s="90"/>
      <c r="B21" s="91"/>
      <c r="C21" s="91"/>
      <c r="D21" s="91"/>
      <c r="E21" s="91"/>
      <c r="F21" s="91"/>
      <c r="G21" s="91"/>
      <c r="H21" s="91"/>
      <c r="I21" s="91"/>
      <c r="J21" s="91"/>
      <c r="K21" s="91"/>
      <c r="L21" s="213"/>
      <c r="M21" s="213"/>
      <c r="N21" s="213"/>
      <c r="O21" s="214"/>
      <c r="P21" s="214"/>
      <c r="Q21" s="91"/>
    </row>
    <row r="22" spans="1:17" s="101" customFormat="1" x14ac:dyDescent="0.35">
      <c r="A22" s="90"/>
      <c r="B22" s="91"/>
      <c r="C22" s="91"/>
      <c r="D22" s="91"/>
      <c r="E22" s="91"/>
      <c r="F22" s="91"/>
      <c r="G22" s="91"/>
      <c r="H22" s="91"/>
      <c r="I22" s="91"/>
      <c r="J22" s="91"/>
      <c r="K22" s="91"/>
      <c r="L22" s="213"/>
      <c r="M22" s="213"/>
      <c r="N22" s="213"/>
      <c r="O22" s="214"/>
      <c r="P22" s="214"/>
      <c r="Q22" s="91"/>
    </row>
    <row r="23" spans="1:17" s="101" customFormat="1" x14ac:dyDescent="0.35">
      <c r="A23" s="90"/>
      <c r="B23" s="91"/>
      <c r="C23" s="91"/>
      <c r="D23" s="91"/>
      <c r="E23" s="91"/>
      <c r="F23" s="91"/>
      <c r="G23" s="91"/>
      <c r="H23" s="91"/>
      <c r="I23" s="91"/>
      <c r="J23" s="91"/>
      <c r="K23" s="91"/>
      <c r="L23" s="213"/>
      <c r="M23" s="213"/>
      <c r="N23" s="213"/>
      <c r="O23" s="214"/>
      <c r="P23" s="214"/>
      <c r="Q23" s="91"/>
    </row>
    <row r="24" spans="1:17" s="101" customFormat="1" x14ac:dyDescent="0.35">
      <c r="A24" s="90"/>
      <c r="B24" s="91"/>
      <c r="C24" s="91"/>
      <c r="D24" s="91"/>
      <c r="E24" s="91"/>
      <c r="F24" s="91"/>
      <c r="G24" s="91"/>
      <c r="H24" s="91"/>
      <c r="I24" s="91"/>
      <c r="J24" s="91"/>
      <c r="K24" s="91"/>
      <c r="L24" s="213"/>
      <c r="M24" s="213"/>
      <c r="N24" s="213"/>
      <c r="O24" s="214"/>
      <c r="P24" s="214"/>
      <c r="Q24" s="91"/>
    </row>
    <row r="25" spans="1:17" s="101" customFormat="1" x14ac:dyDescent="0.35">
      <c r="A25" s="90"/>
      <c r="B25" s="91"/>
      <c r="C25" s="91"/>
      <c r="D25" s="91"/>
      <c r="E25" s="91"/>
      <c r="F25" s="91"/>
      <c r="G25" s="91"/>
      <c r="H25" s="91"/>
      <c r="I25" s="91"/>
      <c r="J25" s="91"/>
      <c r="K25" s="91"/>
      <c r="L25" s="213"/>
      <c r="M25" s="213"/>
      <c r="N25" s="213"/>
      <c r="O25" s="214"/>
      <c r="P25" s="214"/>
      <c r="Q25" s="91"/>
    </row>
    <row r="26" spans="1:17" s="101" customFormat="1" x14ac:dyDescent="0.35">
      <c r="A26" s="90"/>
      <c r="B26" s="91"/>
      <c r="C26" s="91"/>
      <c r="D26" s="91"/>
      <c r="E26" s="91"/>
      <c r="F26" s="91"/>
      <c r="G26" s="91"/>
      <c r="H26" s="91"/>
      <c r="I26" s="91"/>
      <c r="J26" s="91"/>
      <c r="K26" s="91"/>
      <c r="L26" s="213"/>
      <c r="M26" s="213"/>
      <c r="N26" s="213"/>
      <c r="O26" s="214"/>
      <c r="P26" s="214"/>
      <c r="Q26" s="91"/>
    </row>
    <row r="27" spans="1:17" s="101" customFormat="1" x14ac:dyDescent="0.35">
      <c r="A27" s="90"/>
      <c r="B27" s="91"/>
      <c r="C27" s="91"/>
      <c r="D27" s="91"/>
      <c r="E27" s="91"/>
      <c r="F27" s="91"/>
      <c r="G27" s="91"/>
      <c r="H27" s="91"/>
      <c r="I27" s="91"/>
      <c r="J27" s="91"/>
      <c r="K27" s="91"/>
      <c r="L27" s="213"/>
      <c r="M27" s="213"/>
      <c r="N27" s="213"/>
      <c r="O27" s="214"/>
      <c r="P27" s="214"/>
      <c r="Q27" s="91"/>
    </row>
    <row r="28" spans="1:17" s="101" customFormat="1" x14ac:dyDescent="0.35">
      <c r="A28" s="90"/>
      <c r="B28" s="91"/>
      <c r="C28" s="91"/>
      <c r="D28" s="91"/>
      <c r="E28" s="91"/>
      <c r="F28" s="91"/>
      <c r="G28" s="91"/>
      <c r="H28" s="91"/>
      <c r="I28" s="91"/>
      <c r="J28" s="91"/>
      <c r="K28" s="91"/>
      <c r="L28" s="213"/>
      <c r="M28" s="213"/>
      <c r="N28" s="213"/>
      <c r="O28" s="214"/>
      <c r="P28" s="214"/>
      <c r="Q28" s="91"/>
    </row>
    <row r="29" spans="1:17" s="101" customFormat="1" x14ac:dyDescent="0.35">
      <c r="A29" s="90"/>
      <c r="B29" s="91"/>
      <c r="C29" s="91"/>
      <c r="D29" s="91"/>
      <c r="E29" s="91"/>
      <c r="F29" s="91"/>
      <c r="G29" s="91"/>
      <c r="H29" s="91"/>
      <c r="I29" s="91"/>
      <c r="J29" s="91"/>
      <c r="K29" s="91"/>
      <c r="L29" s="213"/>
      <c r="M29" s="213"/>
      <c r="N29" s="213"/>
      <c r="O29" s="214"/>
      <c r="P29" s="214"/>
      <c r="Q29" s="91"/>
    </row>
    <row r="30" spans="1:17" s="101" customFormat="1" x14ac:dyDescent="0.35">
      <c r="A30" s="215"/>
      <c r="B30" s="216"/>
      <c r="C30" s="216"/>
      <c r="D30" s="216"/>
      <c r="E30" s="216"/>
      <c r="F30" s="216"/>
      <c r="G30" s="216"/>
      <c r="H30" s="216"/>
      <c r="I30" s="216"/>
      <c r="J30" s="216"/>
      <c r="K30" s="216"/>
      <c r="L30" s="217"/>
      <c r="M30" s="217"/>
      <c r="N30" s="217"/>
      <c r="O30" s="216"/>
      <c r="P30" s="216"/>
      <c r="Q30" s="91"/>
    </row>
    <row r="31" spans="1:17" s="101" customFormat="1" x14ac:dyDescent="0.35">
      <c r="A31" s="90"/>
      <c r="B31" s="91"/>
      <c r="C31" s="91"/>
      <c r="D31" s="91"/>
      <c r="E31" s="91"/>
      <c r="F31" s="91"/>
      <c r="G31" s="91"/>
      <c r="H31" s="91"/>
      <c r="I31" s="91"/>
      <c r="J31" s="91"/>
      <c r="K31" s="91"/>
      <c r="L31" s="213"/>
      <c r="M31" s="213"/>
      <c r="N31" s="213"/>
      <c r="O31" s="214"/>
      <c r="P31" s="214"/>
      <c r="Q31" s="91"/>
    </row>
    <row r="32" spans="1:17" s="101" customFormat="1" x14ac:dyDescent="0.35">
      <c r="A32" s="90"/>
      <c r="B32" s="91"/>
      <c r="C32" s="91"/>
      <c r="D32" s="91"/>
      <c r="E32" s="91"/>
      <c r="F32" s="91"/>
      <c r="G32" s="91"/>
      <c r="H32" s="91"/>
      <c r="I32" s="91"/>
      <c r="J32" s="91"/>
      <c r="K32" s="91"/>
      <c r="L32" s="213"/>
      <c r="M32" s="213"/>
      <c r="N32" s="213"/>
      <c r="O32" s="214"/>
      <c r="P32" s="214"/>
      <c r="Q32" s="91"/>
    </row>
    <row r="33" spans="1:17" s="101" customFormat="1" x14ac:dyDescent="0.35">
      <c r="A33" s="90"/>
      <c r="B33" s="91"/>
      <c r="C33" s="91"/>
      <c r="D33" s="91"/>
      <c r="E33" s="91"/>
      <c r="F33" s="91"/>
      <c r="G33" s="91"/>
      <c r="H33" s="91"/>
      <c r="I33" s="91"/>
      <c r="J33" s="91"/>
      <c r="K33" s="91"/>
      <c r="L33" s="213"/>
      <c r="M33" s="213"/>
      <c r="N33" s="213"/>
      <c r="O33" s="214"/>
      <c r="P33" s="214"/>
      <c r="Q33" s="91"/>
    </row>
    <row r="34" spans="1:17" s="101" customFormat="1" x14ac:dyDescent="0.35">
      <c r="A34" s="90"/>
      <c r="B34" s="91"/>
      <c r="C34" s="91"/>
      <c r="D34" s="91"/>
      <c r="E34" s="91"/>
      <c r="F34" s="91"/>
      <c r="G34" s="91"/>
      <c r="H34" s="91"/>
      <c r="I34" s="91"/>
      <c r="J34" s="91"/>
      <c r="K34" s="91"/>
      <c r="L34" s="213"/>
      <c r="M34" s="213"/>
      <c r="N34" s="213"/>
      <c r="O34" s="214"/>
      <c r="P34" s="214"/>
      <c r="Q34" s="91"/>
    </row>
    <row r="35" spans="1:17" s="101" customFormat="1" x14ac:dyDescent="0.35">
      <c r="A35" s="90"/>
      <c r="B35" s="91"/>
      <c r="C35" s="91"/>
      <c r="D35" s="91"/>
      <c r="E35" s="91"/>
      <c r="F35" s="91"/>
      <c r="G35" s="91"/>
      <c r="H35" s="91"/>
      <c r="I35" s="91"/>
      <c r="J35" s="91"/>
      <c r="K35" s="91"/>
      <c r="L35" s="213"/>
      <c r="M35" s="213"/>
      <c r="N35" s="213"/>
      <c r="O35" s="214"/>
      <c r="P35" s="214"/>
      <c r="Q35" s="91"/>
    </row>
    <row r="36" spans="1:17" s="101" customFormat="1" x14ac:dyDescent="0.35">
      <c r="A36" s="218"/>
      <c r="B36" s="219"/>
      <c r="C36" s="219"/>
      <c r="D36" s="219"/>
      <c r="E36" s="219"/>
      <c r="F36" s="219"/>
      <c r="G36" s="219"/>
      <c r="H36" s="219"/>
      <c r="I36" s="219"/>
      <c r="J36" s="219"/>
      <c r="K36" s="219"/>
      <c r="L36" s="217"/>
      <c r="M36" s="217"/>
      <c r="N36" s="217"/>
      <c r="O36" s="216"/>
      <c r="P36" s="216"/>
      <c r="Q36" s="91"/>
    </row>
    <row r="37" spans="1:17" s="101" customFormat="1" x14ac:dyDescent="0.35">
      <c r="A37" s="212"/>
      <c r="B37" s="91"/>
      <c r="C37" s="91"/>
      <c r="D37" s="91"/>
      <c r="E37" s="91"/>
      <c r="F37" s="91"/>
      <c r="G37" s="91"/>
      <c r="H37" s="91"/>
      <c r="I37" s="91"/>
      <c r="J37" s="91"/>
      <c r="K37" s="91"/>
      <c r="L37" s="213"/>
      <c r="M37" s="213"/>
      <c r="N37" s="213"/>
      <c r="O37" s="214"/>
      <c r="P37" s="214"/>
      <c r="Q37" s="91"/>
    </row>
    <row r="38" spans="1:17" s="101" customFormat="1" x14ac:dyDescent="0.35">
      <c r="A38" s="90"/>
      <c r="B38" s="91"/>
      <c r="C38" s="91"/>
      <c r="D38" s="91"/>
      <c r="E38" s="91"/>
      <c r="F38" s="91"/>
      <c r="G38" s="91"/>
      <c r="H38" s="91"/>
      <c r="I38" s="91"/>
      <c r="J38" s="91"/>
      <c r="K38" s="91"/>
      <c r="L38" s="213"/>
      <c r="M38" s="213"/>
      <c r="N38" s="213"/>
      <c r="O38" s="214"/>
      <c r="P38" s="214"/>
      <c r="Q38" s="91"/>
    </row>
    <row r="39" spans="1:17" s="101" customFormat="1" x14ac:dyDescent="0.35">
      <c r="A39" s="90"/>
      <c r="B39" s="91"/>
      <c r="C39" s="91"/>
      <c r="D39" s="91"/>
      <c r="E39" s="91"/>
      <c r="F39" s="91"/>
      <c r="G39" s="91"/>
      <c r="H39" s="91"/>
      <c r="I39" s="91"/>
      <c r="J39" s="91"/>
      <c r="K39" s="91"/>
      <c r="L39" s="213"/>
      <c r="M39" s="213"/>
      <c r="N39" s="213"/>
      <c r="O39" s="214"/>
      <c r="P39" s="214"/>
      <c r="Q39" s="91"/>
    </row>
    <row r="40" spans="1:17" s="101" customFormat="1" x14ac:dyDescent="0.35">
      <c r="A40" s="90"/>
      <c r="B40" s="91"/>
      <c r="C40" s="91"/>
      <c r="D40" s="91"/>
      <c r="E40" s="91"/>
      <c r="F40" s="91"/>
      <c r="G40" s="91"/>
      <c r="H40" s="91"/>
      <c r="I40" s="91"/>
      <c r="J40" s="91"/>
      <c r="K40" s="91"/>
      <c r="L40" s="213"/>
      <c r="M40" s="213"/>
      <c r="N40" s="213"/>
      <c r="O40" s="214"/>
      <c r="P40" s="214"/>
      <c r="Q40" s="91"/>
    </row>
    <row r="41" spans="1:17" s="101" customFormat="1" x14ac:dyDescent="0.35">
      <c r="A41" s="90"/>
      <c r="B41" s="91"/>
      <c r="C41" s="91"/>
      <c r="D41" s="91"/>
      <c r="E41" s="91"/>
      <c r="F41" s="91"/>
      <c r="G41" s="91"/>
      <c r="H41" s="91"/>
      <c r="I41" s="91"/>
      <c r="J41" s="91"/>
      <c r="K41" s="91"/>
      <c r="L41" s="213"/>
      <c r="M41" s="213"/>
      <c r="N41" s="213"/>
      <c r="O41" s="214"/>
      <c r="P41" s="214"/>
      <c r="Q41" s="91"/>
    </row>
    <row r="42" spans="1:17" s="101" customFormat="1" x14ac:dyDescent="0.35">
      <c r="A42" s="90"/>
      <c r="B42" s="91"/>
      <c r="C42" s="91"/>
      <c r="D42" s="91"/>
      <c r="E42" s="91"/>
      <c r="F42" s="91"/>
      <c r="G42" s="91"/>
      <c r="H42" s="91"/>
      <c r="I42" s="91"/>
      <c r="J42" s="91"/>
      <c r="K42" s="91"/>
      <c r="L42" s="213"/>
      <c r="M42" s="213"/>
      <c r="N42" s="213"/>
      <c r="O42" s="214"/>
      <c r="P42" s="214"/>
      <c r="Q42" s="91"/>
    </row>
    <row r="43" spans="1:17" s="101" customFormat="1" x14ac:dyDescent="0.35">
      <c r="A43" s="90"/>
      <c r="B43" s="91"/>
      <c r="C43" s="91"/>
      <c r="D43" s="91"/>
      <c r="E43" s="91"/>
      <c r="F43" s="91"/>
      <c r="G43" s="91"/>
      <c r="H43" s="91"/>
      <c r="I43" s="91"/>
      <c r="J43" s="91"/>
      <c r="K43" s="91"/>
      <c r="L43" s="213"/>
      <c r="M43" s="213"/>
      <c r="N43" s="213"/>
      <c r="O43" s="214"/>
      <c r="P43" s="214"/>
      <c r="Q43" s="91"/>
    </row>
    <row r="44" spans="1:17" s="101" customFormat="1" x14ac:dyDescent="0.35">
      <c r="A44" s="90"/>
      <c r="B44" s="91"/>
      <c r="C44" s="91"/>
      <c r="D44" s="91"/>
      <c r="E44" s="91"/>
      <c r="F44" s="91"/>
      <c r="G44" s="91"/>
      <c r="H44" s="91"/>
      <c r="I44" s="91"/>
      <c r="J44" s="91"/>
      <c r="K44" s="91"/>
      <c r="L44" s="213"/>
      <c r="M44" s="213"/>
      <c r="N44" s="213"/>
      <c r="O44" s="214"/>
      <c r="P44" s="214"/>
      <c r="Q44" s="91"/>
    </row>
    <row r="45" spans="1:17" s="101" customFormat="1" x14ac:dyDescent="0.35">
      <c r="A45" s="90"/>
      <c r="B45" s="91"/>
      <c r="C45" s="91"/>
      <c r="D45" s="91"/>
      <c r="E45" s="91"/>
      <c r="F45" s="91"/>
      <c r="G45" s="91"/>
      <c r="H45" s="91"/>
      <c r="I45" s="91"/>
      <c r="J45" s="91"/>
      <c r="K45" s="91"/>
      <c r="L45" s="213"/>
      <c r="M45" s="213"/>
      <c r="N45" s="213"/>
      <c r="O45" s="214"/>
      <c r="P45" s="214"/>
      <c r="Q45" s="91"/>
    </row>
    <row r="46" spans="1:17" s="101" customFormat="1" x14ac:dyDescent="0.35">
      <c r="A46" s="90"/>
      <c r="B46" s="91"/>
      <c r="C46" s="91"/>
      <c r="D46" s="91"/>
      <c r="E46" s="91"/>
      <c r="F46" s="91"/>
      <c r="G46" s="91"/>
      <c r="H46" s="91"/>
      <c r="I46" s="91"/>
      <c r="J46" s="91"/>
      <c r="K46" s="91"/>
      <c r="L46" s="94"/>
      <c r="M46" s="94"/>
      <c r="N46" s="94"/>
      <c r="O46" s="91"/>
      <c r="P46" s="91"/>
      <c r="Q46" s="91"/>
    </row>
    <row r="47" spans="1:17" s="101" customFormat="1" x14ac:dyDescent="0.35">
      <c r="A47" s="90"/>
      <c r="B47" s="91"/>
      <c r="C47" s="91"/>
      <c r="D47" s="91"/>
      <c r="E47" s="91"/>
      <c r="F47" s="91"/>
      <c r="G47" s="91"/>
      <c r="H47" s="91"/>
      <c r="I47" s="91"/>
      <c r="J47" s="91"/>
      <c r="K47" s="91"/>
      <c r="L47" s="94"/>
      <c r="M47" s="94"/>
      <c r="N47" s="94"/>
      <c r="O47" s="91"/>
      <c r="P47" s="91"/>
      <c r="Q47" s="91"/>
    </row>
    <row r="48" spans="1:17" s="101" customFormat="1" x14ac:dyDescent="0.35">
      <c r="A48" s="90"/>
      <c r="B48" s="91"/>
      <c r="C48" s="91"/>
      <c r="D48" s="91"/>
      <c r="E48" s="91"/>
      <c r="F48" s="91"/>
      <c r="G48" s="91"/>
      <c r="H48" s="91"/>
      <c r="I48" s="91"/>
      <c r="J48" s="91"/>
      <c r="K48" s="91"/>
      <c r="L48" s="94"/>
      <c r="M48" s="94"/>
      <c r="N48" s="94"/>
      <c r="O48" s="91"/>
      <c r="P48" s="91"/>
      <c r="Q48" s="91"/>
    </row>
    <row r="49" spans="1:17" s="101" customFormat="1" x14ac:dyDescent="0.35">
      <c r="A49" s="90"/>
      <c r="B49" s="91"/>
      <c r="C49" s="91"/>
      <c r="D49" s="91"/>
      <c r="E49" s="91"/>
      <c r="F49" s="91"/>
      <c r="G49" s="91"/>
      <c r="H49" s="91"/>
      <c r="I49" s="91"/>
      <c r="J49" s="91"/>
      <c r="K49" s="91"/>
      <c r="L49" s="94"/>
      <c r="M49" s="94"/>
      <c r="N49" s="94"/>
      <c r="O49" s="91"/>
      <c r="P49" s="91"/>
      <c r="Q49" s="91"/>
    </row>
    <row r="50" spans="1:17" s="101" customFormat="1" x14ac:dyDescent="0.35">
      <c r="A50" s="90"/>
      <c r="B50" s="91"/>
      <c r="C50" s="91"/>
      <c r="D50" s="91"/>
      <c r="E50" s="91"/>
      <c r="F50" s="91"/>
      <c r="G50" s="91"/>
      <c r="H50" s="91"/>
      <c r="I50" s="91"/>
      <c r="J50" s="91"/>
      <c r="K50" s="91"/>
      <c r="L50" s="94"/>
      <c r="M50" s="94"/>
      <c r="N50" s="94"/>
      <c r="O50" s="91"/>
      <c r="P50" s="91"/>
      <c r="Q50" s="91"/>
    </row>
    <row r="51" spans="1:17" s="101" customFormat="1" x14ac:dyDescent="0.35">
      <c r="A51" s="90"/>
      <c r="B51" s="91"/>
      <c r="C51" s="91"/>
      <c r="D51" s="91"/>
      <c r="E51" s="91"/>
      <c r="F51" s="91"/>
      <c r="G51" s="91"/>
      <c r="H51" s="91"/>
      <c r="I51" s="91"/>
      <c r="J51" s="91"/>
      <c r="K51" s="91"/>
      <c r="L51" s="94"/>
      <c r="M51" s="94"/>
      <c r="N51" s="94"/>
      <c r="O51" s="91"/>
      <c r="P51" s="91"/>
      <c r="Q51" s="91"/>
    </row>
    <row r="52" spans="1:17" s="101" customFormat="1" x14ac:dyDescent="0.35">
      <c r="A52" s="90"/>
      <c r="B52" s="91"/>
      <c r="C52" s="91"/>
      <c r="D52" s="91"/>
      <c r="E52" s="91"/>
      <c r="F52" s="91"/>
      <c r="G52" s="91"/>
      <c r="H52" s="91"/>
      <c r="I52" s="91"/>
      <c r="J52" s="91"/>
      <c r="K52" s="91"/>
      <c r="L52" s="94"/>
      <c r="M52" s="94"/>
      <c r="N52" s="94"/>
      <c r="O52" s="91"/>
      <c r="P52" s="91"/>
      <c r="Q52" s="91"/>
    </row>
    <row r="53" spans="1:17" s="101" customFormat="1" x14ac:dyDescent="0.35">
      <c r="A53" s="90"/>
      <c r="B53" s="91"/>
      <c r="C53" s="91"/>
      <c r="D53" s="91"/>
      <c r="E53" s="91"/>
      <c r="F53" s="91"/>
      <c r="G53" s="91"/>
      <c r="H53" s="91"/>
      <c r="I53" s="91"/>
      <c r="J53" s="91"/>
      <c r="K53" s="91"/>
      <c r="L53" s="94"/>
      <c r="M53" s="94"/>
      <c r="N53" s="94"/>
      <c r="O53" s="91"/>
      <c r="P53" s="91"/>
      <c r="Q53" s="91"/>
    </row>
    <row r="54" spans="1:17" s="101" customFormat="1" x14ac:dyDescent="0.35">
      <c r="A54" s="90"/>
      <c r="B54" s="91"/>
      <c r="C54" s="91"/>
      <c r="D54" s="91"/>
      <c r="E54" s="91"/>
      <c r="F54" s="91"/>
      <c r="G54" s="91"/>
      <c r="H54" s="91"/>
      <c r="I54" s="91"/>
      <c r="J54" s="91"/>
      <c r="K54" s="91"/>
      <c r="L54" s="94"/>
      <c r="M54" s="94"/>
      <c r="N54" s="94"/>
      <c r="O54" s="91"/>
      <c r="P54" s="91"/>
      <c r="Q54" s="91"/>
    </row>
    <row r="55" spans="1:17" s="101" customFormat="1" x14ac:dyDescent="0.35">
      <c r="A55" s="90"/>
      <c r="B55" s="91"/>
      <c r="C55" s="91"/>
      <c r="D55" s="91"/>
      <c r="E55" s="91"/>
      <c r="F55" s="91"/>
      <c r="G55" s="91"/>
      <c r="H55" s="91"/>
      <c r="I55" s="91"/>
      <c r="J55" s="91"/>
      <c r="K55" s="91"/>
      <c r="L55" s="94"/>
      <c r="M55" s="94"/>
      <c r="N55" s="94"/>
      <c r="O55" s="91"/>
      <c r="P55" s="91"/>
      <c r="Q55" s="91"/>
    </row>
    <row r="56" spans="1:17" s="101" customFormat="1" x14ac:dyDescent="0.35">
      <c r="A56" s="90"/>
      <c r="B56" s="91"/>
      <c r="C56" s="91"/>
      <c r="D56" s="91"/>
      <c r="E56" s="91"/>
      <c r="F56" s="91"/>
      <c r="G56" s="91"/>
      <c r="H56" s="91"/>
      <c r="I56" s="91"/>
      <c r="J56" s="91"/>
      <c r="K56" s="94"/>
      <c r="L56" s="94"/>
      <c r="M56" s="94"/>
      <c r="N56" s="91"/>
      <c r="O56" s="91"/>
      <c r="P56" s="91"/>
      <c r="Q56" s="91"/>
    </row>
    <row r="57" spans="1:17" s="101" customFormat="1" x14ac:dyDescent="0.35">
      <c r="A57" s="90"/>
      <c r="B57" s="91"/>
      <c r="C57" s="91"/>
      <c r="D57" s="91"/>
      <c r="E57" s="91"/>
      <c r="F57" s="91"/>
      <c r="G57" s="91"/>
      <c r="H57" s="91"/>
      <c r="I57" s="91"/>
      <c r="J57" s="91"/>
      <c r="K57" s="94"/>
      <c r="L57" s="94"/>
      <c r="M57" s="94"/>
      <c r="N57" s="91"/>
      <c r="O57" s="91"/>
      <c r="P57" s="91"/>
      <c r="Q57" s="91"/>
    </row>
    <row r="58" spans="1:17" s="101" customFormat="1" x14ac:dyDescent="0.35">
      <c r="A58" s="90"/>
      <c r="B58" s="91"/>
      <c r="C58" s="91"/>
      <c r="D58" s="91"/>
      <c r="E58" s="91"/>
      <c r="F58" s="91"/>
      <c r="G58" s="91"/>
      <c r="H58" s="91"/>
      <c r="I58" s="91"/>
      <c r="J58" s="91"/>
      <c r="K58" s="94"/>
      <c r="L58" s="94"/>
      <c r="M58" s="94"/>
      <c r="N58" s="91"/>
      <c r="O58" s="91"/>
      <c r="P58" s="91"/>
      <c r="Q58" s="91"/>
    </row>
    <row r="59" spans="1:17" s="101" customFormat="1" x14ac:dyDescent="0.35">
      <c r="A59" s="90"/>
      <c r="B59" s="91"/>
      <c r="C59" s="91"/>
      <c r="D59" s="91"/>
      <c r="E59" s="91"/>
      <c r="F59" s="91"/>
      <c r="G59" s="91"/>
      <c r="H59" s="91"/>
      <c r="I59" s="91"/>
      <c r="J59" s="91"/>
      <c r="K59" s="94"/>
      <c r="L59" s="94"/>
      <c r="M59" s="94"/>
      <c r="N59" s="91"/>
      <c r="O59" s="91"/>
      <c r="P59" s="91"/>
      <c r="Q59" s="91"/>
    </row>
    <row r="60" spans="1:17" s="101" customFormat="1" x14ac:dyDescent="0.35">
      <c r="A60" s="90"/>
      <c r="B60" s="91"/>
      <c r="C60" s="91"/>
      <c r="D60" s="91"/>
      <c r="E60" s="91"/>
      <c r="F60" s="91"/>
      <c r="G60" s="91"/>
      <c r="H60" s="91"/>
      <c r="I60" s="91"/>
      <c r="J60" s="91"/>
      <c r="K60" s="94"/>
      <c r="L60" s="94"/>
      <c r="M60" s="94"/>
      <c r="N60" s="91"/>
      <c r="O60" s="91"/>
      <c r="P60" s="91"/>
      <c r="Q60" s="91"/>
    </row>
    <row r="61" spans="1:17" s="101" customFormat="1" x14ac:dyDescent="0.35">
      <c r="A61" s="90"/>
      <c r="B61" s="91"/>
      <c r="C61" s="91"/>
      <c r="D61" s="91"/>
      <c r="E61" s="91"/>
      <c r="F61" s="91"/>
      <c r="G61" s="91"/>
      <c r="H61" s="91"/>
      <c r="I61" s="91"/>
      <c r="J61" s="91"/>
      <c r="K61" s="94"/>
      <c r="L61" s="94"/>
      <c r="M61" s="94"/>
      <c r="N61" s="91"/>
      <c r="O61" s="91"/>
      <c r="P61" s="91"/>
      <c r="Q61" s="91"/>
    </row>
    <row r="62" spans="1:17" s="101" customFormat="1" x14ac:dyDescent="0.35">
      <c r="A62" s="90"/>
      <c r="B62" s="91"/>
      <c r="C62" s="91"/>
      <c r="D62" s="91"/>
      <c r="E62" s="91"/>
      <c r="F62" s="91"/>
      <c r="G62" s="91"/>
      <c r="H62" s="91"/>
      <c r="I62" s="91"/>
      <c r="J62" s="91"/>
      <c r="K62" s="94"/>
      <c r="L62" s="94"/>
      <c r="M62" s="94"/>
      <c r="N62" s="91"/>
      <c r="O62" s="91"/>
      <c r="P62" s="91"/>
      <c r="Q62" s="91"/>
    </row>
    <row r="63" spans="1:17" s="101" customFormat="1" x14ac:dyDescent="0.35">
      <c r="A63" s="90"/>
      <c r="B63" s="91"/>
      <c r="C63" s="91"/>
      <c r="D63" s="91"/>
      <c r="E63" s="91"/>
      <c r="F63" s="91"/>
      <c r="G63" s="91"/>
      <c r="H63" s="91"/>
      <c r="I63" s="91"/>
      <c r="J63" s="91"/>
      <c r="K63" s="94"/>
      <c r="L63" s="94"/>
      <c r="M63" s="94"/>
      <c r="N63" s="91"/>
      <c r="O63" s="91"/>
      <c r="P63" s="91"/>
      <c r="Q63" s="91"/>
    </row>
    <row r="64" spans="1:17" s="101" customFormat="1" x14ac:dyDescent="0.35">
      <c r="A64" s="90"/>
      <c r="B64" s="91"/>
      <c r="C64" s="91"/>
      <c r="D64" s="91"/>
      <c r="E64" s="91"/>
      <c r="F64" s="91"/>
      <c r="G64" s="91"/>
      <c r="H64" s="91"/>
      <c r="I64" s="91"/>
      <c r="J64" s="91"/>
      <c r="K64" s="94"/>
      <c r="L64" s="94"/>
      <c r="M64" s="94"/>
      <c r="N64" s="91"/>
      <c r="O64" s="91"/>
      <c r="P64" s="91"/>
      <c r="Q64" s="91"/>
    </row>
    <row r="65" spans="1:17" s="101" customFormat="1" x14ac:dyDescent="0.35">
      <c r="A65" s="90"/>
      <c r="B65" s="91"/>
      <c r="C65" s="91"/>
      <c r="D65" s="91"/>
      <c r="E65" s="91"/>
      <c r="F65" s="91"/>
      <c r="G65" s="91"/>
      <c r="H65" s="91"/>
      <c r="I65" s="91"/>
      <c r="J65" s="91"/>
      <c r="K65" s="94"/>
      <c r="L65" s="94"/>
      <c r="M65" s="94"/>
      <c r="N65" s="91"/>
      <c r="O65" s="91"/>
      <c r="P65" s="91"/>
      <c r="Q65" s="91"/>
    </row>
    <row r="66" spans="1:17" s="101" customFormat="1" x14ac:dyDescent="0.35">
      <c r="A66" s="90"/>
      <c r="B66" s="91"/>
      <c r="C66" s="91"/>
      <c r="D66" s="91"/>
      <c r="E66" s="91"/>
      <c r="F66" s="91"/>
      <c r="G66" s="91"/>
      <c r="H66" s="91"/>
      <c r="I66" s="91"/>
      <c r="J66" s="91"/>
      <c r="K66" s="94"/>
      <c r="L66" s="94"/>
      <c r="M66" s="94"/>
      <c r="N66" s="91"/>
      <c r="O66" s="91"/>
      <c r="P66" s="91"/>
      <c r="Q66" s="91"/>
    </row>
    <row r="67" spans="1:17" s="101" customFormat="1" x14ac:dyDescent="0.35">
      <c r="A67" s="90"/>
      <c r="B67" s="91"/>
      <c r="C67" s="91"/>
      <c r="D67" s="91"/>
      <c r="E67" s="91"/>
      <c r="F67" s="91"/>
      <c r="G67" s="91"/>
      <c r="H67" s="91"/>
      <c r="I67" s="91"/>
      <c r="J67" s="91"/>
      <c r="K67" s="94"/>
      <c r="L67" s="94"/>
      <c r="M67" s="94"/>
      <c r="N67" s="91"/>
      <c r="O67" s="91"/>
      <c r="P67" s="91"/>
      <c r="Q67" s="91"/>
    </row>
    <row r="68" spans="1:17" s="101" customFormat="1" x14ac:dyDescent="0.35">
      <c r="A68" s="90"/>
      <c r="B68" s="91"/>
      <c r="C68" s="91"/>
      <c r="D68" s="91"/>
      <c r="E68" s="91"/>
      <c r="F68" s="91"/>
      <c r="G68" s="91"/>
      <c r="H68" s="91"/>
      <c r="I68" s="91"/>
      <c r="J68" s="91"/>
      <c r="K68" s="94"/>
      <c r="L68" s="94"/>
      <c r="M68" s="94"/>
      <c r="N68" s="91"/>
      <c r="O68" s="91"/>
      <c r="P68" s="91"/>
      <c r="Q68" s="91"/>
    </row>
    <row r="69" spans="1:17" s="101" customFormat="1" x14ac:dyDescent="0.35">
      <c r="A69" s="90"/>
      <c r="B69" s="91"/>
      <c r="C69" s="91"/>
      <c r="D69" s="91"/>
      <c r="E69" s="91"/>
      <c r="F69" s="91"/>
      <c r="G69" s="91"/>
      <c r="H69" s="91"/>
      <c r="I69" s="91"/>
      <c r="J69" s="91"/>
      <c r="K69" s="94"/>
      <c r="L69" s="94"/>
      <c r="M69" s="94"/>
      <c r="N69" s="91"/>
      <c r="O69" s="91"/>
      <c r="P69" s="91"/>
      <c r="Q69" s="91"/>
    </row>
    <row r="70" spans="1:17" s="101" customFormat="1" x14ac:dyDescent="0.35">
      <c r="A70" s="90"/>
      <c r="B70" s="91"/>
      <c r="C70" s="91"/>
      <c r="D70" s="91"/>
      <c r="E70" s="91"/>
      <c r="F70" s="91"/>
      <c r="G70" s="91"/>
      <c r="H70" s="91"/>
      <c r="I70" s="91"/>
      <c r="J70" s="91"/>
      <c r="K70" s="94"/>
      <c r="L70" s="94"/>
      <c r="M70" s="94"/>
      <c r="N70" s="91"/>
      <c r="O70" s="91"/>
      <c r="P70" s="91"/>
      <c r="Q70" s="91"/>
    </row>
    <row r="71" spans="1:17" s="101" customFormat="1" x14ac:dyDescent="0.35">
      <c r="A71" s="90"/>
      <c r="B71" s="91"/>
      <c r="C71" s="91"/>
      <c r="D71" s="91"/>
      <c r="E71" s="91"/>
      <c r="F71" s="91"/>
      <c r="G71" s="91"/>
      <c r="H71" s="91"/>
      <c r="I71" s="91"/>
      <c r="J71" s="91"/>
      <c r="K71" s="94"/>
      <c r="L71" s="94"/>
      <c r="M71" s="94"/>
      <c r="N71" s="91"/>
      <c r="O71" s="91"/>
      <c r="P71" s="91"/>
      <c r="Q71" s="91"/>
    </row>
    <row r="72" spans="1:17" s="101" customFormat="1" x14ac:dyDescent="0.35">
      <c r="A72" s="90"/>
      <c r="B72" s="91"/>
      <c r="C72" s="91"/>
      <c r="D72" s="91"/>
      <c r="E72" s="91"/>
      <c r="F72" s="91"/>
      <c r="G72" s="91"/>
      <c r="H72" s="91"/>
      <c r="I72" s="91"/>
      <c r="J72" s="91"/>
      <c r="K72" s="94"/>
      <c r="L72" s="94"/>
      <c r="M72" s="94"/>
      <c r="N72" s="91"/>
      <c r="O72" s="91"/>
      <c r="P72" s="91"/>
      <c r="Q72" s="91"/>
    </row>
    <row r="73" spans="1:17" s="101" customFormat="1" x14ac:dyDescent="0.35">
      <c r="A73" s="90"/>
      <c r="B73" s="91"/>
      <c r="C73" s="91"/>
      <c r="D73" s="91"/>
      <c r="E73" s="91"/>
      <c r="F73" s="91"/>
      <c r="G73" s="91"/>
      <c r="H73" s="91"/>
      <c r="I73" s="91"/>
      <c r="J73" s="91"/>
      <c r="K73" s="94"/>
      <c r="L73" s="94"/>
      <c r="M73" s="94"/>
      <c r="N73" s="91"/>
      <c r="O73" s="91"/>
      <c r="P73" s="91"/>
      <c r="Q73" s="91"/>
    </row>
    <row r="74" spans="1:17" s="101" customFormat="1" x14ac:dyDescent="0.35">
      <c r="A74" s="90"/>
      <c r="B74" s="91"/>
      <c r="C74" s="91"/>
      <c r="D74" s="91"/>
      <c r="E74" s="91"/>
      <c r="F74" s="91"/>
      <c r="G74" s="91"/>
      <c r="H74" s="91"/>
      <c r="I74" s="91"/>
      <c r="J74" s="91"/>
      <c r="K74" s="94"/>
      <c r="L74" s="94"/>
      <c r="M74" s="94"/>
      <c r="N74" s="91"/>
      <c r="O74" s="91"/>
      <c r="P74" s="91"/>
      <c r="Q74" s="91"/>
    </row>
    <row r="75" spans="1:17" s="101" customFormat="1" x14ac:dyDescent="0.35">
      <c r="A75" s="90"/>
      <c r="B75" s="91"/>
      <c r="C75" s="91"/>
      <c r="D75" s="91"/>
      <c r="E75" s="91"/>
      <c r="F75" s="91"/>
      <c r="G75" s="91"/>
      <c r="H75" s="91"/>
      <c r="I75" s="91"/>
      <c r="J75" s="91"/>
      <c r="K75" s="94"/>
      <c r="L75" s="94"/>
      <c r="M75" s="94"/>
      <c r="N75" s="91"/>
      <c r="O75" s="91"/>
      <c r="P75" s="91"/>
      <c r="Q75" s="91"/>
    </row>
    <row r="76" spans="1:17" s="101" customFormat="1" x14ac:dyDescent="0.35">
      <c r="A76" s="90"/>
      <c r="B76" s="91"/>
      <c r="C76" s="91"/>
      <c r="D76" s="91"/>
      <c r="E76" s="91"/>
      <c r="F76" s="91"/>
      <c r="G76" s="91"/>
      <c r="H76" s="91"/>
      <c r="I76" s="91"/>
      <c r="J76" s="91"/>
      <c r="K76" s="94"/>
      <c r="L76" s="94"/>
      <c r="M76" s="94"/>
      <c r="N76" s="91"/>
      <c r="O76" s="91"/>
      <c r="P76" s="91"/>
      <c r="Q76" s="91"/>
    </row>
    <row r="77" spans="1:17" s="101" customFormat="1" x14ac:dyDescent="0.35">
      <c r="A77" s="90"/>
      <c r="B77" s="91"/>
      <c r="C77" s="91"/>
      <c r="D77" s="91"/>
      <c r="E77" s="91"/>
      <c r="F77" s="91"/>
      <c r="G77" s="91"/>
      <c r="H77" s="91"/>
      <c r="I77" s="91"/>
      <c r="J77" s="91"/>
      <c r="K77" s="94"/>
      <c r="L77" s="94"/>
      <c r="M77" s="94"/>
      <c r="N77" s="91"/>
      <c r="O77" s="91"/>
      <c r="P77" s="91"/>
      <c r="Q77" s="91"/>
    </row>
    <row r="78" spans="1:17" s="101" customFormat="1" x14ac:dyDescent="0.35">
      <c r="A78" s="90"/>
      <c r="B78" s="91"/>
      <c r="C78" s="91"/>
      <c r="D78" s="91"/>
      <c r="E78" s="91"/>
      <c r="F78" s="91"/>
      <c r="G78" s="91"/>
      <c r="H78" s="91"/>
      <c r="I78" s="91"/>
      <c r="J78" s="91"/>
      <c r="K78" s="94"/>
      <c r="L78" s="94"/>
      <c r="M78" s="94"/>
      <c r="N78" s="91"/>
      <c r="O78" s="91"/>
      <c r="P78" s="91"/>
      <c r="Q78" s="91"/>
    </row>
    <row r="79" spans="1:17" s="101" customFormat="1" x14ac:dyDescent="0.35">
      <c r="A79" s="90"/>
      <c r="B79" s="91"/>
      <c r="C79" s="91"/>
      <c r="D79" s="91"/>
      <c r="E79" s="91"/>
      <c r="F79" s="91"/>
      <c r="G79" s="91"/>
      <c r="H79" s="91"/>
      <c r="I79" s="91"/>
      <c r="J79" s="91"/>
      <c r="K79" s="94"/>
      <c r="L79" s="94"/>
      <c r="M79" s="94"/>
      <c r="N79" s="91"/>
      <c r="O79" s="91"/>
      <c r="P79" s="91"/>
      <c r="Q79" s="91"/>
    </row>
    <row r="80" spans="1:17" s="101" customFormat="1" x14ac:dyDescent="0.35">
      <c r="A80" s="90"/>
      <c r="B80" s="91"/>
      <c r="C80" s="91"/>
      <c r="D80" s="91"/>
      <c r="E80" s="91"/>
      <c r="F80" s="91"/>
      <c r="G80" s="91"/>
      <c r="H80" s="91"/>
      <c r="I80" s="91"/>
      <c r="J80" s="91"/>
      <c r="K80" s="94"/>
      <c r="L80" s="94"/>
      <c r="M80" s="94"/>
      <c r="N80" s="91"/>
      <c r="O80" s="91"/>
      <c r="P80" s="91"/>
      <c r="Q80" s="91"/>
    </row>
    <row r="81" spans="1:17" s="101" customFormat="1" x14ac:dyDescent="0.35">
      <c r="A81" s="90"/>
      <c r="B81" s="91"/>
      <c r="C81" s="91"/>
      <c r="D81" s="91"/>
      <c r="E81" s="91"/>
      <c r="F81" s="91"/>
      <c r="G81" s="91"/>
      <c r="H81" s="91"/>
      <c r="I81" s="91"/>
      <c r="J81" s="91"/>
      <c r="K81" s="94"/>
      <c r="L81" s="94"/>
      <c r="M81" s="94"/>
      <c r="N81" s="91"/>
      <c r="O81" s="91"/>
      <c r="P81" s="91"/>
      <c r="Q81" s="91"/>
    </row>
    <row r="82" spans="1:17" s="101" customFormat="1" x14ac:dyDescent="0.35">
      <c r="A82" s="90"/>
      <c r="B82" s="91"/>
      <c r="C82" s="91"/>
      <c r="D82" s="91"/>
      <c r="E82" s="91"/>
      <c r="F82" s="91"/>
      <c r="G82" s="91"/>
      <c r="H82" s="91"/>
      <c r="I82" s="91"/>
      <c r="J82" s="91"/>
      <c r="K82" s="94"/>
      <c r="L82" s="94"/>
      <c r="M82" s="94"/>
      <c r="N82" s="91"/>
      <c r="O82" s="91"/>
      <c r="P82" s="91"/>
      <c r="Q82" s="91"/>
    </row>
    <row r="83" spans="1:17" s="101" customFormat="1" x14ac:dyDescent="0.35">
      <c r="A83" s="90"/>
      <c r="B83" s="91"/>
      <c r="C83" s="91"/>
      <c r="D83" s="91"/>
      <c r="E83" s="91"/>
      <c r="F83" s="91"/>
      <c r="G83" s="91"/>
      <c r="H83" s="91"/>
      <c r="I83" s="91"/>
      <c r="J83" s="91"/>
      <c r="K83" s="94"/>
      <c r="L83" s="94"/>
      <c r="M83" s="94"/>
      <c r="N83" s="91"/>
      <c r="O83" s="91"/>
      <c r="P83" s="91"/>
      <c r="Q83" s="91"/>
    </row>
    <row r="84" spans="1:17" s="101" customFormat="1" x14ac:dyDescent="0.35">
      <c r="A84" s="90"/>
      <c r="B84" s="91"/>
      <c r="C84" s="91"/>
      <c r="D84" s="91"/>
      <c r="E84" s="91"/>
      <c r="F84" s="91"/>
      <c r="G84" s="91"/>
      <c r="H84" s="91"/>
      <c r="I84" s="91"/>
      <c r="J84" s="91"/>
      <c r="K84" s="94"/>
      <c r="L84" s="94"/>
      <c r="M84" s="94"/>
      <c r="N84" s="91"/>
      <c r="O84" s="91"/>
      <c r="P84" s="91"/>
      <c r="Q84" s="91"/>
    </row>
    <row r="85" spans="1:17" s="101" customFormat="1" x14ac:dyDescent="0.35">
      <c r="A85" s="90"/>
      <c r="B85" s="91"/>
      <c r="C85" s="91"/>
      <c r="D85" s="91"/>
      <c r="E85" s="91"/>
      <c r="F85" s="91"/>
      <c r="G85" s="91"/>
      <c r="H85" s="91"/>
      <c r="I85" s="91"/>
      <c r="J85" s="91"/>
      <c r="K85" s="94"/>
      <c r="L85" s="94"/>
      <c r="M85" s="94"/>
      <c r="N85" s="91"/>
      <c r="O85" s="91"/>
      <c r="P85" s="91"/>
      <c r="Q85" s="91"/>
    </row>
    <row r="86" spans="1:17" s="101" customFormat="1" x14ac:dyDescent="0.35">
      <c r="A86" s="90"/>
      <c r="B86" s="91"/>
      <c r="C86" s="91"/>
      <c r="D86" s="91"/>
      <c r="E86" s="91"/>
      <c r="F86" s="91"/>
      <c r="G86" s="91"/>
      <c r="H86" s="91"/>
      <c r="I86" s="91"/>
      <c r="J86" s="91"/>
      <c r="K86" s="94"/>
      <c r="L86" s="94"/>
      <c r="M86" s="94"/>
      <c r="N86" s="91"/>
      <c r="O86" s="91"/>
      <c r="P86" s="91"/>
      <c r="Q86" s="91"/>
    </row>
    <row r="87" spans="1:17" s="101" customFormat="1" x14ac:dyDescent="0.35">
      <c r="A87" s="90"/>
      <c r="B87" s="91"/>
      <c r="C87" s="91"/>
      <c r="D87" s="91"/>
      <c r="E87" s="91"/>
      <c r="F87" s="91"/>
      <c r="G87" s="91"/>
      <c r="H87" s="91"/>
      <c r="I87" s="91"/>
      <c r="J87" s="91"/>
      <c r="K87" s="94"/>
      <c r="L87" s="94"/>
      <c r="M87" s="94"/>
      <c r="N87" s="91"/>
      <c r="O87" s="91"/>
      <c r="P87" s="91"/>
      <c r="Q87" s="91"/>
    </row>
    <row r="88" spans="1:17" s="101" customFormat="1" x14ac:dyDescent="0.35">
      <c r="A88" s="90"/>
      <c r="B88" s="91"/>
      <c r="C88" s="91"/>
      <c r="D88" s="91"/>
      <c r="E88" s="91"/>
      <c r="F88" s="91"/>
      <c r="G88" s="91"/>
      <c r="H88" s="91"/>
      <c r="I88" s="91"/>
      <c r="J88" s="91"/>
      <c r="K88" s="94"/>
      <c r="L88" s="94"/>
      <c r="M88" s="94"/>
      <c r="N88" s="91"/>
      <c r="O88" s="91"/>
      <c r="P88" s="91"/>
      <c r="Q88" s="91"/>
    </row>
    <row r="89" spans="1:17" s="101" customFormat="1" x14ac:dyDescent="0.35">
      <c r="A89" s="90"/>
      <c r="B89" s="91"/>
      <c r="C89" s="91"/>
      <c r="D89" s="91"/>
      <c r="E89" s="91"/>
      <c r="F89" s="91"/>
      <c r="G89" s="91"/>
      <c r="H89" s="91"/>
      <c r="I89" s="91"/>
      <c r="J89" s="91"/>
      <c r="K89" s="94"/>
      <c r="L89" s="94"/>
      <c r="M89" s="94"/>
      <c r="N89" s="91"/>
      <c r="O89" s="91"/>
      <c r="P89" s="91"/>
      <c r="Q89" s="91"/>
    </row>
    <row r="90" spans="1:17" s="101" customFormat="1" x14ac:dyDescent="0.35">
      <c r="A90" s="90"/>
      <c r="B90" s="91"/>
      <c r="C90" s="91"/>
      <c r="D90" s="91"/>
      <c r="E90" s="91"/>
      <c r="F90" s="91"/>
      <c r="G90" s="91"/>
      <c r="H90" s="91"/>
      <c r="I90" s="91"/>
      <c r="J90" s="91"/>
      <c r="K90" s="94"/>
      <c r="L90" s="94"/>
      <c r="M90" s="94"/>
      <c r="N90" s="91"/>
      <c r="O90" s="91"/>
      <c r="P90" s="91"/>
      <c r="Q90" s="91"/>
    </row>
    <row r="91" spans="1:17" s="101" customFormat="1" x14ac:dyDescent="0.35">
      <c r="A91" s="90"/>
      <c r="B91" s="91"/>
      <c r="C91" s="91"/>
      <c r="D91" s="91"/>
      <c r="E91" s="91"/>
      <c r="F91" s="91"/>
      <c r="G91" s="91"/>
      <c r="H91" s="91"/>
      <c r="I91" s="91"/>
      <c r="J91" s="91"/>
      <c r="K91" s="94"/>
      <c r="L91" s="94"/>
      <c r="M91" s="94"/>
      <c r="N91" s="91"/>
      <c r="O91" s="91"/>
      <c r="P91" s="91"/>
      <c r="Q91" s="91"/>
    </row>
    <row r="92" spans="1:17" s="101" customFormat="1" x14ac:dyDescent="0.35">
      <c r="A92" s="90"/>
      <c r="B92" s="91"/>
      <c r="C92" s="91"/>
      <c r="D92" s="91"/>
      <c r="E92" s="91"/>
      <c r="F92" s="91"/>
      <c r="G92" s="91"/>
      <c r="H92" s="91"/>
      <c r="I92" s="91"/>
      <c r="J92" s="91"/>
      <c r="K92" s="94"/>
      <c r="L92" s="94"/>
      <c r="M92" s="94"/>
      <c r="N92" s="91"/>
      <c r="O92" s="91"/>
      <c r="P92" s="91"/>
      <c r="Q92" s="91"/>
    </row>
    <row r="93" spans="1:17" s="101" customFormat="1" x14ac:dyDescent="0.35">
      <c r="A93" s="90"/>
      <c r="B93" s="91"/>
      <c r="C93" s="91"/>
      <c r="D93" s="91"/>
      <c r="E93" s="91"/>
      <c r="F93" s="91"/>
      <c r="G93" s="91"/>
      <c r="H93" s="91"/>
      <c r="I93" s="91"/>
      <c r="J93" s="91"/>
      <c r="K93" s="94"/>
      <c r="L93" s="94"/>
      <c r="M93" s="94"/>
      <c r="N93" s="91"/>
      <c r="O93" s="91"/>
      <c r="P93" s="91"/>
      <c r="Q93" s="91"/>
    </row>
    <row r="94" spans="1:17" s="101" customFormat="1" x14ac:dyDescent="0.35">
      <c r="A94" s="90"/>
      <c r="B94" s="91"/>
      <c r="C94" s="91"/>
      <c r="D94" s="91"/>
      <c r="E94" s="91"/>
      <c r="F94" s="91"/>
      <c r="G94" s="91"/>
      <c r="H94" s="91"/>
      <c r="I94" s="91"/>
      <c r="J94" s="91"/>
      <c r="K94" s="94"/>
      <c r="L94" s="94"/>
      <c r="M94" s="94"/>
      <c r="N94" s="91"/>
      <c r="O94" s="91"/>
      <c r="P94" s="91"/>
      <c r="Q94" s="91"/>
    </row>
    <row r="95" spans="1:17" s="101" customFormat="1" x14ac:dyDescent="0.35">
      <c r="A95" s="90"/>
      <c r="B95" s="91"/>
      <c r="C95" s="91"/>
      <c r="D95" s="91"/>
      <c r="E95" s="91"/>
      <c r="F95" s="91"/>
      <c r="G95" s="91"/>
      <c r="H95" s="91"/>
      <c r="I95" s="91"/>
      <c r="J95" s="91"/>
      <c r="K95" s="94"/>
      <c r="L95" s="94"/>
      <c r="M95" s="94"/>
      <c r="N95" s="91"/>
      <c r="O95" s="91"/>
      <c r="P95" s="91"/>
      <c r="Q95" s="91"/>
    </row>
    <row r="96" spans="1:17" s="101" customFormat="1" x14ac:dyDescent="0.35">
      <c r="A96" s="90"/>
      <c r="B96" s="91"/>
      <c r="C96" s="91"/>
      <c r="D96" s="91"/>
      <c r="E96" s="91"/>
      <c r="F96" s="91"/>
      <c r="G96" s="91"/>
      <c r="H96" s="91"/>
      <c r="I96" s="91"/>
      <c r="J96" s="91"/>
      <c r="K96" s="94"/>
      <c r="L96" s="94"/>
      <c r="M96" s="94"/>
      <c r="N96" s="91"/>
      <c r="O96" s="91"/>
      <c r="P96" s="91"/>
      <c r="Q96" s="91"/>
    </row>
    <row r="97" spans="1:17" s="101" customFormat="1" x14ac:dyDescent="0.35">
      <c r="A97" s="90"/>
      <c r="B97" s="91"/>
      <c r="C97" s="91"/>
      <c r="D97" s="91"/>
      <c r="E97" s="91"/>
      <c r="F97" s="91"/>
      <c r="G97" s="91"/>
      <c r="H97" s="91"/>
      <c r="I97" s="91"/>
      <c r="J97" s="91"/>
      <c r="K97" s="94"/>
      <c r="L97" s="94"/>
      <c r="M97" s="94"/>
      <c r="N97" s="91"/>
      <c r="O97" s="91"/>
      <c r="P97" s="91"/>
      <c r="Q97" s="91"/>
    </row>
    <row r="98" spans="1:17" s="101" customFormat="1" x14ac:dyDescent="0.35">
      <c r="A98" s="90"/>
      <c r="B98" s="91"/>
      <c r="C98" s="91"/>
      <c r="D98" s="91"/>
      <c r="E98" s="91"/>
      <c r="F98" s="91"/>
      <c r="G98" s="91"/>
      <c r="H98" s="91"/>
      <c r="I98" s="91"/>
      <c r="J98" s="91"/>
      <c r="K98" s="94"/>
      <c r="L98" s="94"/>
      <c r="M98" s="94"/>
      <c r="N98" s="91"/>
      <c r="O98" s="91"/>
      <c r="P98" s="91"/>
      <c r="Q98" s="91"/>
    </row>
    <row r="99" spans="1:17" s="101" customFormat="1" x14ac:dyDescent="0.35">
      <c r="A99" s="90"/>
      <c r="B99" s="91"/>
      <c r="C99" s="91"/>
      <c r="D99" s="91"/>
      <c r="E99" s="91"/>
      <c r="F99" s="91"/>
      <c r="G99" s="91"/>
      <c r="H99" s="91"/>
      <c r="I99" s="91"/>
      <c r="J99" s="91"/>
      <c r="K99" s="94"/>
      <c r="L99" s="94"/>
      <c r="M99" s="94"/>
      <c r="N99" s="91"/>
      <c r="O99" s="91"/>
      <c r="P99" s="91"/>
      <c r="Q99" s="91"/>
    </row>
    <row r="100" spans="1:17" s="101" customFormat="1" x14ac:dyDescent="0.35">
      <c r="A100" s="90"/>
      <c r="B100" s="91"/>
      <c r="C100" s="91"/>
      <c r="D100" s="91"/>
      <c r="E100" s="91"/>
      <c r="F100" s="91"/>
      <c r="G100" s="91"/>
      <c r="H100" s="91"/>
      <c r="I100" s="91"/>
      <c r="J100" s="91"/>
      <c r="K100" s="94"/>
      <c r="L100" s="94"/>
      <c r="M100" s="94"/>
      <c r="N100" s="91"/>
      <c r="O100" s="91"/>
      <c r="P100" s="91"/>
      <c r="Q100" s="91"/>
    </row>
    <row r="101" spans="1:17" s="101" customFormat="1" x14ac:dyDescent="0.35">
      <c r="A101" s="90"/>
      <c r="B101" s="91"/>
      <c r="C101" s="91"/>
      <c r="D101" s="91"/>
      <c r="E101" s="91"/>
      <c r="F101" s="91"/>
      <c r="G101" s="91"/>
      <c r="H101" s="91"/>
      <c r="I101" s="91"/>
      <c r="J101" s="91"/>
      <c r="K101" s="94"/>
      <c r="L101" s="94"/>
      <c r="M101" s="94"/>
      <c r="N101" s="91"/>
      <c r="O101" s="91"/>
      <c r="P101" s="91"/>
      <c r="Q101" s="91"/>
    </row>
    <row r="102" spans="1:17" s="101" customFormat="1" x14ac:dyDescent="0.35">
      <c r="A102" s="90"/>
      <c r="B102" s="91"/>
      <c r="C102" s="91"/>
      <c r="D102" s="91"/>
      <c r="E102" s="91"/>
      <c r="F102" s="91"/>
      <c r="G102" s="91"/>
      <c r="H102" s="91"/>
      <c r="I102" s="91"/>
      <c r="J102" s="91"/>
      <c r="K102" s="94"/>
      <c r="L102" s="94"/>
      <c r="M102" s="94"/>
      <c r="N102" s="91"/>
      <c r="O102" s="91"/>
      <c r="P102" s="91"/>
      <c r="Q102" s="91"/>
    </row>
    <row r="103" spans="1:17" s="101" customFormat="1" x14ac:dyDescent="0.35">
      <c r="A103" s="90"/>
      <c r="B103" s="91"/>
      <c r="C103" s="91"/>
      <c r="D103" s="91"/>
      <c r="E103" s="91"/>
      <c r="F103" s="91"/>
      <c r="G103" s="91"/>
      <c r="H103" s="91"/>
      <c r="I103" s="91"/>
      <c r="J103" s="91"/>
      <c r="K103" s="94"/>
      <c r="L103" s="94"/>
      <c r="M103" s="94"/>
      <c r="N103" s="91"/>
      <c r="O103" s="91"/>
      <c r="P103" s="91"/>
      <c r="Q103" s="91"/>
    </row>
    <row r="104" spans="1:17" s="101" customFormat="1" x14ac:dyDescent="0.35">
      <c r="A104" s="90"/>
      <c r="B104" s="91"/>
      <c r="C104" s="91"/>
      <c r="D104" s="91"/>
      <c r="E104" s="91"/>
      <c r="F104" s="91"/>
      <c r="G104" s="91"/>
      <c r="H104" s="91"/>
      <c r="I104" s="91"/>
      <c r="J104" s="91"/>
      <c r="K104" s="94"/>
      <c r="L104" s="94"/>
      <c r="M104" s="94"/>
      <c r="N104" s="91"/>
      <c r="O104" s="91"/>
      <c r="P104" s="91"/>
      <c r="Q104" s="91"/>
    </row>
    <row r="105" spans="1:17" s="101" customFormat="1" x14ac:dyDescent="0.35">
      <c r="A105" s="90"/>
      <c r="B105" s="91"/>
      <c r="C105" s="91"/>
      <c r="D105" s="91"/>
      <c r="E105" s="91"/>
      <c r="F105" s="91"/>
      <c r="G105" s="91"/>
      <c r="H105" s="91"/>
      <c r="I105" s="91"/>
      <c r="J105" s="91"/>
      <c r="K105" s="94"/>
      <c r="L105" s="94"/>
      <c r="M105" s="94"/>
      <c r="N105" s="91"/>
      <c r="O105" s="91"/>
      <c r="P105" s="91"/>
      <c r="Q105" s="91"/>
    </row>
    <row r="106" spans="1:17" s="101" customFormat="1" x14ac:dyDescent="0.35">
      <c r="A106" s="90"/>
      <c r="B106" s="91"/>
      <c r="C106" s="91"/>
      <c r="D106" s="91"/>
      <c r="E106" s="91"/>
      <c r="F106" s="91"/>
      <c r="G106" s="91"/>
      <c r="H106" s="91"/>
      <c r="I106" s="91"/>
      <c r="J106" s="91"/>
      <c r="K106" s="94"/>
      <c r="L106" s="94"/>
      <c r="M106" s="94"/>
      <c r="N106" s="91"/>
      <c r="O106" s="91"/>
      <c r="P106" s="91"/>
      <c r="Q106" s="91"/>
    </row>
    <row r="107" spans="1:17" s="101" customFormat="1" x14ac:dyDescent="0.35">
      <c r="A107" s="90"/>
      <c r="B107" s="91"/>
      <c r="C107" s="91"/>
      <c r="D107" s="91"/>
      <c r="E107" s="91"/>
      <c r="F107" s="91"/>
      <c r="G107" s="91"/>
      <c r="H107" s="91"/>
      <c r="I107" s="91"/>
      <c r="J107" s="91"/>
      <c r="K107" s="94"/>
      <c r="L107" s="94"/>
      <c r="M107" s="94"/>
      <c r="N107" s="91"/>
      <c r="O107" s="91"/>
      <c r="P107" s="91"/>
      <c r="Q107" s="91"/>
    </row>
    <row r="108" spans="1:17" s="101" customFormat="1" x14ac:dyDescent="0.35">
      <c r="A108" s="90"/>
      <c r="B108" s="91"/>
      <c r="C108" s="91"/>
      <c r="D108" s="91"/>
      <c r="E108" s="91"/>
      <c r="F108" s="91"/>
      <c r="G108" s="91"/>
      <c r="H108" s="91"/>
      <c r="I108" s="91"/>
      <c r="J108" s="91"/>
      <c r="K108" s="94"/>
      <c r="L108" s="94"/>
      <c r="M108" s="94"/>
      <c r="N108" s="91"/>
      <c r="O108" s="91"/>
      <c r="P108" s="91"/>
      <c r="Q108" s="91"/>
    </row>
    <row r="109" spans="1:17" s="101" customFormat="1" x14ac:dyDescent="0.35">
      <c r="A109" s="90"/>
      <c r="B109" s="91"/>
      <c r="C109" s="91"/>
      <c r="D109" s="91"/>
      <c r="E109" s="91"/>
      <c r="F109" s="91"/>
      <c r="G109" s="91"/>
      <c r="H109" s="91"/>
      <c r="I109" s="91"/>
      <c r="J109" s="91"/>
      <c r="K109" s="94"/>
      <c r="L109" s="94"/>
      <c r="M109" s="94"/>
      <c r="N109" s="91"/>
      <c r="O109" s="91"/>
      <c r="P109" s="91"/>
      <c r="Q109" s="91"/>
    </row>
    <row r="110" spans="1:17" s="101" customFormat="1" x14ac:dyDescent="0.35">
      <c r="A110" s="90"/>
      <c r="B110" s="91"/>
      <c r="C110" s="91"/>
      <c r="D110" s="91"/>
      <c r="E110" s="91"/>
      <c r="F110" s="91"/>
      <c r="G110" s="91"/>
      <c r="H110" s="91"/>
      <c r="I110" s="91"/>
      <c r="J110" s="91"/>
      <c r="K110" s="94"/>
      <c r="L110" s="94"/>
      <c r="M110" s="94"/>
      <c r="N110" s="91"/>
      <c r="O110" s="91"/>
      <c r="P110" s="91"/>
      <c r="Q110" s="91"/>
    </row>
    <row r="111" spans="1:17" s="101" customFormat="1" x14ac:dyDescent="0.35">
      <c r="A111" s="90"/>
      <c r="B111" s="91"/>
      <c r="C111" s="91"/>
      <c r="D111" s="91"/>
      <c r="E111" s="91"/>
      <c r="F111" s="91"/>
      <c r="G111" s="91"/>
      <c r="H111" s="91"/>
      <c r="I111" s="91"/>
      <c r="J111" s="91"/>
      <c r="K111" s="94"/>
      <c r="L111" s="94"/>
      <c r="M111" s="94"/>
      <c r="N111" s="91"/>
      <c r="O111" s="91"/>
      <c r="P111" s="91"/>
      <c r="Q111" s="91"/>
    </row>
    <row r="112" spans="1:17" s="101" customFormat="1" x14ac:dyDescent="0.35">
      <c r="A112" s="90"/>
      <c r="B112" s="91"/>
      <c r="C112" s="91"/>
      <c r="D112" s="91"/>
      <c r="E112" s="91"/>
      <c r="F112" s="91"/>
      <c r="G112" s="91"/>
      <c r="H112" s="91"/>
      <c r="I112" s="91"/>
      <c r="J112" s="91"/>
      <c r="K112" s="94"/>
      <c r="L112" s="94"/>
      <c r="M112" s="94"/>
      <c r="N112" s="91"/>
      <c r="O112" s="91"/>
      <c r="P112" s="91"/>
      <c r="Q112" s="91"/>
    </row>
    <row r="113" spans="1:17" s="101" customFormat="1" x14ac:dyDescent="0.35">
      <c r="A113" s="90"/>
      <c r="B113" s="91"/>
      <c r="C113" s="91"/>
      <c r="D113" s="91"/>
      <c r="E113" s="91"/>
      <c r="F113" s="91"/>
      <c r="G113" s="91"/>
      <c r="H113" s="91"/>
      <c r="I113" s="91"/>
      <c r="J113" s="91"/>
      <c r="K113" s="94"/>
      <c r="L113" s="94"/>
      <c r="M113" s="94"/>
      <c r="N113" s="91"/>
      <c r="O113" s="91"/>
      <c r="P113" s="91"/>
      <c r="Q113" s="91"/>
    </row>
    <row r="114" spans="1:17" s="101" customFormat="1" x14ac:dyDescent="0.35">
      <c r="A114" s="90"/>
      <c r="B114" s="91"/>
      <c r="C114" s="91"/>
      <c r="D114" s="91"/>
      <c r="E114" s="91"/>
      <c r="F114" s="91"/>
      <c r="G114" s="91"/>
      <c r="H114" s="91"/>
      <c r="I114" s="91"/>
      <c r="J114" s="91"/>
      <c r="K114" s="94"/>
      <c r="L114" s="94"/>
      <c r="M114" s="94"/>
      <c r="N114" s="91"/>
      <c r="O114" s="91"/>
      <c r="P114" s="91"/>
      <c r="Q114" s="91"/>
    </row>
    <row r="115" spans="1:17" s="101" customFormat="1" x14ac:dyDescent="0.35">
      <c r="A115" s="90"/>
      <c r="B115" s="91"/>
      <c r="C115" s="91"/>
      <c r="D115" s="91"/>
      <c r="E115" s="91"/>
      <c r="F115" s="91"/>
      <c r="G115" s="91"/>
      <c r="H115" s="91"/>
      <c r="I115" s="91"/>
      <c r="J115" s="91"/>
      <c r="K115" s="94"/>
      <c r="L115" s="94"/>
      <c r="M115" s="94"/>
      <c r="N115" s="91"/>
      <c r="O115" s="91"/>
      <c r="P115" s="91"/>
      <c r="Q115" s="91"/>
    </row>
    <row r="116" spans="1:17" s="101" customFormat="1" x14ac:dyDescent="0.35">
      <c r="A116" s="90"/>
      <c r="B116" s="91"/>
      <c r="C116" s="91"/>
      <c r="D116" s="91"/>
      <c r="E116" s="91"/>
      <c r="F116" s="91"/>
      <c r="G116" s="91"/>
      <c r="H116" s="91"/>
      <c r="I116" s="91"/>
      <c r="J116" s="91"/>
      <c r="K116" s="94"/>
      <c r="L116" s="94"/>
      <c r="M116" s="94"/>
      <c r="N116" s="91"/>
      <c r="O116" s="91"/>
      <c r="P116" s="91"/>
      <c r="Q116" s="91"/>
    </row>
    <row r="117" spans="1:17" s="101" customFormat="1" x14ac:dyDescent="0.35">
      <c r="A117" s="90"/>
      <c r="B117" s="91"/>
      <c r="C117" s="91"/>
      <c r="D117" s="91"/>
      <c r="E117" s="91"/>
      <c r="F117" s="91"/>
      <c r="G117" s="91"/>
      <c r="H117" s="91"/>
      <c r="I117" s="91"/>
      <c r="J117" s="91"/>
      <c r="K117" s="94"/>
      <c r="L117" s="94"/>
      <c r="M117" s="94"/>
      <c r="N117" s="91"/>
      <c r="O117" s="91"/>
      <c r="P117" s="91"/>
      <c r="Q117" s="91"/>
    </row>
    <row r="118" spans="1:17" s="101" customFormat="1" x14ac:dyDescent="0.35">
      <c r="A118" s="90"/>
      <c r="B118" s="91"/>
      <c r="C118" s="91"/>
      <c r="D118" s="91"/>
      <c r="E118" s="91"/>
      <c r="F118" s="91"/>
      <c r="G118" s="91"/>
      <c r="H118" s="91"/>
      <c r="I118" s="91"/>
      <c r="J118" s="91"/>
      <c r="K118" s="94"/>
      <c r="L118" s="94"/>
      <c r="M118" s="94"/>
      <c r="N118" s="91"/>
      <c r="O118" s="91"/>
      <c r="P118" s="91"/>
      <c r="Q118" s="91"/>
    </row>
    <row r="119" spans="1:17" s="101" customFormat="1" x14ac:dyDescent="0.35">
      <c r="A119" s="90"/>
      <c r="B119" s="91"/>
      <c r="C119" s="91"/>
      <c r="D119" s="91"/>
      <c r="E119" s="91"/>
      <c r="F119" s="91"/>
      <c r="G119" s="91"/>
      <c r="H119" s="91"/>
      <c r="I119" s="91"/>
      <c r="J119" s="91"/>
      <c r="K119" s="94"/>
      <c r="L119" s="94"/>
      <c r="M119" s="94"/>
      <c r="N119" s="91"/>
      <c r="O119" s="91"/>
      <c r="P119" s="91"/>
      <c r="Q119" s="91"/>
    </row>
    <row r="120" spans="1:17" s="101" customFormat="1" x14ac:dyDescent="0.35">
      <c r="A120" s="90"/>
      <c r="B120" s="91"/>
      <c r="C120" s="91"/>
      <c r="D120" s="91"/>
      <c r="E120" s="91"/>
      <c r="F120" s="91"/>
      <c r="G120" s="91"/>
      <c r="H120" s="91"/>
      <c r="I120" s="91"/>
      <c r="J120" s="91"/>
      <c r="K120" s="94"/>
      <c r="L120" s="94"/>
      <c r="M120" s="94"/>
      <c r="N120" s="91"/>
      <c r="O120" s="91"/>
      <c r="P120" s="91"/>
      <c r="Q120" s="91"/>
    </row>
    <row r="121" spans="1:17" s="101" customFormat="1" x14ac:dyDescent="0.35">
      <c r="A121" s="90"/>
      <c r="B121" s="91"/>
      <c r="C121" s="91"/>
      <c r="D121" s="91"/>
      <c r="E121" s="91"/>
      <c r="F121" s="91"/>
      <c r="G121" s="91"/>
      <c r="H121" s="91"/>
      <c r="I121" s="91"/>
      <c r="J121" s="91"/>
      <c r="K121" s="94"/>
      <c r="L121" s="94"/>
      <c r="M121" s="94"/>
      <c r="N121" s="91"/>
      <c r="O121" s="91"/>
      <c r="P121" s="91"/>
      <c r="Q121" s="91"/>
    </row>
    <row r="122" spans="1:17" s="101" customFormat="1" x14ac:dyDescent="0.35">
      <c r="A122" s="90"/>
      <c r="B122" s="91"/>
      <c r="C122" s="91"/>
      <c r="D122" s="91"/>
      <c r="E122" s="91"/>
      <c r="F122" s="91"/>
      <c r="G122" s="91"/>
      <c r="H122" s="91"/>
      <c r="I122" s="91"/>
      <c r="J122" s="91"/>
      <c r="K122" s="94"/>
      <c r="L122" s="94"/>
      <c r="M122" s="94"/>
      <c r="N122" s="91"/>
      <c r="O122" s="91"/>
      <c r="P122" s="91"/>
      <c r="Q122" s="91"/>
    </row>
    <row r="123" spans="1:17" s="101" customFormat="1" x14ac:dyDescent="0.35">
      <c r="A123" s="90"/>
      <c r="B123" s="91"/>
      <c r="C123" s="91"/>
      <c r="D123" s="91"/>
      <c r="E123" s="91"/>
      <c r="F123" s="91"/>
      <c r="G123" s="91"/>
      <c r="H123" s="91"/>
      <c r="I123" s="91"/>
      <c r="J123" s="91"/>
      <c r="K123" s="94"/>
      <c r="L123" s="94"/>
      <c r="M123" s="94"/>
      <c r="N123" s="91"/>
      <c r="O123" s="91"/>
      <c r="P123" s="91"/>
      <c r="Q123" s="91"/>
    </row>
    <row r="124" spans="1:17" s="101" customFormat="1" x14ac:dyDescent="0.35">
      <c r="A124" s="90"/>
      <c r="B124" s="91"/>
      <c r="C124" s="91"/>
      <c r="D124" s="91"/>
      <c r="E124" s="91"/>
      <c r="F124" s="91"/>
      <c r="G124" s="91"/>
      <c r="H124" s="91"/>
      <c r="I124" s="91"/>
      <c r="J124" s="91"/>
      <c r="K124" s="94"/>
      <c r="L124" s="94"/>
      <c r="M124" s="94"/>
      <c r="N124" s="91"/>
      <c r="O124" s="91"/>
      <c r="P124" s="91"/>
      <c r="Q124" s="91"/>
    </row>
    <row r="125" spans="1:17" s="101" customFormat="1" x14ac:dyDescent="0.35">
      <c r="A125" s="90"/>
      <c r="B125" s="91"/>
      <c r="C125" s="91"/>
      <c r="D125" s="91"/>
      <c r="E125" s="91"/>
      <c r="F125" s="91"/>
      <c r="G125" s="91"/>
      <c r="H125" s="91"/>
      <c r="I125" s="91"/>
      <c r="J125" s="91"/>
      <c r="K125" s="94"/>
      <c r="L125" s="94"/>
      <c r="M125" s="94"/>
      <c r="N125" s="91"/>
      <c r="O125" s="91"/>
      <c r="P125" s="91"/>
      <c r="Q125" s="91"/>
    </row>
    <row r="126" spans="1:17" s="101" customFormat="1" x14ac:dyDescent="0.35">
      <c r="A126" s="90"/>
      <c r="B126" s="91"/>
      <c r="C126" s="91"/>
      <c r="D126" s="91"/>
      <c r="E126" s="91"/>
      <c r="F126" s="91"/>
      <c r="G126" s="91"/>
      <c r="H126" s="91"/>
      <c r="I126" s="91"/>
      <c r="J126" s="91"/>
      <c r="K126" s="94"/>
      <c r="L126" s="94"/>
      <c r="M126" s="94"/>
      <c r="N126" s="91"/>
      <c r="O126" s="91"/>
      <c r="P126" s="91"/>
      <c r="Q126" s="91"/>
    </row>
    <row r="127" spans="1:17" s="101" customFormat="1" x14ac:dyDescent="0.35">
      <c r="A127" s="90"/>
      <c r="B127" s="91"/>
      <c r="C127" s="91"/>
      <c r="D127" s="91"/>
      <c r="E127" s="91"/>
      <c r="F127" s="91"/>
      <c r="G127" s="91"/>
      <c r="H127" s="91"/>
      <c r="I127" s="91"/>
      <c r="J127" s="91"/>
      <c r="K127" s="94"/>
      <c r="L127" s="94"/>
      <c r="M127" s="94"/>
      <c r="N127" s="91"/>
      <c r="O127" s="91"/>
      <c r="P127" s="91"/>
      <c r="Q127" s="91"/>
    </row>
    <row r="128" spans="1:17" s="101" customFormat="1" x14ac:dyDescent="0.35">
      <c r="A128" s="90"/>
      <c r="B128" s="91"/>
      <c r="C128" s="91"/>
      <c r="D128" s="91"/>
      <c r="E128" s="91"/>
      <c r="F128" s="91"/>
      <c r="G128" s="91"/>
      <c r="H128" s="91"/>
      <c r="I128" s="91"/>
      <c r="J128" s="91"/>
      <c r="K128" s="94"/>
      <c r="L128" s="94"/>
      <c r="M128" s="94"/>
      <c r="N128" s="91"/>
      <c r="O128" s="91"/>
      <c r="P128" s="91"/>
      <c r="Q128" s="91"/>
    </row>
    <row r="129" spans="1:17" s="101" customFormat="1" x14ac:dyDescent="0.35">
      <c r="A129" s="90"/>
      <c r="B129" s="91"/>
      <c r="C129" s="91"/>
      <c r="D129" s="91"/>
      <c r="E129" s="91"/>
      <c r="F129" s="91"/>
      <c r="G129" s="91"/>
      <c r="H129" s="91"/>
      <c r="I129" s="91"/>
      <c r="J129" s="91"/>
      <c r="K129" s="94"/>
      <c r="L129" s="94"/>
      <c r="M129" s="94"/>
      <c r="N129" s="91"/>
      <c r="O129" s="91"/>
      <c r="P129" s="91"/>
      <c r="Q129" s="91"/>
    </row>
    <row r="130" spans="1:17" s="101" customFormat="1" x14ac:dyDescent="0.35">
      <c r="A130" s="90"/>
      <c r="B130" s="91"/>
      <c r="C130" s="91"/>
      <c r="D130" s="91"/>
      <c r="E130" s="91"/>
      <c r="F130" s="91"/>
      <c r="G130" s="91"/>
      <c r="H130" s="91"/>
      <c r="I130" s="91"/>
      <c r="J130" s="91"/>
      <c r="K130" s="94"/>
      <c r="L130" s="94"/>
      <c r="M130" s="94"/>
      <c r="N130" s="91"/>
      <c r="O130" s="91"/>
      <c r="P130" s="91"/>
      <c r="Q130" s="91"/>
    </row>
    <row r="131" spans="1:17" s="101" customFormat="1" x14ac:dyDescent="0.35">
      <c r="A131" s="90"/>
      <c r="B131" s="91"/>
      <c r="C131" s="91"/>
      <c r="D131" s="91"/>
      <c r="E131" s="91"/>
      <c r="F131" s="91"/>
      <c r="G131" s="91"/>
      <c r="H131" s="91"/>
      <c r="I131" s="91"/>
      <c r="J131" s="91"/>
      <c r="K131" s="94"/>
      <c r="L131" s="94"/>
      <c r="M131" s="94"/>
      <c r="N131" s="91"/>
      <c r="O131" s="91"/>
      <c r="P131" s="91"/>
      <c r="Q131" s="91"/>
    </row>
    <row r="132" spans="1:17" s="101" customFormat="1" x14ac:dyDescent="0.35">
      <c r="A132" s="90"/>
      <c r="B132" s="91"/>
      <c r="C132" s="91"/>
      <c r="D132" s="91"/>
      <c r="E132" s="91"/>
      <c r="F132" s="91"/>
      <c r="G132" s="91"/>
      <c r="H132" s="91"/>
      <c r="I132" s="91"/>
      <c r="J132" s="91"/>
      <c r="K132" s="94"/>
      <c r="L132" s="94"/>
      <c r="M132" s="94"/>
      <c r="N132" s="91"/>
      <c r="O132" s="91"/>
      <c r="P132" s="91"/>
      <c r="Q132" s="91"/>
    </row>
    <row r="133" spans="1:17" s="101" customFormat="1" x14ac:dyDescent="0.35">
      <c r="A133" s="90"/>
      <c r="B133" s="91"/>
      <c r="C133" s="91"/>
      <c r="D133" s="91"/>
      <c r="E133" s="91"/>
      <c r="F133" s="91"/>
      <c r="G133" s="91"/>
      <c r="H133" s="91"/>
      <c r="I133" s="91"/>
      <c r="J133" s="91"/>
      <c r="K133" s="94"/>
      <c r="L133" s="94"/>
      <c r="M133" s="94"/>
      <c r="N133" s="91"/>
      <c r="O133" s="91"/>
      <c r="P133" s="91"/>
      <c r="Q133" s="91"/>
    </row>
    <row r="134" spans="1:17" s="101" customFormat="1" x14ac:dyDescent="0.35">
      <c r="A134" s="90"/>
      <c r="B134" s="91"/>
      <c r="C134" s="91"/>
      <c r="D134" s="91"/>
      <c r="E134" s="91"/>
      <c r="F134" s="91"/>
      <c r="G134" s="91"/>
      <c r="H134" s="91"/>
      <c r="I134" s="91"/>
      <c r="J134" s="91"/>
      <c r="K134" s="94"/>
      <c r="L134" s="94"/>
      <c r="M134" s="94"/>
      <c r="N134" s="91"/>
      <c r="O134" s="91"/>
      <c r="P134" s="91"/>
      <c r="Q134" s="91"/>
    </row>
    <row r="135" spans="1:17" s="101" customFormat="1" x14ac:dyDescent="0.35">
      <c r="A135" s="90"/>
      <c r="B135" s="91"/>
      <c r="C135" s="91"/>
      <c r="D135" s="91"/>
      <c r="E135" s="91"/>
      <c r="F135" s="91"/>
      <c r="G135" s="91"/>
      <c r="H135" s="91"/>
      <c r="I135" s="91"/>
      <c r="J135" s="91"/>
      <c r="K135" s="94"/>
      <c r="L135" s="94"/>
      <c r="M135" s="94"/>
      <c r="N135" s="91"/>
      <c r="O135" s="91"/>
      <c r="P135" s="91"/>
      <c r="Q135" s="91"/>
    </row>
    <row r="136" spans="1:17" s="101" customFormat="1" x14ac:dyDescent="0.35">
      <c r="A136" s="90"/>
      <c r="B136" s="91"/>
      <c r="C136" s="91"/>
      <c r="D136" s="91"/>
      <c r="E136" s="91"/>
      <c r="F136" s="91"/>
      <c r="G136" s="91"/>
      <c r="H136" s="91"/>
      <c r="I136" s="91"/>
      <c r="J136" s="91"/>
      <c r="K136" s="94"/>
      <c r="L136" s="94"/>
      <c r="M136" s="94"/>
      <c r="N136" s="91"/>
      <c r="O136" s="91"/>
      <c r="P136" s="91"/>
      <c r="Q136" s="91"/>
    </row>
    <row r="137" spans="1:17" s="101" customFormat="1" x14ac:dyDescent="0.35">
      <c r="A137" s="90"/>
      <c r="B137" s="91"/>
      <c r="C137" s="91"/>
      <c r="D137" s="91"/>
      <c r="E137" s="91"/>
      <c r="F137" s="91"/>
      <c r="G137" s="91"/>
      <c r="H137" s="91"/>
      <c r="I137" s="91"/>
      <c r="J137" s="91"/>
      <c r="K137" s="94"/>
      <c r="L137" s="94"/>
      <c r="M137" s="94"/>
      <c r="N137" s="91"/>
      <c r="O137" s="91"/>
      <c r="P137" s="91"/>
      <c r="Q137" s="91"/>
    </row>
    <row r="138" spans="1:17" s="101" customFormat="1" x14ac:dyDescent="0.35">
      <c r="A138" s="90"/>
      <c r="B138" s="91"/>
      <c r="C138" s="91"/>
      <c r="D138" s="91"/>
      <c r="E138" s="91"/>
      <c r="F138" s="91"/>
      <c r="G138" s="91"/>
      <c r="H138" s="91"/>
      <c r="I138" s="91"/>
      <c r="J138" s="91"/>
      <c r="K138" s="94"/>
      <c r="L138" s="94"/>
      <c r="M138" s="94"/>
      <c r="N138" s="91"/>
      <c r="O138" s="91"/>
      <c r="P138" s="91"/>
      <c r="Q138" s="91"/>
    </row>
    <row r="139" spans="1:17" s="101" customFormat="1" x14ac:dyDescent="0.35">
      <c r="A139" s="90"/>
      <c r="B139" s="91"/>
      <c r="C139" s="91"/>
      <c r="D139" s="91"/>
      <c r="E139" s="91"/>
      <c r="F139" s="91"/>
      <c r="G139" s="91"/>
      <c r="H139" s="91"/>
      <c r="I139" s="91"/>
      <c r="J139" s="91"/>
      <c r="K139" s="94"/>
      <c r="L139" s="94"/>
      <c r="M139" s="94"/>
      <c r="N139" s="91"/>
      <c r="O139" s="91"/>
      <c r="P139" s="91"/>
      <c r="Q139" s="91"/>
    </row>
    <row r="140" spans="1:17" s="101" customFormat="1" x14ac:dyDescent="0.35">
      <c r="A140" s="90"/>
      <c r="B140" s="91"/>
      <c r="C140" s="91"/>
      <c r="D140" s="91"/>
      <c r="E140" s="91"/>
      <c r="F140" s="91"/>
      <c r="G140" s="91"/>
      <c r="H140" s="91"/>
      <c r="I140" s="91"/>
      <c r="J140" s="91"/>
      <c r="K140" s="94"/>
      <c r="L140" s="94"/>
      <c r="M140" s="94"/>
      <c r="N140" s="91"/>
      <c r="O140" s="91"/>
      <c r="P140" s="91"/>
      <c r="Q140" s="91"/>
    </row>
    <row r="141" spans="1:17" s="101" customFormat="1" x14ac:dyDescent="0.35">
      <c r="A141" s="90"/>
      <c r="B141" s="91"/>
      <c r="C141" s="91"/>
      <c r="D141" s="91"/>
      <c r="E141" s="91"/>
      <c r="F141" s="91"/>
      <c r="G141" s="91"/>
      <c r="H141" s="91"/>
      <c r="I141" s="91"/>
      <c r="J141" s="91"/>
      <c r="K141" s="94"/>
      <c r="L141" s="94"/>
      <c r="M141" s="94"/>
      <c r="N141" s="91"/>
      <c r="O141" s="91"/>
      <c r="P141" s="91"/>
      <c r="Q141" s="91"/>
    </row>
    <row r="142" spans="1:17" s="101" customFormat="1" x14ac:dyDescent="0.35">
      <c r="A142" s="90"/>
      <c r="B142" s="91"/>
      <c r="C142" s="91"/>
      <c r="D142" s="91"/>
      <c r="E142" s="91"/>
      <c r="F142" s="91"/>
      <c r="G142" s="91"/>
      <c r="H142" s="91"/>
      <c r="I142" s="91"/>
      <c r="J142" s="91"/>
      <c r="K142" s="94"/>
      <c r="L142" s="94"/>
      <c r="M142" s="94"/>
      <c r="N142" s="91"/>
      <c r="O142" s="91"/>
      <c r="P142" s="91"/>
      <c r="Q142" s="91"/>
    </row>
    <row r="143" spans="1:17" s="101" customFormat="1" x14ac:dyDescent="0.35">
      <c r="A143" s="90"/>
      <c r="B143" s="91"/>
      <c r="C143" s="91"/>
      <c r="D143" s="91"/>
      <c r="E143" s="91"/>
      <c r="F143" s="91"/>
      <c r="G143" s="91"/>
      <c r="H143" s="91"/>
      <c r="I143" s="91"/>
      <c r="J143" s="91"/>
      <c r="K143" s="94"/>
      <c r="L143" s="94"/>
      <c r="M143" s="94"/>
      <c r="N143" s="91"/>
      <c r="O143" s="91"/>
      <c r="P143" s="91"/>
      <c r="Q143" s="91"/>
    </row>
    <row r="144" spans="1:17" s="101" customFormat="1" x14ac:dyDescent="0.35">
      <c r="A144" s="90"/>
      <c r="B144" s="91"/>
      <c r="C144" s="91"/>
      <c r="D144" s="91"/>
      <c r="E144" s="91"/>
      <c r="F144" s="91"/>
      <c r="G144" s="91"/>
      <c r="H144" s="91"/>
      <c r="I144" s="91"/>
      <c r="J144" s="91"/>
      <c r="K144" s="94"/>
      <c r="L144" s="94"/>
      <c r="M144" s="94"/>
      <c r="N144" s="91"/>
      <c r="O144" s="91"/>
      <c r="P144" s="91"/>
      <c r="Q144" s="91"/>
    </row>
    <row r="145" spans="1:17" s="101" customFormat="1" x14ac:dyDescent="0.35">
      <c r="A145" s="90"/>
      <c r="B145" s="91"/>
      <c r="C145" s="91"/>
      <c r="D145" s="91"/>
      <c r="E145" s="91"/>
      <c r="F145" s="91"/>
      <c r="G145" s="91"/>
      <c r="H145" s="91"/>
      <c r="I145" s="91"/>
      <c r="J145" s="91"/>
      <c r="K145" s="94"/>
      <c r="L145" s="94"/>
      <c r="M145" s="94"/>
      <c r="N145" s="91"/>
      <c r="O145" s="91"/>
      <c r="P145" s="91"/>
      <c r="Q145" s="91"/>
    </row>
    <row r="146" spans="1:17" s="101" customFormat="1" x14ac:dyDescent="0.35">
      <c r="A146" s="90"/>
      <c r="B146" s="91"/>
      <c r="C146" s="91"/>
      <c r="D146" s="91"/>
      <c r="E146" s="91"/>
      <c r="F146" s="91"/>
      <c r="G146" s="91"/>
      <c r="H146" s="91"/>
      <c r="I146" s="91"/>
      <c r="J146" s="91"/>
      <c r="K146" s="94"/>
      <c r="L146" s="94"/>
      <c r="M146" s="94"/>
      <c r="N146" s="91"/>
      <c r="O146" s="91"/>
      <c r="P146" s="91"/>
      <c r="Q146" s="91"/>
    </row>
    <row r="147" spans="1:17" s="101" customFormat="1" x14ac:dyDescent="0.35">
      <c r="A147" s="90"/>
      <c r="B147" s="91"/>
      <c r="C147" s="91"/>
      <c r="D147" s="91"/>
      <c r="E147" s="91"/>
      <c r="F147" s="91"/>
      <c r="G147" s="91"/>
      <c r="H147" s="91"/>
      <c r="I147" s="91"/>
      <c r="J147" s="91"/>
      <c r="K147" s="94"/>
      <c r="L147" s="94"/>
      <c r="M147" s="94"/>
      <c r="N147" s="91"/>
      <c r="O147" s="91"/>
      <c r="P147" s="91"/>
      <c r="Q147" s="91"/>
    </row>
    <row r="148" spans="1:17" s="101" customFormat="1" x14ac:dyDescent="0.35">
      <c r="A148" s="90"/>
      <c r="B148" s="91"/>
      <c r="C148" s="91"/>
      <c r="D148" s="91"/>
      <c r="E148" s="91"/>
      <c r="F148" s="91"/>
      <c r="G148" s="91"/>
      <c r="H148" s="91"/>
      <c r="I148" s="91"/>
      <c r="J148" s="91"/>
      <c r="K148" s="94"/>
      <c r="L148" s="94"/>
      <c r="M148" s="94"/>
      <c r="N148" s="91"/>
      <c r="O148" s="91"/>
      <c r="P148" s="91"/>
      <c r="Q148" s="91"/>
    </row>
    <row r="149" spans="1:17" s="101" customFormat="1" x14ac:dyDescent="0.35">
      <c r="A149" s="90"/>
      <c r="B149" s="91"/>
      <c r="C149" s="91"/>
      <c r="D149" s="91"/>
      <c r="E149" s="91"/>
      <c r="F149" s="91"/>
      <c r="G149" s="91"/>
      <c r="H149" s="91"/>
      <c r="I149" s="91"/>
      <c r="J149" s="91"/>
      <c r="K149" s="94"/>
      <c r="L149" s="94"/>
      <c r="M149" s="94"/>
      <c r="N149" s="91"/>
      <c r="O149" s="91"/>
      <c r="P149" s="91"/>
      <c r="Q149" s="91"/>
    </row>
    <row r="150" spans="1:17" s="101" customFormat="1" x14ac:dyDescent="0.35">
      <c r="A150" s="90"/>
      <c r="B150" s="91"/>
      <c r="C150" s="91"/>
      <c r="D150" s="91"/>
      <c r="E150" s="91"/>
      <c r="F150" s="91"/>
      <c r="G150" s="91"/>
      <c r="H150" s="91"/>
      <c r="I150" s="91"/>
      <c r="J150" s="91"/>
      <c r="K150" s="94"/>
      <c r="L150" s="94"/>
      <c r="M150" s="94"/>
      <c r="N150" s="91"/>
      <c r="O150" s="91"/>
      <c r="P150" s="91"/>
      <c r="Q150" s="91"/>
    </row>
    <row r="151" spans="1:17" s="101" customFormat="1" x14ac:dyDescent="0.35">
      <c r="A151" s="90"/>
      <c r="B151" s="91"/>
      <c r="C151" s="91"/>
      <c r="D151" s="91"/>
      <c r="E151" s="91"/>
      <c r="F151" s="91"/>
      <c r="G151" s="91"/>
      <c r="H151" s="91"/>
      <c r="I151" s="91"/>
      <c r="J151" s="91"/>
      <c r="K151" s="94"/>
      <c r="L151" s="94"/>
      <c r="M151" s="94"/>
      <c r="N151" s="91"/>
      <c r="O151" s="91"/>
      <c r="P151" s="91"/>
      <c r="Q151" s="91"/>
    </row>
    <row r="152" spans="1:17" s="101" customFormat="1" x14ac:dyDescent="0.35">
      <c r="A152" s="90"/>
      <c r="B152" s="91"/>
      <c r="C152" s="91"/>
      <c r="D152" s="91"/>
      <c r="E152" s="91"/>
      <c r="F152" s="91"/>
      <c r="G152" s="91"/>
      <c r="H152" s="91"/>
      <c r="I152" s="91"/>
      <c r="J152" s="91"/>
      <c r="K152" s="94"/>
      <c r="L152" s="94"/>
      <c r="M152" s="94"/>
      <c r="N152" s="91"/>
      <c r="O152" s="91"/>
      <c r="P152" s="91"/>
      <c r="Q152" s="91"/>
    </row>
    <row r="153" spans="1:17" s="101" customFormat="1" x14ac:dyDescent="0.35">
      <c r="A153" s="90"/>
      <c r="B153" s="91"/>
      <c r="C153" s="91"/>
      <c r="D153" s="91"/>
      <c r="E153" s="91"/>
      <c r="F153" s="91"/>
      <c r="G153" s="91"/>
      <c r="H153" s="91"/>
      <c r="I153" s="91"/>
      <c r="J153" s="91"/>
      <c r="K153" s="94"/>
      <c r="L153" s="94"/>
      <c r="M153" s="94"/>
      <c r="N153" s="91"/>
      <c r="O153" s="91"/>
      <c r="P153" s="91"/>
      <c r="Q153" s="91"/>
    </row>
    <row r="154" spans="1:17" s="101" customFormat="1" x14ac:dyDescent="0.35">
      <c r="A154" s="90"/>
      <c r="B154" s="91"/>
      <c r="C154" s="91"/>
      <c r="D154" s="91"/>
      <c r="E154" s="91"/>
      <c r="F154" s="91"/>
      <c r="G154" s="91"/>
      <c r="H154" s="91"/>
      <c r="I154" s="91"/>
      <c r="J154" s="91"/>
      <c r="K154" s="94"/>
      <c r="L154" s="94"/>
      <c r="M154" s="94"/>
      <c r="N154" s="91"/>
      <c r="O154" s="91"/>
      <c r="P154" s="91"/>
      <c r="Q154" s="91"/>
    </row>
    <row r="155" spans="1:17" s="101" customFormat="1" x14ac:dyDescent="0.35">
      <c r="A155" s="90"/>
      <c r="B155" s="91"/>
      <c r="C155" s="91"/>
      <c r="D155" s="91"/>
      <c r="E155" s="91"/>
      <c r="F155" s="91"/>
      <c r="G155" s="91"/>
      <c r="H155" s="91"/>
      <c r="I155" s="91"/>
      <c r="J155" s="91"/>
      <c r="K155" s="94"/>
      <c r="L155" s="94"/>
      <c r="M155" s="94"/>
      <c r="N155" s="91"/>
      <c r="O155" s="91"/>
      <c r="P155" s="91"/>
      <c r="Q155" s="91"/>
    </row>
    <row r="156" spans="1:17" s="101" customFormat="1" x14ac:dyDescent="0.35">
      <c r="A156" s="90"/>
      <c r="B156" s="91"/>
      <c r="C156" s="91"/>
      <c r="D156" s="91"/>
      <c r="E156" s="91"/>
      <c r="F156" s="91"/>
      <c r="G156" s="91"/>
      <c r="H156" s="91"/>
      <c r="I156" s="91"/>
      <c r="J156" s="91"/>
      <c r="K156" s="94"/>
      <c r="L156" s="94"/>
      <c r="M156" s="94"/>
      <c r="N156" s="91"/>
      <c r="O156" s="91"/>
      <c r="P156" s="91"/>
      <c r="Q156" s="91"/>
    </row>
    <row r="157" spans="1:17" s="101" customFormat="1" x14ac:dyDescent="0.35">
      <c r="A157" s="90"/>
      <c r="B157" s="91"/>
      <c r="C157" s="91"/>
      <c r="D157" s="91"/>
      <c r="E157" s="91"/>
      <c r="F157" s="91"/>
      <c r="G157" s="91"/>
      <c r="H157" s="91"/>
      <c r="I157" s="91"/>
      <c r="J157" s="91"/>
      <c r="K157" s="94"/>
      <c r="L157" s="94"/>
      <c r="M157" s="94"/>
      <c r="N157" s="91"/>
      <c r="O157" s="91"/>
      <c r="P157" s="91"/>
      <c r="Q157" s="91"/>
    </row>
    <row r="158" spans="1:17" s="101" customFormat="1" x14ac:dyDescent="0.35">
      <c r="A158" s="90"/>
      <c r="B158" s="91"/>
      <c r="C158" s="91"/>
      <c r="D158" s="91"/>
      <c r="E158" s="91"/>
      <c r="F158" s="91"/>
      <c r="G158" s="91"/>
      <c r="H158" s="91"/>
      <c r="I158" s="91"/>
      <c r="J158" s="91"/>
      <c r="K158" s="94"/>
      <c r="L158" s="94"/>
      <c r="M158" s="94"/>
      <c r="N158" s="91"/>
      <c r="O158" s="91"/>
      <c r="P158" s="91"/>
      <c r="Q158" s="91"/>
    </row>
    <row r="159" spans="1:17" s="101" customFormat="1" x14ac:dyDescent="0.35">
      <c r="A159" s="90"/>
      <c r="B159" s="91"/>
      <c r="C159" s="91"/>
      <c r="D159" s="91"/>
      <c r="E159" s="91"/>
      <c r="F159" s="91"/>
      <c r="G159" s="91"/>
      <c r="H159" s="91"/>
      <c r="I159" s="91"/>
      <c r="J159" s="91"/>
      <c r="K159" s="94"/>
      <c r="L159" s="94"/>
      <c r="M159" s="94"/>
      <c r="N159" s="91"/>
      <c r="O159" s="91"/>
      <c r="P159" s="91"/>
      <c r="Q159" s="91"/>
    </row>
    <row r="160" spans="1:17" s="101" customFormat="1" x14ac:dyDescent="0.35">
      <c r="A160" s="90"/>
      <c r="B160" s="91"/>
      <c r="C160" s="91"/>
      <c r="D160" s="91"/>
      <c r="E160" s="91"/>
      <c r="F160" s="91"/>
      <c r="G160" s="91"/>
      <c r="H160" s="91"/>
      <c r="I160" s="91"/>
      <c r="J160" s="91"/>
      <c r="K160" s="94"/>
      <c r="L160" s="94"/>
      <c r="M160" s="94"/>
      <c r="N160" s="91"/>
      <c r="O160" s="91"/>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c r="P188" s="91"/>
    </row>
    <row r="189" spans="1:17" x14ac:dyDescent="0.35">
      <c r="A189" s="90"/>
      <c r="B189" s="91"/>
      <c r="C189" s="91"/>
      <c r="D189" s="91"/>
      <c r="E189" s="91"/>
      <c r="F189" s="91"/>
      <c r="G189" s="91"/>
      <c r="H189" s="91"/>
      <c r="I189" s="91"/>
      <c r="J189" s="91"/>
      <c r="K189" s="91"/>
      <c r="L189" s="91"/>
      <c r="M189" s="91"/>
      <c r="N189" s="91"/>
      <c r="O189" s="91"/>
      <c r="P189" s="91"/>
    </row>
    <row r="190" spans="1:17" x14ac:dyDescent="0.35">
      <c r="A190" s="90"/>
      <c r="B190" s="91"/>
      <c r="C190" s="91"/>
      <c r="D190" s="91"/>
      <c r="E190" s="91"/>
      <c r="F190" s="91"/>
      <c r="G190" s="91"/>
      <c r="H190" s="91"/>
      <c r="I190" s="91"/>
      <c r="J190" s="91"/>
      <c r="K190" s="91"/>
      <c r="L190" s="91"/>
      <c r="M190" s="91"/>
      <c r="N190" s="91"/>
      <c r="O190" s="91"/>
      <c r="P190" s="91"/>
    </row>
    <row r="191" spans="1:17" x14ac:dyDescent="0.35">
      <c r="A191" s="90"/>
      <c r="B191" s="91"/>
      <c r="C191" s="91"/>
      <c r="D191" s="91"/>
      <c r="E191" s="91"/>
      <c r="F191" s="91"/>
      <c r="G191" s="91"/>
      <c r="H191" s="91"/>
      <c r="I191" s="91"/>
      <c r="J191" s="91"/>
      <c r="K191" s="91"/>
      <c r="L191" s="91"/>
      <c r="M191" s="91"/>
      <c r="N191" s="91"/>
      <c r="O191" s="91"/>
      <c r="P191" s="91"/>
    </row>
    <row r="192" spans="1:17" x14ac:dyDescent="0.35">
      <c r="A192" s="90"/>
      <c r="B192" s="91"/>
      <c r="C192" s="91"/>
      <c r="D192" s="91"/>
      <c r="E192" s="91"/>
      <c r="F192" s="91"/>
      <c r="G192" s="91"/>
      <c r="H192" s="91"/>
      <c r="I192" s="91"/>
      <c r="J192" s="91"/>
      <c r="K192" s="91"/>
      <c r="L192" s="91"/>
      <c r="M192" s="91"/>
      <c r="N192" s="91"/>
      <c r="O192" s="91"/>
      <c r="P192" s="91"/>
    </row>
    <row r="193" spans="1:16" x14ac:dyDescent="0.35">
      <c r="A193" s="90"/>
      <c r="B193" s="91"/>
      <c r="C193" s="91"/>
      <c r="D193" s="91"/>
      <c r="E193" s="91"/>
      <c r="F193" s="91"/>
      <c r="G193" s="91"/>
      <c r="H193" s="91"/>
      <c r="I193" s="91"/>
      <c r="J193" s="91"/>
      <c r="K193" s="91"/>
      <c r="L193" s="91"/>
      <c r="M193" s="91"/>
      <c r="N193" s="91"/>
      <c r="O193" s="91"/>
      <c r="P193" s="91"/>
    </row>
    <row r="194" spans="1:16" x14ac:dyDescent="0.35">
      <c r="A194" s="90"/>
      <c r="B194" s="91"/>
      <c r="C194" s="91"/>
      <c r="D194" s="91"/>
      <c r="E194" s="91"/>
      <c r="F194" s="91"/>
      <c r="G194" s="91"/>
      <c r="H194" s="91"/>
      <c r="I194" s="91"/>
      <c r="J194" s="91"/>
      <c r="K194" s="91"/>
      <c r="L194" s="91"/>
      <c r="M194" s="91"/>
      <c r="N194" s="91"/>
      <c r="O194" s="91"/>
      <c r="P194" s="91"/>
    </row>
    <row r="195" spans="1:16" x14ac:dyDescent="0.35">
      <c r="A195" s="90"/>
      <c r="B195" s="91"/>
      <c r="C195" s="91"/>
      <c r="D195" s="91"/>
      <c r="E195" s="91"/>
      <c r="F195" s="91"/>
      <c r="G195" s="91"/>
      <c r="H195" s="91"/>
      <c r="I195" s="91"/>
      <c r="J195" s="91"/>
      <c r="K195" s="91"/>
      <c r="L195" s="91"/>
      <c r="M195" s="91"/>
      <c r="N195" s="91"/>
      <c r="O195" s="91"/>
      <c r="P195" s="91"/>
    </row>
    <row r="196" spans="1:16" x14ac:dyDescent="0.35">
      <c r="A196" s="90"/>
      <c r="B196" s="91"/>
      <c r="C196" s="91"/>
      <c r="D196" s="91"/>
      <c r="E196" s="91"/>
      <c r="F196" s="91"/>
      <c r="G196" s="91"/>
      <c r="H196" s="91"/>
      <c r="I196" s="91"/>
      <c r="J196" s="91"/>
      <c r="K196" s="91"/>
      <c r="L196" s="91"/>
      <c r="M196" s="91"/>
      <c r="N196" s="91"/>
      <c r="O196" s="91"/>
      <c r="P196" s="91"/>
    </row>
    <row r="197" spans="1:16" x14ac:dyDescent="0.35">
      <c r="A197" s="90"/>
      <c r="B197" s="91"/>
      <c r="C197" s="91"/>
      <c r="D197" s="91"/>
      <c r="E197" s="91"/>
      <c r="F197" s="91"/>
      <c r="G197" s="91"/>
      <c r="H197" s="91"/>
      <c r="I197" s="91"/>
      <c r="J197" s="91"/>
      <c r="K197" s="91"/>
      <c r="L197" s="91"/>
      <c r="M197" s="91"/>
      <c r="N197" s="91"/>
      <c r="O197" s="91"/>
      <c r="P197" s="91"/>
    </row>
    <row r="198" spans="1:16" x14ac:dyDescent="0.35">
      <c r="A198" s="90"/>
      <c r="B198" s="91"/>
      <c r="C198" s="91"/>
      <c r="D198" s="91"/>
      <c r="E198" s="91"/>
      <c r="F198" s="91"/>
      <c r="G198" s="91"/>
      <c r="H198" s="91"/>
      <c r="I198" s="91"/>
      <c r="J198" s="91"/>
      <c r="K198" s="91"/>
      <c r="L198" s="91"/>
      <c r="M198" s="91"/>
      <c r="N198" s="91"/>
      <c r="O198" s="91"/>
      <c r="P198" s="91"/>
    </row>
    <row r="199" spans="1:16" x14ac:dyDescent="0.35">
      <c r="A199" s="90"/>
      <c r="B199" s="91"/>
      <c r="C199" s="91"/>
      <c r="D199" s="91"/>
      <c r="E199" s="91"/>
      <c r="F199" s="91"/>
      <c r="G199" s="91"/>
      <c r="H199" s="91"/>
      <c r="I199" s="91"/>
      <c r="J199" s="91"/>
      <c r="K199" s="91"/>
      <c r="L199" s="91"/>
      <c r="M199" s="91"/>
      <c r="N199" s="91"/>
      <c r="O199" s="91"/>
    </row>
    <row r="200" spans="1:16" x14ac:dyDescent="0.35">
      <c r="A200" s="90"/>
      <c r="B200" s="91"/>
      <c r="C200" s="91"/>
      <c r="D200" s="91"/>
      <c r="E200" s="91"/>
      <c r="F200" s="91"/>
      <c r="G200" s="91"/>
      <c r="H200" s="91"/>
      <c r="I200" s="91"/>
      <c r="J200" s="91"/>
      <c r="K200" s="91"/>
      <c r="L200" s="91"/>
      <c r="M200" s="91"/>
      <c r="N200" s="91"/>
      <c r="O200" s="91"/>
    </row>
    <row r="201" spans="1:16" x14ac:dyDescent="0.35">
      <c r="A201" s="90"/>
      <c r="B201" s="91"/>
      <c r="C201" s="91"/>
      <c r="D201" s="91"/>
      <c r="E201" s="91"/>
      <c r="F201" s="91"/>
      <c r="G201" s="91"/>
      <c r="H201" s="91"/>
      <c r="I201" s="91"/>
      <c r="J201" s="91"/>
      <c r="K201" s="91"/>
      <c r="L201" s="91"/>
      <c r="M201" s="91"/>
      <c r="N201" s="91"/>
      <c r="O201" s="91"/>
    </row>
    <row r="202" spans="1:16" x14ac:dyDescent="0.35">
      <c r="A202" s="90"/>
      <c r="B202" s="91"/>
      <c r="C202" s="91"/>
      <c r="D202" s="91"/>
      <c r="E202" s="91"/>
      <c r="F202" s="91"/>
      <c r="G202" s="91"/>
      <c r="H202" s="91"/>
      <c r="I202" s="91"/>
      <c r="J202" s="91"/>
      <c r="K202" s="91"/>
      <c r="L202" s="91"/>
      <c r="M202" s="91"/>
      <c r="N202" s="91"/>
      <c r="O202" s="91"/>
    </row>
    <row r="203" spans="1:16" x14ac:dyDescent="0.35">
      <c r="A203" s="90"/>
      <c r="B203" s="91"/>
      <c r="C203" s="91"/>
      <c r="D203" s="91"/>
      <c r="E203" s="91"/>
      <c r="F203" s="91"/>
      <c r="G203" s="91"/>
      <c r="H203" s="91"/>
      <c r="I203" s="91"/>
      <c r="J203" s="91"/>
      <c r="K203" s="91"/>
      <c r="L203" s="91"/>
      <c r="M203" s="91"/>
      <c r="N203" s="91"/>
      <c r="O203" s="91"/>
    </row>
    <row r="204" spans="1:16" x14ac:dyDescent="0.35">
      <c r="A204" s="90"/>
      <c r="B204" s="91"/>
      <c r="C204" s="91"/>
      <c r="D204" s="91"/>
      <c r="E204" s="91"/>
      <c r="F204" s="91"/>
      <c r="G204" s="91"/>
      <c r="H204" s="91"/>
      <c r="I204" s="91"/>
      <c r="J204" s="91"/>
      <c r="K204" s="91"/>
      <c r="L204" s="91"/>
      <c r="M204" s="91"/>
      <c r="N204" s="91"/>
      <c r="O204" s="91"/>
    </row>
    <row r="205" spans="1:16" x14ac:dyDescent="0.35">
      <c r="A205" s="90"/>
      <c r="B205" s="91"/>
      <c r="C205" s="91"/>
      <c r="D205" s="91"/>
      <c r="E205" s="91"/>
      <c r="F205" s="91"/>
      <c r="G205" s="91"/>
      <c r="H205" s="91"/>
      <c r="I205" s="91"/>
      <c r="J205" s="91"/>
      <c r="K205" s="91"/>
      <c r="L205" s="91"/>
      <c r="M205" s="91"/>
      <c r="N205" s="91"/>
      <c r="O205" s="91"/>
    </row>
    <row r="207" spans="1:16" x14ac:dyDescent="0.35">
      <c r="A207" s="92"/>
    </row>
    <row r="208" spans="1:16"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162:O205 B5:Q36 Q37:Q187 P162:P198 B37:P161">
    <cfRule type="cellIs" dxfId="4" priority="1" stopIfTrue="1" operator="equal">
      <formula>0</formula>
    </cfRule>
  </conditionalFormatting>
  <conditionalFormatting sqref="B48:J176 B5:K55">
    <cfRule type="cellIs" priority="2" stopIfTrue="1" operator="equal">
      <formula>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2"/>
  </sheetPr>
  <dimension ref="A2:Q216"/>
  <sheetViews>
    <sheetView showGridLines="0" showRowColHeaders="0" zoomScale="85" zoomScaleNormal="85" workbookViewId="0">
      <pane xSplit="1" ySplit="4" topLeftCell="B130" activePane="bottomRight" state="frozen"/>
      <selection activeCell="C35" sqref="C35"/>
      <selection pane="topRight" activeCell="C35" sqref="C35"/>
      <selection pane="bottomLeft" activeCell="C35" sqref="C35"/>
      <selection pane="bottomRight" activeCell="A4" sqref="A4:O171"/>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175</v>
      </c>
    </row>
    <row r="4" spans="1:17" s="93" customFormat="1" x14ac:dyDescent="0.35">
      <c r="A4" s="212"/>
      <c r="B4" s="212"/>
      <c r="C4" s="212"/>
      <c r="D4" s="212"/>
      <c r="E4" s="212"/>
      <c r="F4" s="212"/>
      <c r="G4" s="212"/>
      <c r="H4" s="212"/>
      <c r="I4" s="212"/>
      <c r="J4" s="212"/>
      <c r="K4" s="212"/>
      <c r="L4" s="212"/>
      <c r="M4" s="212"/>
      <c r="N4" s="212"/>
      <c r="O4" s="212"/>
      <c r="P4" s="90"/>
      <c r="Q4" s="101"/>
    </row>
    <row r="5" spans="1:17" s="93" customFormat="1" x14ac:dyDescent="0.35">
      <c r="A5" s="212"/>
      <c r="B5" s="214"/>
      <c r="C5" s="214"/>
      <c r="D5" s="214"/>
      <c r="E5" s="214"/>
      <c r="F5" s="214"/>
      <c r="G5" s="214"/>
      <c r="H5" s="214"/>
      <c r="I5" s="214"/>
      <c r="J5" s="214"/>
      <c r="K5" s="213"/>
      <c r="L5" s="213"/>
      <c r="M5" s="213"/>
      <c r="N5" s="214"/>
      <c r="O5" s="214"/>
      <c r="P5" s="91"/>
      <c r="Q5" s="91"/>
    </row>
    <row r="6" spans="1:17" s="93" customFormat="1" x14ac:dyDescent="0.35">
      <c r="A6" s="215"/>
      <c r="B6" s="216"/>
      <c r="C6" s="216"/>
      <c r="D6" s="216"/>
      <c r="E6" s="216"/>
      <c r="F6" s="216"/>
      <c r="G6" s="216"/>
      <c r="H6" s="216"/>
      <c r="I6" s="216"/>
      <c r="J6" s="216"/>
      <c r="K6" s="217"/>
      <c r="L6" s="217"/>
      <c r="M6" s="217"/>
      <c r="N6" s="216"/>
      <c r="O6" s="216"/>
      <c r="P6" s="91"/>
      <c r="Q6" s="91"/>
    </row>
    <row r="7" spans="1:17" s="93" customFormat="1" x14ac:dyDescent="0.35">
      <c r="A7" s="90"/>
      <c r="B7" s="91"/>
      <c r="C7" s="91"/>
      <c r="D7" s="91"/>
      <c r="E7" s="91"/>
      <c r="F7" s="91"/>
      <c r="G7" s="91"/>
      <c r="H7" s="91"/>
      <c r="I7" s="91"/>
      <c r="J7" s="91"/>
      <c r="K7" s="213"/>
      <c r="L7" s="213"/>
      <c r="M7" s="213"/>
      <c r="N7" s="214"/>
      <c r="O7" s="214"/>
      <c r="P7" s="91"/>
      <c r="Q7" s="91"/>
    </row>
    <row r="8" spans="1:17" s="93" customFormat="1" x14ac:dyDescent="0.35">
      <c r="A8" s="90"/>
      <c r="B8" s="91"/>
      <c r="C8" s="91"/>
      <c r="D8" s="91"/>
      <c r="E8" s="91"/>
      <c r="F8" s="91"/>
      <c r="G8" s="91"/>
      <c r="H8" s="91"/>
      <c r="I8" s="91"/>
      <c r="J8" s="91"/>
      <c r="K8" s="213"/>
      <c r="L8" s="213"/>
      <c r="M8" s="213"/>
      <c r="N8" s="214"/>
      <c r="O8" s="214"/>
      <c r="P8" s="91"/>
      <c r="Q8" s="91"/>
    </row>
    <row r="9" spans="1:17" s="93" customFormat="1" x14ac:dyDescent="0.35">
      <c r="A9" s="90"/>
      <c r="B9" s="91"/>
      <c r="C9" s="91"/>
      <c r="D9" s="91"/>
      <c r="E9" s="91"/>
      <c r="F9" s="91"/>
      <c r="G9" s="91"/>
      <c r="H9" s="91"/>
      <c r="I9" s="91"/>
      <c r="J9" s="91"/>
      <c r="K9" s="213"/>
      <c r="L9" s="213"/>
      <c r="M9" s="213"/>
      <c r="N9" s="214"/>
      <c r="O9" s="214"/>
      <c r="P9" s="91"/>
      <c r="Q9" s="91"/>
    </row>
    <row r="10" spans="1:17" s="93" customFormat="1" x14ac:dyDescent="0.35">
      <c r="A10" s="90"/>
      <c r="B10" s="91"/>
      <c r="C10" s="91"/>
      <c r="D10" s="91"/>
      <c r="E10" s="91"/>
      <c r="F10" s="91"/>
      <c r="G10" s="91"/>
      <c r="H10" s="91"/>
      <c r="I10" s="91"/>
      <c r="J10" s="91"/>
      <c r="K10" s="213"/>
      <c r="L10" s="213"/>
      <c r="M10" s="213"/>
      <c r="N10" s="214"/>
      <c r="O10" s="214"/>
      <c r="P10" s="91"/>
      <c r="Q10" s="91"/>
    </row>
    <row r="11" spans="1:17" s="93" customFormat="1" x14ac:dyDescent="0.35">
      <c r="A11" s="90"/>
      <c r="B11" s="91"/>
      <c r="C11" s="91"/>
      <c r="D11" s="91"/>
      <c r="E11" s="91"/>
      <c r="F11" s="91"/>
      <c r="G11" s="91"/>
      <c r="H11" s="91"/>
      <c r="I11" s="91"/>
      <c r="J11" s="91"/>
      <c r="K11" s="213"/>
      <c r="L11" s="213"/>
      <c r="M11" s="213"/>
      <c r="N11" s="214"/>
      <c r="O11" s="214"/>
      <c r="P11" s="91"/>
      <c r="Q11" s="91"/>
    </row>
    <row r="12" spans="1:17" s="93" customFormat="1" x14ac:dyDescent="0.35">
      <c r="A12" s="90"/>
      <c r="B12" s="91"/>
      <c r="C12" s="91"/>
      <c r="D12" s="91"/>
      <c r="E12" s="91"/>
      <c r="F12" s="91"/>
      <c r="G12" s="91"/>
      <c r="H12" s="91"/>
      <c r="I12" s="91"/>
      <c r="J12" s="91"/>
      <c r="K12" s="213"/>
      <c r="L12" s="213"/>
      <c r="M12" s="213"/>
      <c r="N12" s="214"/>
      <c r="O12" s="214"/>
      <c r="P12" s="91"/>
      <c r="Q12" s="91"/>
    </row>
    <row r="13" spans="1:17" s="93" customFormat="1" x14ac:dyDescent="0.35">
      <c r="A13" s="90"/>
      <c r="B13" s="91"/>
      <c r="C13" s="91"/>
      <c r="D13" s="91"/>
      <c r="E13" s="91"/>
      <c r="F13" s="91"/>
      <c r="G13" s="91"/>
      <c r="H13" s="91"/>
      <c r="I13" s="91"/>
      <c r="J13" s="91"/>
      <c r="K13" s="213"/>
      <c r="L13" s="213"/>
      <c r="M13" s="213"/>
      <c r="N13" s="214"/>
      <c r="O13" s="214"/>
      <c r="P13" s="91"/>
      <c r="Q13" s="91"/>
    </row>
    <row r="14" spans="1:17" s="93" customFormat="1" x14ac:dyDescent="0.35">
      <c r="A14" s="90"/>
      <c r="B14" s="91"/>
      <c r="C14" s="91"/>
      <c r="D14" s="91"/>
      <c r="E14" s="91"/>
      <c r="F14" s="91"/>
      <c r="G14" s="91"/>
      <c r="H14" s="91"/>
      <c r="I14" s="91"/>
      <c r="J14" s="91"/>
      <c r="K14" s="213"/>
      <c r="L14" s="213"/>
      <c r="M14" s="213"/>
      <c r="N14" s="214"/>
      <c r="O14" s="214"/>
      <c r="P14" s="91"/>
      <c r="Q14" s="91"/>
    </row>
    <row r="15" spans="1:17" s="93" customFormat="1" x14ac:dyDescent="0.35">
      <c r="A15" s="90"/>
      <c r="B15" s="91"/>
      <c r="C15" s="91"/>
      <c r="D15" s="91"/>
      <c r="E15" s="91"/>
      <c r="F15" s="91"/>
      <c r="G15" s="91"/>
      <c r="H15" s="91"/>
      <c r="I15" s="91"/>
      <c r="J15" s="91"/>
      <c r="K15" s="213"/>
      <c r="L15" s="213"/>
      <c r="M15" s="213"/>
      <c r="N15" s="214"/>
      <c r="O15" s="214"/>
      <c r="P15" s="91"/>
      <c r="Q15" s="91"/>
    </row>
    <row r="16" spans="1:17" s="93" customFormat="1" x14ac:dyDescent="0.35">
      <c r="A16" s="90"/>
      <c r="B16" s="91"/>
      <c r="C16" s="91"/>
      <c r="D16" s="91"/>
      <c r="E16" s="91"/>
      <c r="F16" s="91"/>
      <c r="G16" s="91"/>
      <c r="H16" s="91"/>
      <c r="I16" s="91"/>
      <c r="J16" s="91"/>
      <c r="K16" s="213"/>
      <c r="L16" s="213"/>
      <c r="M16" s="213"/>
      <c r="N16" s="214"/>
      <c r="O16" s="214"/>
      <c r="P16" s="91"/>
      <c r="Q16" s="91"/>
    </row>
    <row r="17" spans="1:17" s="93" customFormat="1" x14ac:dyDescent="0.35">
      <c r="A17" s="90"/>
      <c r="B17" s="91"/>
      <c r="C17" s="91"/>
      <c r="D17" s="91"/>
      <c r="E17" s="91"/>
      <c r="F17" s="91"/>
      <c r="G17" s="91"/>
      <c r="H17" s="91"/>
      <c r="I17" s="91"/>
      <c r="J17" s="91"/>
      <c r="K17" s="213"/>
      <c r="L17" s="213"/>
      <c r="M17" s="213"/>
      <c r="N17" s="214"/>
      <c r="O17" s="214"/>
      <c r="P17" s="91"/>
      <c r="Q17" s="91"/>
    </row>
    <row r="18" spans="1:17" s="93" customFormat="1" x14ac:dyDescent="0.35">
      <c r="A18" s="90"/>
      <c r="B18" s="91"/>
      <c r="C18" s="91"/>
      <c r="D18" s="91"/>
      <c r="E18" s="91"/>
      <c r="F18" s="91"/>
      <c r="G18" s="91"/>
      <c r="H18" s="91"/>
      <c r="I18" s="91"/>
      <c r="J18" s="91"/>
      <c r="K18" s="213"/>
      <c r="L18" s="213"/>
      <c r="M18" s="213"/>
      <c r="N18" s="214"/>
      <c r="O18" s="214"/>
      <c r="P18" s="91"/>
      <c r="Q18" s="91"/>
    </row>
    <row r="19" spans="1:17" s="93" customFormat="1" x14ac:dyDescent="0.35">
      <c r="A19" s="90"/>
      <c r="B19" s="91"/>
      <c r="C19" s="91"/>
      <c r="D19" s="91"/>
      <c r="E19" s="91"/>
      <c r="F19" s="91"/>
      <c r="G19" s="91"/>
      <c r="H19" s="91"/>
      <c r="I19" s="91"/>
      <c r="J19" s="91"/>
      <c r="K19" s="213"/>
      <c r="L19" s="213"/>
      <c r="M19" s="213"/>
      <c r="N19" s="214"/>
      <c r="O19" s="214"/>
      <c r="P19" s="91"/>
      <c r="Q19" s="91"/>
    </row>
    <row r="20" spans="1:17" s="93" customFormat="1" x14ac:dyDescent="0.35">
      <c r="A20" s="90"/>
      <c r="B20" s="91"/>
      <c r="C20" s="91"/>
      <c r="D20" s="91"/>
      <c r="E20" s="91"/>
      <c r="F20" s="91"/>
      <c r="G20" s="91"/>
      <c r="H20" s="91"/>
      <c r="I20" s="91"/>
      <c r="J20" s="91"/>
      <c r="K20" s="213"/>
      <c r="L20" s="213"/>
      <c r="M20" s="213"/>
      <c r="N20" s="214"/>
      <c r="O20" s="214"/>
      <c r="P20" s="91"/>
      <c r="Q20" s="91"/>
    </row>
    <row r="21" spans="1:17" s="93" customFormat="1" x14ac:dyDescent="0.35">
      <c r="A21" s="90"/>
      <c r="B21" s="91"/>
      <c r="C21" s="91"/>
      <c r="D21" s="91"/>
      <c r="E21" s="91"/>
      <c r="F21" s="91"/>
      <c r="G21" s="91"/>
      <c r="H21" s="91"/>
      <c r="I21" s="91"/>
      <c r="J21" s="91"/>
      <c r="K21" s="213"/>
      <c r="L21" s="213"/>
      <c r="M21" s="213"/>
      <c r="N21" s="214"/>
      <c r="O21" s="214"/>
      <c r="P21" s="91"/>
      <c r="Q21" s="91"/>
    </row>
    <row r="22" spans="1:17" s="93" customFormat="1" x14ac:dyDescent="0.35">
      <c r="A22" s="90"/>
      <c r="B22" s="91"/>
      <c r="C22" s="91"/>
      <c r="D22" s="91"/>
      <c r="E22" s="91"/>
      <c r="F22" s="91"/>
      <c r="G22" s="91"/>
      <c r="H22" s="91"/>
      <c r="I22" s="91"/>
      <c r="J22" s="91"/>
      <c r="K22" s="213"/>
      <c r="L22" s="213"/>
      <c r="M22" s="213"/>
      <c r="N22" s="214"/>
      <c r="O22" s="214"/>
      <c r="P22" s="91"/>
      <c r="Q22" s="91"/>
    </row>
    <row r="23" spans="1:17" s="93" customFormat="1" x14ac:dyDescent="0.35">
      <c r="A23" s="90"/>
      <c r="B23" s="91"/>
      <c r="C23" s="91"/>
      <c r="D23" s="91"/>
      <c r="E23" s="91"/>
      <c r="F23" s="91"/>
      <c r="G23" s="91"/>
      <c r="H23" s="91"/>
      <c r="I23" s="91"/>
      <c r="J23" s="91"/>
      <c r="K23" s="213"/>
      <c r="L23" s="213"/>
      <c r="M23" s="213"/>
      <c r="N23" s="214"/>
      <c r="O23" s="214"/>
      <c r="P23" s="91"/>
      <c r="Q23" s="91"/>
    </row>
    <row r="24" spans="1:17" s="93" customFormat="1" x14ac:dyDescent="0.35">
      <c r="A24" s="90"/>
      <c r="B24" s="91"/>
      <c r="C24" s="91"/>
      <c r="D24" s="91"/>
      <c r="E24" s="91"/>
      <c r="F24" s="91"/>
      <c r="G24" s="91"/>
      <c r="H24" s="91"/>
      <c r="I24" s="91"/>
      <c r="J24" s="91"/>
      <c r="K24" s="213"/>
      <c r="L24" s="213"/>
      <c r="M24" s="213"/>
      <c r="N24" s="214"/>
      <c r="O24" s="214"/>
      <c r="P24" s="91"/>
      <c r="Q24" s="91"/>
    </row>
    <row r="25" spans="1:17" s="93" customFormat="1" x14ac:dyDescent="0.35">
      <c r="A25" s="90"/>
      <c r="B25" s="91"/>
      <c r="C25" s="91"/>
      <c r="D25" s="91"/>
      <c r="E25" s="91"/>
      <c r="F25" s="91"/>
      <c r="G25" s="91"/>
      <c r="H25" s="91"/>
      <c r="I25" s="91"/>
      <c r="J25" s="91"/>
      <c r="K25" s="213"/>
      <c r="L25" s="213"/>
      <c r="M25" s="213"/>
      <c r="N25" s="214"/>
      <c r="O25" s="214"/>
      <c r="P25" s="91"/>
      <c r="Q25" s="91"/>
    </row>
    <row r="26" spans="1:17" s="93" customFormat="1" x14ac:dyDescent="0.35">
      <c r="A26" s="90"/>
      <c r="B26" s="91"/>
      <c r="C26" s="91"/>
      <c r="D26" s="91"/>
      <c r="E26" s="91"/>
      <c r="F26" s="91"/>
      <c r="G26" s="91"/>
      <c r="H26" s="91"/>
      <c r="I26" s="91"/>
      <c r="J26" s="91"/>
      <c r="K26" s="213"/>
      <c r="L26" s="213"/>
      <c r="M26" s="213"/>
      <c r="N26" s="214"/>
      <c r="O26" s="214"/>
      <c r="P26" s="91"/>
      <c r="Q26" s="91"/>
    </row>
    <row r="27" spans="1:17" s="93" customFormat="1" x14ac:dyDescent="0.35">
      <c r="A27" s="90"/>
      <c r="B27" s="91"/>
      <c r="C27" s="91"/>
      <c r="D27" s="91"/>
      <c r="E27" s="91"/>
      <c r="F27" s="91"/>
      <c r="G27" s="91"/>
      <c r="H27" s="91"/>
      <c r="I27" s="91"/>
      <c r="J27" s="91"/>
      <c r="K27" s="213"/>
      <c r="L27" s="213"/>
      <c r="M27" s="213"/>
      <c r="N27" s="214"/>
      <c r="O27" s="214"/>
      <c r="P27" s="91"/>
      <c r="Q27" s="91"/>
    </row>
    <row r="28" spans="1:17" s="93" customFormat="1" x14ac:dyDescent="0.35">
      <c r="A28" s="90"/>
      <c r="B28" s="91"/>
      <c r="C28" s="91"/>
      <c r="D28" s="91"/>
      <c r="E28" s="91"/>
      <c r="F28" s="91"/>
      <c r="G28" s="91"/>
      <c r="H28" s="91"/>
      <c r="I28" s="91"/>
      <c r="J28" s="91"/>
      <c r="K28" s="213"/>
      <c r="L28" s="213"/>
      <c r="M28" s="213"/>
      <c r="N28" s="214"/>
      <c r="O28" s="214"/>
      <c r="P28" s="91"/>
      <c r="Q28" s="91"/>
    </row>
    <row r="29" spans="1:17" s="93" customFormat="1" x14ac:dyDescent="0.35">
      <c r="A29" s="90"/>
      <c r="B29" s="91"/>
      <c r="C29" s="91"/>
      <c r="D29" s="91"/>
      <c r="E29" s="91"/>
      <c r="F29" s="91"/>
      <c r="G29" s="91"/>
      <c r="H29" s="91"/>
      <c r="I29" s="91"/>
      <c r="J29" s="91"/>
      <c r="K29" s="213"/>
      <c r="L29" s="213"/>
      <c r="M29" s="213"/>
      <c r="N29" s="214"/>
      <c r="O29" s="214"/>
      <c r="P29" s="91"/>
      <c r="Q29" s="91"/>
    </row>
    <row r="30" spans="1:17" s="93" customFormat="1" x14ac:dyDescent="0.35">
      <c r="A30" s="90"/>
      <c r="B30" s="91"/>
      <c r="C30" s="91"/>
      <c r="D30" s="91"/>
      <c r="E30" s="91"/>
      <c r="F30" s="91"/>
      <c r="G30" s="91"/>
      <c r="H30" s="91"/>
      <c r="I30" s="91"/>
      <c r="J30" s="91"/>
      <c r="K30" s="213"/>
      <c r="L30" s="213"/>
      <c r="M30" s="213"/>
      <c r="N30" s="214"/>
      <c r="O30" s="214"/>
      <c r="P30" s="91"/>
      <c r="Q30" s="91"/>
    </row>
    <row r="31" spans="1:17" s="93" customFormat="1" x14ac:dyDescent="0.35">
      <c r="A31" s="90"/>
      <c r="B31" s="91"/>
      <c r="C31" s="91"/>
      <c r="D31" s="91"/>
      <c r="E31" s="91"/>
      <c r="F31" s="91"/>
      <c r="G31" s="91"/>
      <c r="H31" s="91"/>
      <c r="I31" s="91"/>
      <c r="J31" s="91"/>
      <c r="K31" s="213"/>
      <c r="L31" s="213"/>
      <c r="M31" s="213"/>
      <c r="N31" s="214"/>
      <c r="O31" s="214"/>
      <c r="P31" s="91"/>
      <c r="Q31" s="91"/>
    </row>
    <row r="32" spans="1:17" s="93" customFormat="1" x14ac:dyDescent="0.35">
      <c r="A32" s="90"/>
      <c r="B32" s="91"/>
      <c r="C32" s="91"/>
      <c r="D32" s="91"/>
      <c r="E32" s="91"/>
      <c r="F32" s="91"/>
      <c r="G32" s="91"/>
      <c r="H32" s="91"/>
      <c r="I32" s="91"/>
      <c r="J32" s="91"/>
      <c r="K32" s="213"/>
      <c r="L32" s="213"/>
      <c r="M32" s="213"/>
      <c r="N32" s="214"/>
      <c r="O32" s="214"/>
      <c r="P32" s="91"/>
      <c r="Q32" s="91"/>
    </row>
    <row r="33" spans="1:17" s="93" customFormat="1" x14ac:dyDescent="0.35">
      <c r="A33" s="90"/>
      <c r="B33" s="91"/>
      <c r="C33" s="91"/>
      <c r="D33" s="91"/>
      <c r="E33" s="91"/>
      <c r="F33" s="91"/>
      <c r="G33" s="91"/>
      <c r="H33" s="91"/>
      <c r="I33" s="91"/>
      <c r="J33" s="91"/>
      <c r="K33" s="213"/>
      <c r="L33" s="213"/>
      <c r="M33" s="213"/>
      <c r="N33" s="214"/>
      <c r="O33" s="214"/>
      <c r="P33" s="91"/>
      <c r="Q33" s="91"/>
    </row>
    <row r="34" spans="1:17" s="93" customFormat="1" x14ac:dyDescent="0.35">
      <c r="A34" s="90"/>
      <c r="B34" s="91"/>
      <c r="C34" s="91"/>
      <c r="D34" s="91"/>
      <c r="E34" s="91"/>
      <c r="F34" s="91"/>
      <c r="G34" s="91"/>
      <c r="H34" s="91"/>
      <c r="I34" s="91"/>
      <c r="J34" s="91"/>
      <c r="K34" s="213"/>
      <c r="L34" s="213"/>
      <c r="M34" s="213"/>
      <c r="N34" s="214"/>
      <c r="O34" s="214"/>
      <c r="P34" s="91"/>
      <c r="Q34" s="91"/>
    </row>
    <row r="35" spans="1:17" s="93" customFormat="1" x14ac:dyDescent="0.35">
      <c r="A35" s="90"/>
      <c r="B35" s="91"/>
      <c r="C35" s="91"/>
      <c r="D35" s="91"/>
      <c r="E35" s="91"/>
      <c r="F35" s="91"/>
      <c r="G35" s="91"/>
      <c r="H35" s="91"/>
      <c r="I35" s="91"/>
      <c r="J35" s="91"/>
      <c r="K35" s="213"/>
      <c r="L35" s="213"/>
      <c r="M35" s="213"/>
      <c r="N35" s="214"/>
      <c r="O35" s="214"/>
      <c r="P35" s="91"/>
      <c r="Q35" s="91"/>
    </row>
    <row r="36" spans="1:17" s="93" customFormat="1" x14ac:dyDescent="0.35">
      <c r="A36" s="90"/>
      <c r="B36" s="91"/>
      <c r="C36" s="91"/>
      <c r="D36" s="91"/>
      <c r="E36" s="91"/>
      <c r="F36" s="91"/>
      <c r="G36" s="91"/>
      <c r="H36" s="91"/>
      <c r="I36" s="91"/>
      <c r="J36" s="91"/>
      <c r="K36" s="213"/>
      <c r="L36" s="213"/>
      <c r="M36" s="213"/>
      <c r="N36" s="214"/>
      <c r="O36" s="214"/>
      <c r="P36" s="91"/>
      <c r="Q36" s="91"/>
    </row>
    <row r="37" spans="1:17" s="93" customFormat="1" x14ac:dyDescent="0.35">
      <c r="A37" s="90"/>
      <c r="B37" s="91"/>
      <c r="C37" s="91"/>
      <c r="D37" s="91"/>
      <c r="E37" s="91"/>
      <c r="F37" s="91"/>
      <c r="G37" s="91"/>
      <c r="H37" s="91"/>
      <c r="I37" s="91"/>
      <c r="J37" s="91"/>
      <c r="K37" s="213"/>
      <c r="L37" s="213"/>
      <c r="M37" s="213"/>
      <c r="N37" s="214"/>
      <c r="O37" s="214"/>
      <c r="P37" s="91"/>
      <c r="Q37" s="91"/>
    </row>
    <row r="38" spans="1:17" s="93" customFormat="1" x14ac:dyDescent="0.35">
      <c r="A38" s="90"/>
      <c r="B38" s="91"/>
      <c r="C38" s="91"/>
      <c r="D38" s="91"/>
      <c r="E38" s="91"/>
      <c r="F38" s="91"/>
      <c r="G38" s="91"/>
      <c r="H38" s="91"/>
      <c r="I38" s="91"/>
      <c r="J38" s="91"/>
      <c r="K38" s="213"/>
      <c r="L38" s="213"/>
      <c r="M38" s="213"/>
      <c r="N38" s="214"/>
      <c r="O38" s="214"/>
      <c r="P38" s="91"/>
      <c r="Q38" s="91"/>
    </row>
    <row r="39" spans="1:17" s="93" customFormat="1" x14ac:dyDescent="0.35">
      <c r="A39" s="90"/>
      <c r="B39" s="91"/>
      <c r="C39" s="91"/>
      <c r="D39" s="91"/>
      <c r="E39" s="91"/>
      <c r="F39" s="91"/>
      <c r="G39" s="91"/>
      <c r="H39" s="91"/>
      <c r="I39" s="91"/>
      <c r="J39" s="91"/>
      <c r="K39" s="213"/>
      <c r="L39" s="213"/>
      <c r="M39" s="213"/>
      <c r="N39" s="214"/>
      <c r="O39" s="214"/>
      <c r="P39" s="91"/>
      <c r="Q39" s="91"/>
    </row>
    <row r="40" spans="1:17" s="93" customFormat="1" x14ac:dyDescent="0.35">
      <c r="A40" s="215"/>
      <c r="B40" s="216"/>
      <c r="C40" s="216"/>
      <c r="D40" s="216"/>
      <c r="E40" s="216"/>
      <c r="F40" s="216"/>
      <c r="G40" s="216"/>
      <c r="H40" s="216"/>
      <c r="I40" s="216"/>
      <c r="J40" s="216"/>
      <c r="K40" s="217"/>
      <c r="L40" s="217"/>
      <c r="M40" s="217"/>
      <c r="N40" s="216"/>
      <c r="O40" s="216"/>
      <c r="P40" s="91"/>
      <c r="Q40" s="91"/>
    </row>
    <row r="41" spans="1:17" s="93" customFormat="1" x14ac:dyDescent="0.35">
      <c r="A41" s="90"/>
      <c r="B41" s="91"/>
      <c r="C41" s="91"/>
      <c r="D41" s="91"/>
      <c r="E41" s="91"/>
      <c r="F41" s="91"/>
      <c r="G41" s="91"/>
      <c r="H41" s="91"/>
      <c r="I41" s="91"/>
      <c r="J41" s="91"/>
      <c r="K41" s="213"/>
      <c r="L41" s="213"/>
      <c r="M41" s="213"/>
      <c r="N41" s="214"/>
      <c r="O41" s="214"/>
      <c r="P41" s="91"/>
      <c r="Q41" s="91"/>
    </row>
    <row r="42" spans="1:17" s="93" customFormat="1" x14ac:dyDescent="0.35">
      <c r="A42" s="90"/>
      <c r="B42" s="91"/>
      <c r="C42" s="91"/>
      <c r="D42" s="91"/>
      <c r="E42" s="91"/>
      <c r="F42" s="91"/>
      <c r="G42" s="91"/>
      <c r="H42" s="91"/>
      <c r="I42" s="91"/>
      <c r="J42" s="91"/>
      <c r="K42" s="213"/>
      <c r="L42" s="213"/>
      <c r="M42" s="213"/>
      <c r="N42" s="214"/>
      <c r="O42" s="214"/>
      <c r="P42" s="91"/>
      <c r="Q42" s="91"/>
    </row>
    <row r="43" spans="1:17" s="93" customFormat="1" x14ac:dyDescent="0.35">
      <c r="A43" s="90"/>
      <c r="B43" s="91"/>
      <c r="C43" s="91"/>
      <c r="D43" s="91"/>
      <c r="E43" s="91"/>
      <c r="F43" s="91"/>
      <c r="G43" s="91"/>
      <c r="H43" s="91"/>
      <c r="I43" s="91"/>
      <c r="J43" s="91"/>
      <c r="K43" s="213"/>
      <c r="L43" s="213"/>
      <c r="M43" s="213"/>
      <c r="N43" s="214"/>
      <c r="O43" s="214"/>
      <c r="P43" s="91"/>
      <c r="Q43" s="91"/>
    </row>
    <row r="44" spans="1:17" s="93" customFormat="1" x14ac:dyDescent="0.35">
      <c r="A44" s="90"/>
      <c r="B44" s="91"/>
      <c r="C44" s="91"/>
      <c r="D44" s="91"/>
      <c r="E44" s="91"/>
      <c r="F44" s="91"/>
      <c r="G44" s="91"/>
      <c r="H44" s="91"/>
      <c r="I44" s="91"/>
      <c r="J44" s="91"/>
      <c r="K44" s="213"/>
      <c r="L44" s="213"/>
      <c r="M44" s="213"/>
      <c r="N44" s="214"/>
      <c r="O44" s="214"/>
      <c r="P44" s="91"/>
      <c r="Q44" s="91"/>
    </row>
    <row r="45" spans="1:17" s="93" customFormat="1" x14ac:dyDescent="0.35">
      <c r="A45" s="90"/>
      <c r="B45" s="91"/>
      <c r="C45" s="91"/>
      <c r="D45" s="91"/>
      <c r="E45" s="91"/>
      <c r="F45" s="91"/>
      <c r="G45" s="91"/>
      <c r="H45" s="91"/>
      <c r="I45" s="91"/>
      <c r="J45" s="91"/>
      <c r="K45" s="213"/>
      <c r="L45" s="213"/>
      <c r="M45" s="213"/>
      <c r="N45" s="214"/>
      <c r="O45" s="214"/>
      <c r="P45" s="91"/>
      <c r="Q45" s="91"/>
    </row>
    <row r="46" spans="1:17" s="93" customFormat="1" x14ac:dyDescent="0.35">
      <c r="A46" s="90"/>
      <c r="B46" s="91"/>
      <c r="C46" s="91"/>
      <c r="D46" s="91"/>
      <c r="E46" s="91"/>
      <c r="F46" s="91"/>
      <c r="G46" s="91"/>
      <c r="H46" s="91"/>
      <c r="I46" s="91"/>
      <c r="J46" s="91"/>
      <c r="K46" s="213"/>
      <c r="L46" s="213"/>
      <c r="M46" s="213"/>
      <c r="N46" s="214"/>
      <c r="O46" s="214"/>
      <c r="P46" s="91"/>
      <c r="Q46" s="91"/>
    </row>
    <row r="47" spans="1:17" s="93" customFormat="1" x14ac:dyDescent="0.35">
      <c r="A47" s="90"/>
      <c r="B47" s="91"/>
      <c r="C47" s="91"/>
      <c r="D47" s="91"/>
      <c r="E47" s="91"/>
      <c r="F47" s="91"/>
      <c r="G47" s="91"/>
      <c r="H47" s="91"/>
      <c r="I47" s="91"/>
      <c r="J47" s="91"/>
      <c r="K47" s="213"/>
      <c r="L47" s="213"/>
      <c r="M47" s="213"/>
      <c r="N47" s="214"/>
      <c r="O47" s="214"/>
      <c r="P47" s="91"/>
      <c r="Q47" s="91"/>
    </row>
    <row r="48" spans="1:17" s="93" customFormat="1" x14ac:dyDescent="0.35">
      <c r="A48" s="90"/>
      <c r="B48" s="91"/>
      <c r="C48" s="91"/>
      <c r="D48" s="91"/>
      <c r="E48" s="91"/>
      <c r="F48" s="91"/>
      <c r="G48" s="91"/>
      <c r="H48" s="91"/>
      <c r="I48" s="91"/>
      <c r="J48" s="91"/>
      <c r="K48" s="213"/>
      <c r="L48" s="213"/>
      <c r="M48" s="213"/>
      <c r="N48" s="214"/>
      <c r="O48" s="214"/>
      <c r="P48" s="91"/>
      <c r="Q48" s="91"/>
    </row>
    <row r="49" spans="1:17" s="93" customFormat="1" x14ac:dyDescent="0.35">
      <c r="A49" s="90"/>
      <c r="B49" s="91"/>
      <c r="C49" s="91"/>
      <c r="D49" s="91"/>
      <c r="E49" s="91"/>
      <c r="F49" s="91"/>
      <c r="G49" s="91"/>
      <c r="H49" s="91"/>
      <c r="I49" s="91"/>
      <c r="J49" s="91"/>
      <c r="K49" s="213"/>
      <c r="L49" s="213"/>
      <c r="M49" s="213"/>
      <c r="N49" s="214"/>
      <c r="O49" s="214"/>
      <c r="P49" s="91"/>
      <c r="Q49" s="91"/>
    </row>
    <row r="50" spans="1:17" s="93" customFormat="1" x14ac:dyDescent="0.35">
      <c r="A50" s="90"/>
      <c r="B50" s="91"/>
      <c r="C50" s="91"/>
      <c r="D50" s="91"/>
      <c r="E50" s="91"/>
      <c r="F50" s="91"/>
      <c r="G50" s="91"/>
      <c r="H50" s="91"/>
      <c r="I50" s="91"/>
      <c r="J50" s="91"/>
      <c r="K50" s="213"/>
      <c r="L50" s="213"/>
      <c r="M50" s="213"/>
      <c r="N50" s="214"/>
      <c r="O50" s="214"/>
      <c r="P50" s="91"/>
      <c r="Q50" s="91"/>
    </row>
    <row r="51" spans="1:17" s="93" customFormat="1" x14ac:dyDescent="0.35">
      <c r="A51" s="90"/>
      <c r="B51" s="91"/>
      <c r="C51" s="91"/>
      <c r="D51" s="91"/>
      <c r="E51" s="91"/>
      <c r="F51" s="91"/>
      <c r="G51" s="91"/>
      <c r="H51" s="91"/>
      <c r="I51" s="91"/>
      <c r="J51" s="91"/>
      <c r="K51" s="213"/>
      <c r="L51" s="213"/>
      <c r="M51" s="213"/>
      <c r="N51" s="214"/>
      <c r="O51" s="214"/>
      <c r="P51" s="91"/>
      <c r="Q51" s="91"/>
    </row>
    <row r="52" spans="1:17" s="93" customFormat="1" x14ac:dyDescent="0.35">
      <c r="A52" s="90"/>
      <c r="B52" s="91"/>
      <c r="C52" s="91"/>
      <c r="D52" s="91"/>
      <c r="E52" s="91"/>
      <c r="F52" s="91"/>
      <c r="G52" s="91"/>
      <c r="H52" s="91"/>
      <c r="I52" s="91"/>
      <c r="J52" s="91"/>
      <c r="K52" s="213"/>
      <c r="L52" s="213"/>
      <c r="M52" s="213"/>
      <c r="N52" s="214"/>
      <c r="O52" s="214"/>
      <c r="P52" s="91"/>
      <c r="Q52" s="91"/>
    </row>
    <row r="53" spans="1:17" s="93" customFormat="1" x14ac:dyDescent="0.35">
      <c r="A53" s="90"/>
      <c r="B53" s="91"/>
      <c r="C53" s="91"/>
      <c r="D53" s="91"/>
      <c r="E53" s="91"/>
      <c r="F53" s="91"/>
      <c r="G53" s="91"/>
      <c r="H53" s="91"/>
      <c r="I53" s="91"/>
      <c r="J53" s="91"/>
      <c r="K53" s="213"/>
      <c r="L53" s="213"/>
      <c r="M53" s="213"/>
      <c r="N53" s="214"/>
      <c r="O53" s="214"/>
      <c r="P53" s="91"/>
      <c r="Q53" s="91"/>
    </row>
    <row r="54" spans="1:17" s="93" customFormat="1" x14ac:dyDescent="0.35">
      <c r="A54" s="90"/>
      <c r="B54" s="91"/>
      <c r="C54" s="91"/>
      <c r="D54" s="91"/>
      <c r="E54" s="91"/>
      <c r="F54" s="91"/>
      <c r="G54" s="91"/>
      <c r="H54" s="91"/>
      <c r="I54" s="91"/>
      <c r="J54" s="91"/>
      <c r="K54" s="213"/>
      <c r="L54" s="213"/>
      <c r="M54" s="213"/>
      <c r="N54" s="214"/>
      <c r="O54" s="214"/>
      <c r="P54" s="91"/>
      <c r="Q54" s="91"/>
    </row>
    <row r="55" spans="1:17" s="93" customFormat="1" x14ac:dyDescent="0.35">
      <c r="A55" s="90"/>
      <c r="B55" s="91"/>
      <c r="C55" s="91"/>
      <c r="D55" s="91"/>
      <c r="E55" s="91"/>
      <c r="F55" s="91"/>
      <c r="G55" s="91"/>
      <c r="H55" s="91"/>
      <c r="I55" s="91"/>
      <c r="J55" s="91"/>
      <c r="K55" s="213"/>
      <c r="L55" s="213"/>
      <c r="M55" s="213"/>
      <c r="N55" s="214"/>
      <c r="O55" s="214"/>
      <c r="P55" s="91"/>
      <c r="Q55" s="91"/>
    </row>
    <row r="56" spans="1:17" s="93" customFormat="1" x14ac:dyDescent="0.35">
      <c r="A56" s="90"/>
      <c r="B56" s="91"/>
      <c r="C56" s="91"/>
      <c r="D56" s="91"/>
      <c r="E56" s="91"/>
      <c r="F56" s="91"/>
      <c r="G56" s="91"/>
      <c r="H56" s="91"/>
      <c r="I56" s="91"/>
      <c r="J56" s="91"/>
      <c r="K56" s="213"/>
      <c r="L56" s="213"/>
      <c r="M56" s="213"/>
      <c r="N56" s="214"/>
      <c r="O56" s="214"/>
      <c r="P56" s="91"/>
      <c r="Q56" s="91"/>
    </row>
    <row r="57" spans="1:17" s="93" customFormat="1" x14ac:dyDescent="0.35">
      <c r="A57" s="90"/>
      <c r="B57" s="91"/>
      <c r="C57" s="91"/>
      <c r="D57" s="91"/>
      <c r="E57" s="91"/>
      <c r="F57" s="91"/>
      <c r="G57" s="91"/>
      <c r="H57" s="91"/>
      <c r="I57" s="91"/>
      <c r="J57" s="91"/>
      <c r="K57" s="213"/>
      <c r="L57" s="213"/>
      <c r="M57" s="213"/>
      <c r="N57" s="214"/>
      <c r="O57" s="214"/>
      <c r="P57" s="91"/>
      <c r="Q57" s="91"/>
    </row>
    <row r="58" spans="1:17" s="93" customFormat="1" x14ac:dyDescent="0.35">
      <c r="A58" s="90"/>
      <c r="B58" s="91"/>
      <c r="C58" s="91"/>
      <c r="D58" s="91"/>
      <c r="E58" s="91"/>
      <c r="F58" s="91"/>
      <c r="G58" s="91"/>
      <c r="H58" s="91"/>
      <c r="I58" s="91"/>
      <c r="J58" s="91"/>
      <c r="K58" s="213"/>
      <c r="L58" s="213"/>
      <c r="M58" s="213"/>
      <c r="N58" s="214"/>
      <c r="O58" s="214"/>
      <c r="P58" s="91"/>
      <c r="Q58" s="91"/>
    </row>
    <row r="59" spans="1:17" s="93" customFormat="1" x14ac:dyDescent="0.35">
      <c r="A59" s="90"/>
      <c r="B59" s="91"/>
      <c r="C59" s="91"/>
      <c r="D59" s="91"/>
      <c r="E59" s="91"/>
      <c r="F59" s="91"/>
      <c r="G59" s="91"/>
      <c r="H59" s="91"/>
      <c r="I59" s="91"/>
      <c r="J59" s="91"/>
      <c r="K59" s="213"/>
      <c r="L59" s="213"/>
      <c r="M59" s="213"/>
      <c r="N59" s="214"/>
      <c r="O59" s="214"/>
      <c r="P59" s="91"/>
      <c r="Q59" s="91"/>
    </row>
    <row r="60" spans="1:17" s="93" customFormat="1" x14ac:dyDescent="0.35">
      <c r="A60" s="90"/>
      <c r="B60" s="91"/>
      <c r="C60" s="91"/>
      <c r="D60" s="91"/>
      <c r="E60" s="91"/>
      <c r="F60" s="91"/>
      <c r="G60" s="91"/>
      <c r="H60" s="91"/>
      <c r="I60" s="91"/>
      <c r="J60" s="91"/>
      <c r="K60" s="213"/>
      <c r="L60" s="213"/>
      <c r="M60" s="213"/>
      <c r="N60" s="214"/>
      <c r="O60" s="214"/>
      <c r="P60" s="91"/>
      <c r="Q60" s="91"/>
    </row>
    <row r="61" spans="1:17" s="93" customFormat="1" x14ac:dyDescent="0.35">
      <c r="A61" s="90"/>
      <c r="B61" s="91"/>
      <c r="C61" s="91"/>
      <c r="D61" s="91"/>
      <c r="E61" s="91"/>
      <c r="F61" s="91"/>
      <c r="G61" s="91"/>
      <c r="H61" s="91"/>
      <c r="I61" s="91"/>
      <c r="J61" s="91"/>
      <c r="K61" s="213"/>
      <c r="L61" s="213"/>
      <c r="M61" s="213"/>
      <c r="N61" s="214"/>
      <c r="O61" s="214"/>
      <c r="P61" s="91"/>
      <c r="Q61" s="91"/>
    </row>
    <row r="62" spans="1:17" s="93" customFormat="1" x14ac:dyDescent="0.35">
      <c r="A62" s="90"/>
      <c r="B62" s="91"/>
      <c r="C62" s="91"/>
      <c r="D62" s="91"/>
      <c r="E62" s="91"/>
      <c r="F62" s="91"/>
      <c r="G62" s="91"/>
      <c r="H62" s="91"/>
      <c r="I62" s="91"/>
      <c r="J62" s="91"/>
      <c r="K62" s="213"/>
      <c r="L62" s="213"/>
      <c r="M62" s="213"/>
      <c r="N62" s="214"/>
      <c r="O62" s="214"/>
      <c r="P62" s="91"/>
      <c r="Q62" s="91"/>
    </row>
    <row r="63" spans="1:17" s="93" customFormat="1" x14ac:dyDescent="0.35">
      <c r="A63" s="90"/>
      <c r="B63" s="91"/>
      <c r="C63" s="91"/>
      <c r="D63" s="91"/>
      <c r="E63" s="91"/>
      <c r="F63" s="91"/>
      <c r="G63" s="91"/>
      <c r="H63" s="91"/>
      <c r="I63" s="91"/>
      <c r="J63" s="91"/>
      <c r="K63" s="213"/>
      <c r="L63" s="213"/>
      <c r="M63" s="213"/>
      <c r="N63" s="214"/>
      <c r="O63" s="214"/>
      <c r="P63" s="91"/>
      <c r="Q63" s="91"/>
    </row>
    <row r="64" spans="1:17" s="93" customFormat="1" x14ac:dyDescent="0.35">
      <c r="A64" s="90"/>
      <c r="B64" s="91"/>
      <c r="C64" s="91"/>
      <c r="D64" s="91"/>
      <c r="E64" s="91"/>
      <c r="F64" s="91"/>
      <c r="G64" s="91"/>
      <c r="H64" s="91"/>
      <c r="I64" s="91"/>
      <c r="J64" s="91"/>
      <c r="K64" s="213"/>
      <c r="L64" s="213"/>
      <c r="M64" s="213"/>
      <c r="N64" s="214"/>
      <c r="O64" s="214"/>
      <c r="P64" s="91"/>
      <c r="Q64" s="91"/>
    </row>
    <row r="65" spans="1:17" s="93" customFormat="1" x14ac:dyDescent="0.35">
      <c r="A65" s="90"/>
      <c r="B65" s="91"/>
      <c r="C65" s="91"/>
      <c r="D65" s="91"/>
      <c r="E65" s="91"/>
      <c r="F65" s="91"/>
      <c r="G65" s="91"/>
      <c r="H65" s="91"/>
      <c r="I65" s="91"/>
      <c r="J65" s="91"/>
      <c r="K65" s="213"/>
      <c r="L65" s="213"/>
      <c r="M65" s="213"/>
      <c r="N65" s="214"/>
      <c r="O65" s="214"/>
      <c r="P65" s="91"/>
      <c r="Q65" s="91"/>
    </row>
    <row r="66" spans="1:17" s="93" customFormat="1" x14ac:dyDescent="0.35">
      <c r="A66" s="90"/>
      <c r="B66" s="91"/>
      <c r="C66" s="91"/>
      <c r="D66" s="91"/>
      <c r="E66" s="91"/>
      <c r="F66" s="91"/>
      <c r="G66" s="91"/>
      <c r="H66" s="91"/>
      <c r="I66" s="91"/>
      <c r="J66" s="91"/>
      <c r="K66" s="213"/>
      <c r="L66" s="213"/>
      <c r="M66" s="213"/>
      <c r="N66" s="214"/>
      <c r="O66" s="214"/>
      <c r="P66" s="91"/>
      <c r="Q66" s="91"/>
    </row>
    <row r="67" spans="1:17" s="93" customFormat="1" x14ac:dyDescent="0.35">
      <c r="A67" s="90"/>
      <c r="B67" s="91"/>
      <c r="C67" s="91"/>
      <c r="D67" s="91"/>
      <c r="E67" s="91"/>
      <c r="F67" s="91"/>
      <c r="G67" s="91"/>
      <c r="H67" s="91"/>
      <c r="I67" s="91"/>
      <c r="J67" s="91"/>
      <c r="K67" s="213"/>
      <c r="L67" s="213"/>
      <c r="M67" s="213"/>
      <c r="N67" s="214"/>
      <c r="O67" s="214"/>
      <c r="P67" s="91"/>
      <c r="Q67" s="91"/>
    </row>
    <row r="68" spans="1:17" s="93" customFormat="1" x14ac:dyDescent="0.35">
      <c r="A68" s="90"/>
      <c r="B68" s="91"/>
      <c r="C68" s="91"/>
      <c r="D68" s="91"/>
      <c r="E68" s="91"/>
      <c r="F68" s="91"/>
      <c r="G68" s="91"/>
      <c r="H68" s="91"/>
      <c r="I68" s="91"/>
      <c r="J68" s="91"/>
      <c r="K68" s="213"/>
      <c r="L68" s="213"/>
      <c r="M68" s="213"/>
      <c r="N68" s="214"/>
      <c r="O68" s="214"/>
      <c r="P68" s="91"/>
      <c r="Q68" s="91"/>
    </row>
    <row r="69" spans="1:17" s="93" customFormat="1" x14ac:dyDescent="0.35">
      <c r="A69" s="90"/>
      <c r="B69" s="91"/>
      <c r="C69" s="91"/>
      <c r="D69" s="91"/>
      <c r="E69" s="91"/>
      <c r="F69" s="91"/>
      <c r="G69" s="91"/>
      <c r="H69" s="91"/>
      <c r="I69" s="91"/>
      <c r="J69" s="91"/>
      <c r="K69" s="213"/>
      <c r="L69" s="213"/>
      <c r="M69" s="213"/>
      <c r="N69" s="214"/>
      <c r="O69" s="214"/>
      <c r="P69" s="91"/>
      <c r="Q69" s="91"/>
    </row>
    <row r="70" spans="1:17" s="93" customFormat="1" x14ac:dyDescent="0.35">
      <c r="A70" s="90"/>
      <c r="B70" s="91"/>
      <c r="C70" s="91"/>
      <c r="D70" s="91"/>
      <c r="E70" s="91"/>
      <c r="F70" s="91"/>
      <c r="G70" s="91"/>
      <c r="H70" s="91"/>
      <c r="I70" s="91"/>
      <c r="J70" s="91"/>
      <c r="K70" s="213"/>
      <c r="L70" s="213"/>
      <c r="M70" s="213"/>
      <c r="N70" s="214"/>
      <c r="O70" s="214"/>
      <c r="P70" s="91"/>
      <c r="Q70" s="91"/>
    </row>
    <row r="71" spans="1:17" s="93" customFormat="1" x14ac:dyDescent="0.35">
      <c r="A71" s="90"/>
      <c r="B71" s="91"/>
      <c r="C71" s="91"/>
      <c r="D71" s="91"/>
      <c r="E71" s="91"/>
      <c r="F71" s="91"/>
      <c r="G71" s="91"/>
      <c r="H71" s="91"/>
      <c r="I71" s="91"/>
      <c r="J71" s="91"/>
      <c r="K71" s="213"/>
      <c r="L71" s="213"/>
      <c r="M71" s="213"/>
      <c r="N71" s="214"/>
      <c r="O71" s="214"/>
      <c r="P71" s="91"/>
      <c r="Q71" s="91"/>
    </row>
    <row r="72" spans="1:17" s="93" customFormat="1" x14ac:dyDescent="0.35">
      <c r="A72" s="90"/>
      <c r="B72" s="91"/>
      <c r="C72" s="91"/>
      <c r="D72" s="91"/>
      <c r="E72" s="91"/>
      <c r="F72" s="91"/>
      <c r="G72" s="91"/>
      <c r="H72" s="91"/>
      <c r="I72" s="91"/>
      <c r="J72" s="91"/>
      <c r="K72" s="213"/>
      <c r="L72" s="213"/>
      <c r="M72" s="213"/>
      <c r="N72" s="214"/>
      <c r="O72" s="214"/>
      <c r="P72" s="91"/>
      <c r="Q72" s="91"/>
    </row>
    <row r="73" spans="1:17" s="93" customFormat="1" x14ac:dyDescent="0.35">
      <c r="A73" s="215"/>
      <c r="B73" s="216"/>
      <c r="C73" s="216"/>
      <c r="D73" s="216"/>
      <c r="E73" s="216"/>
      <c r="F73" s="216"/>
      <c r="G73" s="216"/>
      <c r="H73" s="216"/>
      <c r="I73" s="216"/>
      <c r="J73" s="216"/>
      <c r="K73" s="217"/>
      <c r="L73" s="217"/>
      <c r="M73" s="217"/>
      <c r="N73" s="216"/>
      <c r="O73" s="216"/>
      <c r="P73" s="91"/>
      <c r="Q73" s="91"/>
    </row>
    <row r="74" spans="1:17" s="93" customFormat="1" x14ac:dyDescent="0.35">
      <c r="A74" s="90"/>
      <c r="B74" s="91"/>
      <c r="C74" s="91"/>
      <c r="D74" s="91"/>
      <c r="E74" s="91"/>
      <c r="F74" s="91"/>
      <c r="G74" s="91"/>
      <c r="H74" s="91"/>
      <c r="I74" s="91"/>
      <c r="J74" s="91"/>
      <c r="K74" s="213"/>
      <c r="L74" s="213"/>
      <c r="M74" s="213"/>
      <c r="N74" s="214"/>
      <c r="O74" s="214"/>
      <c r="P74" s="91"/>
      <c r="Q74" s="91"/>
    </row>
    <row r="75" spans="1:17" s="93" customFormat="1" x14ac:dyDescent="0.35">
      <c r="A75" s="90"/>
      <c r="B75" s="91"/>
      <c r="C75" s="91"/>
      <c r="D75" s="91"/>
      <c r="E75" s="91"/>
      <c r="F75" s="91"/>
      <c r="G75" s="91"/>
      <c r="H75" s="91"/>
      <c r="I75" s="91"/>
      <c r="J75" s="91"/>
      <c r="K75" s="213"/>
      <c r="L75" s="213"/>
      <c r="M75" s="213"/>
      <c r="N75" s="214"/>
      <c r="O75" s="214"/>
      <c r="P75" s="91"/>
      <c r="Q75" s="91"/>
    </row>
    <row r="76" spans="1:17" s="93" customFormat="1" x14ac:dyDescent="0.35">
      <c r="A76" s="90"/>
      <c r="B76" s="91"/>
      <c r="C76" s="91"/>
      <c r="D76" s="91"/>
      <c r="E76" s="91"/>
      <c r="F76" s="91"/>
      <c r="G76" s="91"/>
      <c r="H76" s="91"/>
      <c r="I76" s="91"/>
      <c r="J76" s="91"/>
      <c r="K76" s="213"/>
      <c r="L76" s="213"/>
      <c r="M76" s="213"/>
      <c r="N76" s="214"/>
      <c r="O76" s="214"/>
      <c r="P76" s="91"/>
      <c r="Q76" s="91"/>
    </row>
    <row r="77" spans="1:17" s="93" customFormat="1" x14ac:dyDescent="0.35">
      <c r="A77" s="90"/>
      <c r="B77" s="91"/>
      <c r="C77" s="91"/>
      <c r="D77" s="91"/>
      <c r="E77" s="91"/>
      <c r="F77" s="91"/>
      <c r="G77" s="91"/>
      <c r="H77" s="91"/>
      <c r="I77" s="91"/>
      <c r="J77" s="91"/>
      <c r="K77" s="213"/>
      <c r="L77" s="213"/>
      <c r="M77" s="213"/>
      <c r="N77" s="214"/>
      <c r="O77" s="214"/>
      <c r="P77" s="91"/>
      <c r="Q77" s="91"/>
    </row>
    <row r="78" spans="1:17" s="93" customFormat="1" x14ac:dyDescent="0.35">
      <c r="A78" s="90"/>
      <c r="B78" s="91"/>
      <c r="C78" s="91"/>
      <c r="D78" s="91"/>
      <c r="E78" s="91"/>
      <c r="F78" s="91"/>
      <c r="G78" s="91"/>
      <c r="H78" s="91"/>
      <c r="I78" s="91"/>
      <c r="J78" s="91"/>
      <c r="K78" s="213"/>
      <c r="L78" s="213"/>
      <c r="M78" s="213"/>
      <c r="N78" s="214"/>
      <c r="O78" s="214"/>
      <c r="P78" s="91"/>
      <c r="Q78" s="91"/>
    </row>
    <row r="79" spans="1:17" s="93" customFormat="1" x14ac:dyDescent="0.35">
      <c r="A79" s="90"/>
      <c r="B79" s="91"/>
      <c r="C79" s="91"/>
      <c r="D79" s="91"/>
      <c r="E79" s="91"/>
      <c r="F79" s="91"/>
      <c r="G79" s="91"/>
      <c r="H79" s="91"/>
      <c r="I79" s="91"/>
      <c r="J79" s="91"/>
      <c r="K79" s="213"/>
      <c r="L79" s="213"/>
      <c r="M79" s="213"/>
      <c r="N79" s="214"/>
      <c r="O79" s="214"/>
      <c r="P79" s="91"/>
      <c r="Q79" s="91"/>
    </row>
    <row r="80" spans="1:17" s="93" customFormat="1" x14ac:dyDescent="0.35">
      <c r="A80" s="90"/>
      <c r="B80" s="91"/>
      <c r="C80" s="91"/>
      <c r="D80" s="91"/>
      <c r="E80" s="91"/>
      <c r="F80" s="91"/>
      <c r="G80" s="91"/>
      <c r="H80" s="91"/>
      <c r="I80" s="91"/>
      <c r="J80" s="91"/>
      <c r="K80" s="213"/>
      <c r="L80" s="213"/>
      <c r="M80" s="213"/>
      <c r="N80" s="214"/>
      <c r="O80" s="214"/>
      <c r="P80" s="91"/>
      <c r="Q80" s="91"/>
    </row>
    <row r="81" spans="1:17" s="93" customFormat="1" x14ac:dyDescent="0.35">
      <c r="A81" s="90"/>
      <c r="B81" s="91"/>
      <c r="C81" s="91"/>
      <c r="D81" s="91"/>
      <c r="E81" s="91"/>
      <c r="F81" s="91"/>
      <c r="G81" s="91"/>
      <c r="H81" s="91"/>
      <c r="I81" s="91"/>
      <c r="J81" s="91"/>
      <c r="K81" s="213"/>
      <c r="L81" s="213"/>
      <c r="M81" s="213"/>
      <c r="N81" s="214"/>
      <c r="O81" s="214"/>
      <c r="P81" s="91"/>
      <c r="Q81" s="91"/>
    </row>
    <row r="82" spans="1:17" s="93" customFormat="1" x14ac:dyDescent="0.35">
      <c r="A82" s="90"/>
      <c r="B82" s="91"/>
      <c r="C82" s="91"/>
      <c r="D82" s="91"/>
      <c r="E82" s="91"/>
      <c r="F82" s="91"/>
      <c r="G82" s="91"/>
      <c r="H82" s="91"/>
      <c r="I82" s="91"/>
      <c r="J82" s="91"/>
      <c r="K82" s="213"/>
      <c r="L82" s="213"/>
      <c r="M82" s="213"/>
      <c r="N82" s="214"/>
      <c r="O82" s="214"/>
      <c r="P82" s="91"/>
      <c r="Q82" s="91"/>
    </row>
    <row r="83" spans="1:17" s="93" customFormat="1" x14ac:dyDescent="0.35">
      <c r="A83" s="90"/>
      <c r="B83" s="91"/>
      <c r="C83" s="91"/>
      <c r="D83" s="91"/>
      <c r="E83" s="91"/>
      <c r="F83" s="91"/>
      <c r="G83" s="91"/>
      <c r="H83" s="91"/>
      <c r="I83" s="91"/>
      <c r="J83" s="91"/>
      <c r="K83" s="213"/>
      <c r="L83" s="213"/>
      <c r="M83" s="213"/>
      <c r="N83" s="214"/>
      <c r="O83" s="214"/>
      <c r="P83" s="91"/>
      <c r="Q83" s="91"/>
    </row>
    <row r="84" spans="1:17" s="93" customFormat="1" x14ac:dyDescent="0.35">
      <c r="A84" s="90"/>
      <c r="B84" s="91"/>
      <c r="C84" s="91"/>
      <c r="D84" s="91"/>
      <c r="E84" s="91"/>
      <c r="F84" s="91"/>
      <c r="G84" s="91"/>
      <c r="H84" s="91"/>
      <c r="I84" s="91"/>
      <c r="J84" s="91"/>
      <c r="K84" s="213"/>
      <c r="L84" s="213"/>
      <c r="M84" s="213"/>
      <c r="N84" s="214"/>
      <c r="O84" s="214"/>
      <c r="P84" s="91"/>
      <c r="Q84" s="91"/>
    </row>
    <row r="85" spans="1:17" s="93" customFormat="1" x14ac:dyDescent="0.35">
      <c r="A85" s="90"/>
      <c r="B85" s="91"/>
      <c r="C85" s="91"/>
      <c r="D85" s="91"/>
      <c r="E85" s="91"/>
      <c r="F85" s="91"/>
      <c r="G85" s="91"/>
      <c r="H85" s="91"/>
      <c r="I85" s="91"/>
      <c r="J85" s="91"/>
      <c r="K85" s="213"/>
      <c r="L85" s="213"/>
      <c r="M85" s="213"/>
      <c r="N85" s="214"/>
      <c r="O85" s="214"/>
      <c r="P85" s="91"/>
      <c r="Q85" s="91"/>
    </row>
    <row r="86" spans="1:17" s="93" customFormat="1" x14ac:dyDescent="0.35">
      <c r="A86" s="90"/>
      <c r="B86" s="91"/>
      <c r="C86" s="91"/>
      <c r="D86" s="91"/>
      <c r="E86" s="91"/>
      <c r="F86" s="91"/>
      <c r="G86" s="91"/>
      <c r="H86" s="91"/>
      <c r="I86" s="91"/>
      <c r="J86" s="91"/>
      <c r="K86" s="213"/>
      <c r="L86" s="213"/>
      <c r="M86" s="213"/>
      <c r="N86" s="214"/>
      <c r="O86" s="214"/>
      <c r="P86" s="91"/>
      <c r="Q86" s="91"/>
    </row>
    <row r="87" spans="1:17" s="93" customFormat="1" x14ac:dyDescent="0.35">
      <c r="A87" s="90"/>
      <c r="B87" s="91"/>
      <c r="C87" s="91"/>
      <c r="D87" s="91"/>
      <c r="E87" s="91"/>
      <c r="F87" s="91"/>
      <c r="G87" s="91"/>
      <c r="H87" s="91"/>
      <c r="I87" s="91"/>
      <c r="J87" s="91"/>
      <c r="K87" s="213"/>
      <c r="L87" s="213"/>
      <c r="M87" s="213"/>
      <c r="N87" s="214"/>
      <c r="O87" s="214"/>
      <c r="P87" s="91"/>
      <c r="Q87" s="91"/>
    </row>
    <row r="88" spans="1:17" s="93" customFormat="1" x14ac:dyDescent="0.35">
      <c r="A88" s="90"/>
      <c r="B88" s="91"/>
      <c r="C88" s="91"/>
      <c r="D88" s="91"/>
      <c r="E88" s="91"/>
      <c r="F88" s="91"/>
      <c r="G88" s="91"/>
      <c r="H88" s="91"/>
      <c r="I88" s="91"/>
      <c r="J88" s="91"/>
      <c r="K88" s="213"/>
      <c r="L88" s="213"/>
      <c r="M88" s="213"/>
      <c r="N88" s="214"/>
      <c r="O88" s="214"/>
      <c r="P88" s="91"/>
      <c r="Q88" s="91"/>
    </row>
    <row r="89" spans="1:17" s="93" customFormat="1" x14ac:dyDescent="0.35">
      <c r="A89" s="90"/>
      <c r="B89" s="91"/>
      <c r="C89" s="91"/>
      <c r="D89" s="91"/>
      <c r="E89" s="91"/>
      <c r="F89" s="91"/>
      <c r="G89" s="91"/>
      <c r="H89" s="91"/>
      <c r="I89" s="91"/>
      <c r="J89" s="91"/>
      <c r="K89" s="213"/>
      <c r="L89" s="213"/>
      <c r="M89" s="213"/>
      <c r="N89" s="214"/>
      <c r="O89" s="214"/>
      <c r="P89" s="91"/>
      <c r="Q89" s="91"/>
    </row>
    <row r="90" spans="1:17" s="93" customFormat="1" x14ac:dyDescent="0.35">
      <c r="A90" s="90"/>
      <c r="B90" s="91"/>
      <c r="C90" s="91"/>
      <c r="D90" s="91"/>
      <c r="E90" s="91"/>
      <c r="F90" s="91"/>
      <c r="G90" s="91"/>
      <c r="H90" s="91"/>
      <c r="I90" s="91"/>
      <c r="J90" s="91"/>
      <c r="K90" s="213"/>
      <c r="L90" s="213"/>
      <c r="M90" s="213"/>
      <c r="N90" s="214"/>
      <c r="O90" s="214"/>
      <c r="P90" s="91"/>
      <c r="Q90" s="91"/>
    </row>
    <row r="91" spans="1:17" s="93" customFormat="1" x14ac:dyDescent="0.35">
      <c r="A91" s="90"/>
      <c r="B91" s="91"/>
      <c r="C91" s="91"/>
      <c r="D91" s="91"/>
      <c r="E91" s="91"/>
      <c r="F91" s="91"/>
      <c r="G91" s="91"/>
      <c r="H91" s="91"/>
      <c r="I91" s="91"/>
      <c r="J91" s="91"/>
      <c r="K91" s="213"/>
      <c r="L91" s="213"/>
      <c r="M91" s="213"/>
      <c r="N91" s="214"/>
      <c r="O91" s="214"/>
      <c r="P91" s="91"/>
      <c r="Q91" s="91"/>
    </row>
    <row r="92" spans="1:17" s="93" customFormat="1" x14ac:dyDescent="0.35">
      <c r="A92" s="215"/>
      <c r="B92" s="216"/>
      <c r="C92" s="216"/>
      <c r="D92" s="216"/>
      <c r="E92" s="216"/>
      <c r="F92" s="216"/>
      <c r="G92" s="216"/>
      <c r="H92" s="216"/>
      <c r="I92" s="216"/>
      <c r="J92" s="216"/>
      <c r="K92" s="217"/>
      <c r="L92" s="217"/>
      <c r="M92" s="217"/>
      <c r="N92" s="216"/>
      <c r="O92" s="216"/>
      <c r="P92" s="91"/>
      <c r="Q92" s="91"/>
    </row>
    <row r="93" spans="1:17" s="93" customFormat="1" x14ac:dyDescent="0.35">
      <c r="A93" s="90"/>
      <c r="B93" s="91"/>
      <c r="C93" s="91"/>
      <c r="D93" s="91"/>
      <c r="E93" s="91"/>
      <c r="F93" s="91"/>
      <c r="G93" s="91"/>
      <c r="H93" s="91"/>
      <c r="I93" s="91"/>
      <c r="J93" s="91"/>
      <c r="K93" s="213"/>
      <c r="L93" s="213"/>
      <c r="M93" s="213"/>
      <c r="N93" s="214"/>
      <c r="O93" s="214"/>
      <c r="P93" s="91"/>
      <c r="Q93" s="91"/>
    </row>
    <row r="94" spans="1:17" s="93" customFormat="1" x14ac:dyDescent="0.35">
      <c r="A94" s="90"/>
      <c r="B94" s="91"/>
      <c r="C94" s="91"/>
      <c r="D94" s="91"/>
      <c r="E94" s="91"/>
      <c r="F94" s="91"/>
      <c r="G94" s="91"/>
      <c r="H94" s="91"/>
      <c r="I94" s="91"/>
      <c r="J94" s="91"/>
      <c r="K94" s="213"/>
      <c r="L94" s="213"/>
      <c r="M94" s="213"/>
      <c r="N94" s="214"/>
      <c r="O94" s="214"/>
      <c r="P94" s="91"/>
      <c r="Q94" s="91"/>
    </row>
    <row r="95" spans="1:17" s="93" customFormat="1" x14ac:dyDescent="0.35">
      <c r="A95" s="90"/>
      <c r="B95" s="91"/>
      <c r="C95" s="91"/>
      <c r="D95" s="91"/>
      <c r="E95" s="91"/>
      <c r="F95" s="91"/>
      <c r="G95" s="91"/>
      <c r="H95" s="91"/>
      <c r="I95" s="91"/>
      <c r="J95" s="91"/>
      <c r="K95" s="213"/>
      <c r="L95" s="213"/>
      <c r="M95" s="213"/>
      <c r="N95" s="214"/>
      <c r="O95" s="214"/>
      <c r="P95" s="91"/>
      <c r="Q95" s="91"/>
    </row>
    <row r="96" spans="1:17" s="93" customFormat="1" x14ac:dyDescent="0.35">
      <c r="A96" s="90"/>
      <c r="B96" s="91"/>
      <c r="C96" s="91"/>
      <c r="D96" s="91"/>
      <c r="E96" s="91"/>
      <c r="F96" s="91"/>
      <c r="G96" s="91"/>
      <c r="H96" s="91"/>
      <c r="I96" s="91"/>
      <c r="J96" s="91"/>
      <c r="K96" s="213"/>
      <c r="L96" s="213"/>
      <c r="M96" s="213"/>
      <c r="N96" s="214"/>
      <c r="O96" s="214"/>
      <c r="P96" s="91"/>
      <c r="Q96" s="91"/>
    </row>
    <row r="97" spans="1:17" s="93" customFormat="1" x14ac:dyDescent="0.35">
      <c r="A97" s="90"/>
      <c r="B97" s="91"/>
      <c r="C97" s="91"/>
      <c r="D97" s="91"/>
      <c r="E97" s="91"/>
      <c r="F97" s="91"/>
      <c r="G97" s="91"/>
      <c r="H97" s="91"/>
      <c r="I97" s="91"/>
      <c r="J97" s="91"/>
      <c r="K97" s="213"/>
      <c r="L97" s="213"/>
      <c r="M97" s="213"/>
      <c r="N97" s="214"/>
      <c r="O97" s="214"/>
      <c r="P97" s="91"/>
      <c r="Q97" s="91"/>
    </row>
    <row r="98" spans="1:17" s="93" customFormat="1" x14ac:dyDescent="0.35">
      <c r="A98" s="90"/>
      <c r="B98" s="91"/>
      <c r="C98" s="91"/>
      <c r="D98" s="91"/>
      <c r="E98" s="91"/>
      <c r="F98" s="91"/>
      <c r="G98" s="91"/>
      <c r="H98" s="91"/>
      <c r="I98" s="91"/>
      <c r="J98" s="91"/>
      <c r="K98" s="213"/>
      <c r="L98" s="213"/>
      <c r="M98" s="213"/>
      <c r="N98" s="214"/>
      <c r="O98" s="214"/>
      <c r="P98" s="91"/>
      <c r="Q98" s="91"/>
    </row>
    <row r="99" spans="1:17" s="93" customFormat="1" x14ac:dyDescent="0.35">
      <c r="A99" s="90"/>
      <c r="B99" s="91"/>
      <c r="C99" s="91"/>
      <c r="D99" s="91"/>
      <c r="E99" s="91"/>
      <c r="F99" s="91"/>
      <c r="G99" s="91"/>
      <c r="H99" s="91"/>
      <c r="I99" s="91"/>
      <c r="J99" s="91"/>
      <c r="K99" s="213"/>
      <c r="L99" s="213"/>
      <c r="M99" s="213"/>
      <c r="N99" s="214"/>
      <c r="O99" s="214"/>
      <c r="P99" s="91"/>
      <c r="Q99" s="91"/>
    </row>
    <row r="100" spans="1:17" s="93" customFormat="1" x14ac:dyDescent="0.35">
      <c r="A100" s="90"/>
      <c r="B100" s="91"/>
      <c r="C100" s="91"/>
      <c r="D100" s="91"/>
      <c r="E100" s="91"/>
      <c r="F100" s="91"/>
      <c r="G100" s="91"/>
      <c r="H100" s="91"/>
      <c r="I100" s="91"/>
      <c r="J100" s="91"/>
      <c r="K100" s="213"/>
      <c r="L100" s="213"/>
      <c r="M100" s="213"/>
      <c r="N100" s="214"/>
      <c r="O100" s="214"/>
      <c r="P100" s="91"/>
      <c r="Q100" s="91"/>
    </row>
    <row r="101" spans="1:17" s="93" customFormat="1" x14ac:dyDescent="0.35">
      <c r="A101" s="90"/>
      <c r="B101" s="91"/>
      <c r="C101" s="91"/>
      <c r="D101" s="91"/>
      <c r="E101" s="91"/>
      <c r="F101" s="91"/>
      <c r="G101" s="91"/>
      <c r="H101" s="91"/>
      <c r="I101" s="91"/>
      <c r="J101" s="91"/>
      <c r="K101" s="213"/>
      <c r="L101" s="213"/>
      <c r="M101" s="213"/>
      <c r="N101" s="214"/>
      <c r="O101" s="214"/>
      <c r="P101" s="91"/>
      <c r="Q101" s="91"/>
    </row>
    <row r="102" spans="1:17" s="93" customFormat="1" x14ac:dyDescent="0.35">
      <c r="A102" s="90"/>
      <c r="B102" s="91"/>
      <c r="C102" s="91"/>
      <c r="D102" s="91"/>
      <c r="E102" s="91"/>
      <c r="F102" s="91"/>
      <c r="G102" s="91"/>
      <c r="H102" s="91"/>
      <c r="I102" s="91"/>
      <c r="J102" s="91"/>
      <c r="K102" s="213"/>
      <c r="L102" s="213"/>
      <c r="M102" s="213"/>
      <c r="N102" s="214"/>
      <c r="O102" s="214"/>
      <c r="P102" s="91"/>
      <c r="Q102" s="91"/>
    </row>
    <row r="103" spans="1:17" s="93" customFormat="1" x14ac:dyDescent="0.35">
      <c r="A103" s="90"/>
      <c r="B103" s="91"/>
      <c r="C103" s="91"/>
      <c r="D103" s="91"/>
      <c r="E103" s="91"/>
      <c r="F103" s="91"/>
      <c r="G103" s="91"/>
      <c r="H103" s="91"/>
      <c r="I103" s="91"/>
      <c r="J103" s="91"/>
      <c r="K103" s="213"/>
      <c r="L103" s="213"/>
      <c r="M103" s="213"/>
      <c r="N103" s="214"/>
      <c r="O103" s="214"/>
      <c r="P103" s="91"/>
      <c r="Q103" s="91"/>
    </row>
    <row r="104" spans="1:17" s="93" customFormat="1" x14ac:dyDescent="0.35">
      <c r="A104" s="90"/>
      <c r="B104" s="91"/>
      <c r="C104" s="91"/>
      <c r="D104" s="91"/>
      <c r="E104" s="91"/>
      <c r="F104" s="91"/>
      <c r="G104" s="91"/>
      <c r="H104" s="91"/>
      <c r="I104" s="91"/>
      <c r="J104" s="91"/>
      <c r="K104" s="213"/>
      <c r="L104" s="213"/>
      <c r="M104" s="213"/>
      <c r="N104" s="214"/>
      <c r="O104" s="214"/>
      <c r="P104" s="91"/>
      <c r="Q104" s="91"/>
    </row>
    <row r="105" spans="1:17" s="93" customFormat="1" x14ac:dyDescent="0.35">
      <c r="A105" s="90"/>
      <c r="B105" s="91"/>
      <c r="C105" s="91"/>
      <c r="D105" s="91"/>
      <c r="E105" s="91"/>
      <c r="F105" s="91"/>
      <c r="G105" s="91"/>
      <c r="H105" s="91"/>
      <c r="I105" s="91"/>
      <c r="J105" s="91"/>
      <c r="K105" s="213"/>
      <c r="L105" s="213"/>
      <c r="M105" s="213"/>
      <c r="N105" s="214"/>
      <c r="O105" s="214"/>
      <c r="P105" s="91"/>
      <c r="Q105" s="91"/>
    </row>
    <row r="106" spans="1:17" s="93" customFormat="1" x14ac:dyDescent="0.35">
      <c r="A106" s="90"/>
      <c r="B106" s="91"/>
      <c r="C106" s="91"/>
      <c r="D106" s="91"/>
      <c r="E106" s="91"/>
      <c r="F106" s="91"/>
      <c r="G106" s="91"/>
      <c r="H106" s="91"/>
      <c r="I106" s="91"/>
      <c r="J106" s="91"/>
      <c r="K106" s="213"/>
      <c r="L106" s="213"/>
      <c r="M106" s="213"/>
      <c r="N106" s="214"/>
      <c r="O106" s="214"/>
      <c r="P106" s="91"/>
      <c r="Q106" s="91"/>
    </row>
    <row r="107" spans="1:17" s="93" customFormat="1" x14ac:dyDescent="0.35">
      <c r="A107" s="90"/>
      <c r="B107" s="91"/>
      <c r="C107" s="91"/>
      <c r="D107" s="91"/>
      <c r="E107" s="91"/>
      <c r="F107" s="91"/>
      <c r="G107" s="91"/>
      <c r="H107" s="91"/>
      <c r="I107" s="91"/>
      <c r="J107" s="91"/>
      <c r="K107" s="213"/>
      <c r="L107" s="213"/>
      <c r="M107" s="213"/>
      <c r="N107" s="214"/>
      <c r="O107" s="214"/>
      <c r="P107" s="91"/>
      <c r="Q107" s="91"/>
    </row>
    <row r="108" spans="1:17" s="93" customFormat="1" x14ac:dyDescent="0.35">
      <c r="A108" s="90"/>
      <c r="B108" s="91"/>
      <c r="C108" s="91"/>
      <c r="D108" s="91"/>
      <c r="E108" s="91"/>
      <c r="F108" s="91"/>
      <c r="G108" s="91"/>
      <c r="H108" s="91"/>
      <c r="I108" s="91"/>
      <c r="J108" s="91"/>
      <c r="K108" s="213"/>
      <c r="L108" s="213"/>
      <c r="M108" s="213"/>
      <c r="N108" s="214"/>
      <c r="O108" s="214"/>
      <c r="P108" s="91"/>
      <c r="Q108" s="91"/>
    </row>
    <row r="109" spans="1:17" s="93" customFormat="1" x14ac:dyDescent="0.35">
      <c r="A109" s="90"/>
      <c r="B109" s="91"/>
      <c r="C109" s="91"/>
      <c r="D109" s="91"/>
      <c r="E109" s="91"/>
      <c r="F109" s="91"/>
      <c r="G109" s="91"/>
      <c r="H109" s="91"/>
      <c r="I109" s="91"/>
      <c r="J109" s="91"/>
      <c r="K109" s="213"/>
      <c r="L109" s="213"/>
      <c r="M109" s="213"/>
      <c r="N109" s="214"/>
      <c r="O109" s="214"/>
      <c r="P109" s="91"/>
      <c r="Q109" s="91"/>
    </row>
    <row r="110" spans="1:17" s="93" customFormat="1" x14ac:dyDescent="0.35">
      <c r="A110" s="90"/>
      <c r="B110" s="91"/>
      <c r="C110" s="91"/>
      <c r="D110" s="91"/>
      <c r="E110" s="91"/>
      <c r="F110" s="91"/>
      <c r="G110" s="91"/>
      <c r="H110" s="91"/>
      <c r="I110" s="91"/>
      <c r="J110" s="91"/>
      <c r="K110" s="213"/>
      <c r="L110" s="213"/>
      <c r="M110" s="213"/>
      <c r="N110" s="214"/>
      <c r="O110" s="214"/>
      <c r="P110" s="91"/>
      <c r="Q110" s="91"/>
    </row>
    <row r="111" spans="1:17" s="93" customFormat="1" x14ac:dyDescent="0.35">
      <c r="A111" s="90"/>
      <c r="B111" s="91"/>
      <c r="C111" s="91"/>
      <c r="D111" s="91"/>
      <c r="E111" s="91"/>
      <c r="F111" s="91"/>
      <c r="G111" s="91"/>
      <c r="H111" s="91"/>
      <c r="I111" s="91"/>
      <c r="J111" s="91"/>
      <c r="K111" s="213"/>
      <c r="L111" s="213"/>
      <c r="M111" s="213"/>
      <c r="N111" s="214"/>
      <c r="O111" s="214"/>
      <c r="P111" s="91"/>
      <c r="Q111" s="91"/>
    </row>
    <row r="112" spans="1:17" s="93" customFormat="1" x14ac:dyDescent="0.35">
      <c r="A112" s="90"/>
      <c r="B112" s="91"/>
      <c r="C112" s="91"/>
      <c r="D112" s="91"/>
      <c r="E112" s="91"/>
      <c r="F112" s="91"/>
      <c r="G112" s="91"/>
      <c r="H112" s="91"/>
      <c r="I112" s="91"/>
      <c r="J112" s="91"/>
      <c r="K112" s="213"/>
      <c r="L112" s="213"/>
      <c r="M112" s="213"/>
      <c r="N112" s="214"/>
      <c r="O112" s="214"/>
      <c r="P112" s="91"/>
      <c r="Q112" s="91"/>
    </row>
    <row r="113" spans="1:17" s="93" customFormat="1" x14ac:dyDescent="0.35">
      <c r="A113" s="90"/>
      <c r="B113" s="91"/>
      <c r="C113" s="91"/>
      <c r="D113" s="91"/>
      <c r="E113" s="91"/>
      <c r="F113" s="91"/>
      <c r="G113" s="91"/>
      <c r="H113" s="91"/>
      <c r="I113" s="91"/>
      <c r="J113" s="91"/>
      <c r="K113" s="213"/>
      <c r="L113" s="213"/>
      <c r="M113" s="213"/>
      <c r="N113" s="214"/>
      <c r="O113" s="214"/>
      <c r="P113" s="91"/>
      <c r="Q113" s="91"/>
    </row>
    <row r="114" spans="1:17" s="93" customFormat="1" x14ac:dyDescent="0.35">
      <c r="A114" s="90"/>
      <c r="B114" s="91"/>
      <c r="C114" s="91"/>
      <c r="D114" s="91"/>
      <c r="E114" s="91"/>
      <c r="F114" s="91"/>
      <c r="G114" s="91"/>
      <c r="H114" s="91"/>
      <c r="I114" s="91"/>
      <c r="J114" s="91"/>
      <c r="K114" s="213"/>
      <c r="L114" s="213"/>
      <c r="M114" s="213"/>
      <c r="N114" s="214"/>
      <c r="O114" s="214"/>
      <c r="P114" s="91"/>
      <c r="Q114" s="91"/>
    </row>
    <row r="115" spans="1:17" s="93" customFormat="1" x14ac:dyDescent="0.35">
      <c r="A115" s="215"/>
      <c r="B115" s="216"/>
      <c r="C115" s="216"/>
      <c r="D115" s="216"/>
      <c r="E115" s="216"/>
      <c r="F115" s="216"/>
      <c r="G115" s="216"/>
      <c r="H115" s="216"/>
      <c r="I115" s="216"/>
      <c r="J115" s="216"/>
      <c r="K115" s="217"/>
      <c r="L115" s="217"/>
      <c r="M115" s="217"/>
      <c r="N115" s="216"/>
      <c r="O115" s="216"/>
      <c r="P115" s="91"/>
      <c r="Q115" s="91"/>
    </row>
    <row r="116" spans="1:17" s="93" customFormat="1" x14ac:dyDescent="0.35">
      <c r="A116" s="90"/>
      <c r="B116" s="91"/>
      <c r="C116" s="91"/>
      <c r="D116" s="91"/>
      <c r="E116" s="91"/>
      <c r="F116" s="91"/>
      <c r="G116" s="91"/>
      <c r="H116" s="91"/>
      <c r="I116" s="91"/>
      <c r="J116" s="91"/>
      <c r="K116" s="213"/>
      <c r="L116" s="213"/>
      <c r="M116" s="213"/>
      <c r="N116" s="214"/>
      <c r="O116" s="214"/>
      <c r="P116" s="91"/>
      <c r="Q116" s="91"/>
    </row>
    <row r="117" spans="1:17" s="93" customFormat="1" x14ac:dyDescent="0.35">
      <c r="A117" s="90"/>
      <c r="B117" s="91"/>
      <c r="C117" s="91"/>
      <c r="D117" s="91"/>
      <c r="E117" s="91"/>
      <c r="F117" s="91"/>
      <c r="G117" s="91"/>
      <c r="H117" s="91"/>
      <c r="I117" s="91"/>
      <c r="J117" s="91"/>
      <c r="K117" s="213"/>
      <c r="L117" s="213"/>
      <c r="M117" s="213"/>
      <c r="N117" s="214"/>
      <c r="O117" s="214"/>
      <c r="P117" s="91"/>
      <c r="Q117" s="91"/>
    </row>
    <row r="118" spans="1:17" s="93" customFormat="1" x14ac:dyDescent="0.35">
      <c r="A118" s="90"/>
      <c r="B118" s="91"/>
      <c r="C118" s="91"/>
      <c r="D118" s="91"/>
      <c r="E118" s="91"/>
      <c r="F118" s="91"/>
      <c r="G118" s="91"/>
      <c r="H118" s="91"/>
      <c r="I118" s="91"/>
      <c r="J118" s="91"/>
      <c r="K118" s="213"/>
      <c r="L118" s="213"/>
      <c r="M118" s="213"/>
      <c r="N118" s="214"/>
      <c r="O118" s="214"/>
      <c r="P118" s="91"/>
      <c r="Q118" s="91"/>
    </row>
    <row r="119" spans="1:17" s="93" customFormat="1" x14ac:dyDescent="0.35">
      <c r="A119" s="90"/>
      <c r="B119" s="91"/>
      <c r="C119" s="91"/>
      <c r="D119" s="91"/>
      <c r="E119" s="91"/>
      <c r="F119" s="91"/>
      <c r="G119" s="91"/>
      <c r="H119" s="91"/>
      <c r="I119" s="91"/>
      <c r="J119" s="91"/>
      <c r="K119" s="213"/>
      <c r="L119" s="213"/>
      <c r="M119" s="213"/>
      <c r="N119" s="214"/>
      <c r="O119" s="214"/>
      <c r="P119" s="91"/>
      <c r="Q119" s="91"/>
    </row>
    <row r="120" spans="1:17" s="93" customFormat="1" x14ac:dyDescent="0.35">
      <c r="A120" s="90"/>
      <c r="B120" s="91"/>
      <c r="C120" s="91"/>
      <c r="D120" s="91"/>
      <c r="E120" s="91"/>
      <c r="F120" s="91"/>
      <c r="G120" s="91"/>
      <c r="H120" s="91"/>
      <c r="I120" s="91"/>
      <c r="J120" s="91"/>
      <c r="K120" s="213"/>
      <c r="L120" s="213"/>
      <c r="M120" s="213"/>
      <c r="N120" s="214"/>
      <c r="O120" s="214"/>
      <c r="P120" s="91"/>
      <c r="Q120" s="91"/>
    </row>
    <row r="121" spans="1:17" s="93" customFormat="1" x14ac:dyDescent="0.35">
      <c r="A121" s="90"/>
      <c r="B121" s="91"/>
      <c r="C121" s="91"/>
      <c r="D121" s="91"/>
      <c r="E121" s="91"/>
      <c r="F121" s="91"/>
      <c r="G121" s="91"/>
      <c r="H121" s="91"/>
      <c r="I121" s="91"/>
      <c r="J121" s="91"/>
      <c r="K121" s="213"/>
      <c r="L121" s="213"/>
      <c r="M121" s="213"/>
      <c r="N121" s="214"/>
      <c r="O121" s="214"/>
      <c r="P121" s="91"/>
      <c r="Q121" s="91"/>
    </row>
    <row r="122" spans="1:17" s="93" customFormat="1" x14ac:dyDescent="0.35">
      <c r="A122" s="90"/>
      <c r="B122" s="91"/>
      <c r="C122" s="91"/>
      <c r="D122" s="91"/>
      <c r="E122" s="91"/>
      <c r="F122" s="91"/>
      <c r="G122" s="91"/>
      <c r="H122" s="91"/>
      <c r="I122" s="91"/>
      <c r="J122" s="91"/>
      <c r="K122" s="213"/>
      <c r="L122" s="213"/>
      <c r="M122" s="213"/>
      <c r="N122" s="214"/>
      <c r="O122" s="214"/>
      <c r="P122" s="91"/>
      <c r="Q122" s="91"/>
    </row>
    <row r="123" spans="1:17" s="93" customFormat="1" x14ac:dyDescent="0.35">
      <c r="A123" s="90"/>
      <c r="B123" s="91"/>
      <c r="C123" s="91"/>
      <c r="D123" s="91"/>
      <c r="E123" s="91"/>
      <c r="F123" s="91"/>
      <c r="G123" s="91"/>
      <c r="H123" s="91"/>
      <c r="I123" s="91"/>
      <c r="J123" s="91"/>
      <c r="K123" s="213"/>
      <c r="L123" s="213"/>
      <c r="M123" s="213"/>
      <c r="N123" s="214"/>
      <c r="O123" s="214"/>
      <c r="P123" s="91"/>
      <c r="Q123" s="91"/>
    </row>
    <row r="124" spans="1:17" s="93" customFormat="1" x14ac:dyDescent="0.35">
      <c r="A124" s="90"/>
      <c r="B124" s="91"/>
      <c r="C124" s="91"/>
      <c r="D124" s="91"/>
      <c r="E124" s="91"/>
      <c r="F124" s="91"/>
      <c r="G124" s="91"/>
      <c r="H124" s="91"/>
      <c r="I124" s="91"/>
      <c r="J124" s="91"/>
      <c r="K124" s="213"/>
      <c r="L124" s="213"/>
      <c r="M124" s="213"/>
      <c r="N124" s="214"/>
      <c r="O124" s="214"/>
      <c r="P124" s="91"/>
      <c r="Q124" s="91"/>
    </row>
    <row r="125" spans="1:17" s="93" customFormat="1" x14ac:dyDescent="0.35">
      <c r="A125" s="90"/>
      <c r="B125" s="91"/>
      <c r="C125" s="91"/>
      <c r="D125" s="91"/>
      <c r="E125" s="91"/>
      <c r="F125" s="91"/>
      <c r="G125" s="91"/>
      <c r="H125" s="91"/>
      <c r="I125" s="91"/>
      <c r="J125" s="91"/>
      <c r="K125" s="213"/>
      <c r="L125" s="213"/>
      <c r="M125" s="213"/>
      <c r="N125" s="214"/>
      <c r="O125" s="214"/>
      <c r="P125" s="91"/>
      <c r="Q125" s="91"/>
    </row>
    <row r="126" spans="1:17" s="93" customFormat="1" x14ac:dyDescent="0.35">
      <c r="A126" s="90"/>
      <c r="B126" s="91"/>
      <c r="C126" s="91"/>
      <c r="D126" s="91"/>
      <c r="E126" s="91"/>
      <c r="F126" s="91"/>
      <c r="G126" s="91"/>
      <c r="H126" s="91"/>
      <c r="I126" s="91"/>
      <c r="J126" s="91"/>
      <c r="K126" s="213"/>
      <c r="L126" s="213"/>
      <c r="M126" s="213"/>
      <c r="N126" s="214"/>
      <c r="O126" s="214"/>
      <c r="P126" s="91"/>
      <c r="Q126" s="91"/>
    </row>
    <row r="127" spans="1:17" s="93" customFormat="1" x14ac:dyDescent="0.35">
      <c r="A127" s="90"/>
      <c r="B127" s="91"/>
      <c r="C127" s="91"/>
      <c r="D127" s="91"/>
      <c r="E127" s="91"/>
      <c r="F127" s="91"/>
      <c r="G127" s="91"/>
      <c r="H127" s="91"/>
      <c r="I127" s="91"/>
      <c r="J127" s="91"/>
      <c r="K127" s="213"/>
      <c r="L127" s="213"/>
      <c r="M127" s="213"/>
      <c r="N127" s="214"/>
      <c r="O127" s="214"/>
      <c r="P127" s="91"/>
      <c r="Q127" s="91"/>
    </row>
    <row r="128" spans="1:17" s="93" customFormat="1" x14ac:dyDescent="0.35">
      <c r="A128" s="90"/>
      <c r="B128" s="91"/>
      <c r="C128" s="91"/>
      <c r="D128" s="91"/>
      <c r="E128" s="91"/>
      <c r="F128" s="91"/>
      <c r="G128" s="91"/>
      <c r="H128" s="91"/>
      <c r="I128" s="91"/>
      <c r="J128" s="91"/>
      <c r="K128" s="213"/>
      <c r="L128" s="213"/>
      <c r="M128" s="213"/>
      <c r="N128" s="214"/>
      <c r="O128" s="214"/>
      <c r="P128" s="91"/>
      <c r="Q128" s="91"/>
    </row>
    <row r="129" spans="1:17" s="93" customFormat="1" x14ac:dyDescent="0.35">
      <c r="A129" s="90"/>
      <c r="B129" s="91"/>
      <c r="C129" s="91"/>
      <c r="D129" s="91"/>
      <c r="E129" s="91"/>
      <c r="F129" s="91"/>
      <c r="G129" s="91"/>
      <c r="H129" s="91"/>
      <c r="I129" s="91"/>
      <c r="J129" s="91"/>
      <c r="K129" s="213"/>
      <c r="L129" s="213"/>
      <c r="M129" s="213"/>
      <c r="N129" s="214"/>
      <c r="O129" s="214"/>
      <c r="P129" s="91"/>
      <c r="Q129" s="91"/>
    </row>
    <row r="130" spans="1:17" s="93" customFormat="1" x14ac:dyDescent="0.35">
      <c r="A130" s="90"/>
      <c r="B130" s="91"/>
      <c r="C130" s="91"/>
      <c r="D130" s="91"/>
      <c r="E130" s="91"/>
      <c r="F130" s="91"/>
      <c r="G130" s="91"/>
      <c r="H130" s="91"/>
      <c r="I130" s="91"/>
      <c r="J130" s="91"/>
      <c r="K130" s="213"/>
      <c r="L130" s="213"/>
      <c r="M130" s="213"/>
      <c r="N130" s="214"/>
      <c r="O130" s="214"/>
      <c r="P130" s="91"/>
      <c r="Q130" s="91"/>
    </row>
    <row r="131" spans="1:17" s="93" customFormat="1" x14ac:dyDescent="0.35">
      <c r="A131" s="90"/>
      <c r="B131" s="91"/>
      <c r="C131" s="91"/>
      <c r="D131" s="91"/>
      <c r="E131" s="91"/>
      <c r="F131" s="91"/>
      <c r="G131" s="91"/>
      <c r="H131" s="91"/>
      <c r="I131" s="91"/>
      <c r="J131" s="91"/>
      <c r="K131" s="213"/>
      <c r="L131" s="213"/>
      <c r="M131" s="213"/>
      <c r="N131" s="214"/>
      <c r="O131" s="214"/>
      <c r="P131" s="91"/>
      <c r="Q131" s="91"/>
    </row>
    <row r="132" spans="1:17" s="93" customFormat="1" x14ac:dyDescent="0.35">
      <c r="A132" s="90"/>
      <c r="B132" s="91"/>
      <c r="C132" s="91"/>
      <c r="D132" s="91"/>
      <c r="E132" s="91"/>
      <c r="F132" s="91"/>
      <c r="G132" s="91"/>
      <c r="H132" s="91"/>
      <c r="I132" s="91"/>
      <c r="J132" s="91"/>
      <c r="K132" s="213"/>
      <c r="L132" s="213"/>
      <c r="M132" s="213"/>
      <c r="N132" s="214"/>
      <c r="O132" s="214"/>
      <c r="P132" s="91"/>
      <c r="Q132" s="91"/>
    </row>
    <row r="133" spans="1:17" s="93" customFormat="1" x14ac:dyDescent="0.35">
      <c r="A133" s="90"/>
      <c r="B133" s="91"/>
      <c r="C133" s="91"/>
      <c r="D133" s="91"/>
      <c r="E133" s="91"/>
      <c r="F133" s="91"/>
      <c r="G133" s="91"/>
      <c r="H133" s="91"/>
      <c r="I133" s="91"/>
      <c r="J133" s="91"/>
      <c r="K133" s="213"/>
      <c r="L133" s="213"/>
      <c r="M133" s="213"/>
      <c r="N133" s="214"/>
      <c r="O133" s="214"/>
      <c r="P133" s="91"/>
      <c r="Q133" s="91"/>
    </row>
    <row r="134" spans="1:17" s="93" customFormat="1" x14ac:dyDescent="0.35">
      <c r="A134" s="90"/>
      <c r="B134" s="91"/>
      <c r="C134" s="91"/>
      <c r="D134" s="91"/>
      <c r="E134" s="91"/>
      <c r="F134" s="91"/>
      <c r="G134" s="91"/>
      <c r="H134" s="91"/>
      <c r="I134" s="91"/>
      <c r="J134" s="91"/>
      <c r="K134" s="213"/>
      <c r="L134" s="213"/>
      <c r="M134" s="213"/>
      <c r="N134" s="214"/>
      <c r="O134" s="214"/>
      <c r="P134" s="91"/>
      <c r="Q134" s="91"/>
    </row>
    <row r="135" spans="1:17" s="93" customFormat="1" x14ac:dyDescent="0.35">
      <c r="A135" s="90"/>
      <c r="B135" s="91"/>
      <c r="C135" s="91"/>
      <c r="D135" s="91"/>
      <c r="E135" s="91"/>
      <c r="F135" s="91"/>
      <c r="G135" s="91"/>
      <c r="H135" s="91"/>
      <c r="I135" s="91"/>
      <c r="J135" s="91"/>
      <c r="K135" s="213"/>
      <c r="L135" s="213"/>
      <c r="M135" s="213"/>
      <c r="N135" s="214"/>
      <c r="O135" s="214"/>
      <c r="P135" s="91"/>
      <c r="Q135" s="91"/>
    </row>
    <row r="136" spans="1:17" s="93" customFormat="1" x14ac:dyDescent="0.35">
      <c r="A136" s="90"/>
      <c r="B136" s="91"/>
      <c r="C136" s="91"/>
      <c r="D136" s="91"/>
      <c r="E136" s="91"/>
      <c r="F136" s="91"/>
      <c r="G136" s="91"/>
      <c r="H136" s="91"/>
      <c r="I136" s="91"/>
      <c r="J136" s="91"/>
      <c r="K136" s="213"/>
      <c r="L136" s="213"/>
      <c r="M136" s="213"/>
      <c r="N136" s="214"/>
      <c r="O136" s="214"/>
      <c r="P136" s="91"/>
      <c r="Q136" s="91"/>
    </row>
    <row r="137" spans="1:17" s="93" customFormat="1" x14ac:dyDescent="0.35">
      <c r="A137" s="90"/>
      <c r="B137" s="91"/>
      <c r="C137" s="91"/>
      <c r="D137" s="91"/>
      <c r="E137" s="91"/>
      <c r="F137" s="91"/>
      <c r="G137" s="91"/>
      <c r="H137" s="91"/>
      <c r="I137" s="91"/>
      <c r="J137" s="91"/>
      <c r="K137" s="213"/>
      <c r="L137" s="213"/>
      <c r="M137" s="213"/>
      <c r="N137" s="214"/>
      <c r="O137" s="214"/>
      <c r="P137" s="91"/>
      <c r="Q137" s="91"/>
    </row>
    <row r="138" spans="1:17" s="93" customFormat="1" x14ac:dyDescent="0.35">
      <c r="A138" s="90"/>
      <c r="B138" s="91"/>
      <c r="C138" s="91"/>
      <c r="D138" s="91"/>
      <c r="E138" s="91"/>
      <c r="F138" s="91"/>
      <c r="G138" s="91"/>
      <c r="H138" s="91"/>
      <c r="I138" s="91"/>
      <c r="J138" s="91"/>
      <c r="K138" s="213"/>
      <c r="L138" s="213"/>
      <c r="M138" s="213"/>
      <c r="N138" s="214"/>
      <c r="O138" s="214"/>
      <c r="P138" s="91"/>
      <c r="Q138" s="91"/>
    </row>
    <row r="139" spans="1:17" s="93" customFormat="1" x14ac:dyDescent="0.35">
      <c r="A139" s="90"/>
      <c r="B139" s="91"/>
      <c r="C139" s="91"/>
      <c r="D139" s="91"/>
      <c r="E139" s="91"/>
      <c r="F139" s="91"/>
      <c r="G139" s="91"/>
      <c r="H139" s="91"/>
      <c r="I139" s="91"/>
      <c r="J139" s="91"/>
      <c r="K139" s="213"/>
      <c r="L139" s="213"/>
      <c r="M139" s="213"/>
      <c r="N139" s="214"/>
      <c r="O139" s="214"/>
      <c r="P139" s="91"/>
      <c r="Q139" s="91"/>
    </row>
    <row r="140" spans="1:17" s="93" customFormat="1" x14ac:dyDescent="0.35">
      <c r="A140" s="90"/>
      <c r="B140" s="91"/>
      <c r="C140" s="91"/>
      <c r="D140" s="91"/>
      <c r="E140" s="91"/>
      <c r="F140" s="91"/>
      <c r="G140" s="91"/>
      <c r="H140" s="91"/>
      <c r="I140" s="91"/>
      <c r="J140" s="91"/>
      <c r="K140" s="213"/>
      <c r="L140" s="213"/>
      <c r="M140" s="213"/>
      <c r="N140" s="214"/>
      <c r="O140" s="214"/>
      <c r="P140" s="91"/>
      <c r="Q140" s="91"/>
    </row>
    <row r="141" spans="1:17" s="93" customFormat="1" x14ac:dyDescent="0.35">
      <c r="A141" s="90"/>
      <c r="B141" s="91"/>
      <c r="C141" s="91"/>
      <c r="D141" s="91"/>
      <c r="E141" s="91"/>
      <c r="F141" s="91"/>
      <c r="G141" s="91"/>
      <c r="H141" s="91"/>
      <c r="I141" s="91"/>
      <c r="J141" s="91"/>
      <c r="K141" s="213"/>
      <c r="L141" s="213"/>
      <c r="M141" s="213"/>
      <c r="N141" s="214"/>
      <c r="O141" s="214"/>
      <c r="P141" s="91"/>
      <c r="Q141" s="91"/>
    </row>
    <row r="142" spans="1:17" s="93" customFormat="1" x14ac:dyDescent="0.35">
      <c r="A142" s="90"/>
      <c r="B142" s="91"/>
      <c r="C142" s="91"/>
      <c r="D142" s="91"/>
      <c r="E142" s="91"/>
      <c r="F142" s="91"/>
      <c r="G142" s="91"/>
      <c r="H142" s="91"/>
      <c r="I142" s="91"/>
      <c r="J142" s="91"/>
      <c r="K142" s="213"/>
      <c r="L142" s="213"/>
      <c r="M142" s="213"/>
      <c r="N142" s="214"/>
      <c r="O142" s="214"/>
      <c r="P142" s="91"/>
      <c r="Q142" s="91"/>
    </row>
    <row r="143" spans="1:17" s="93" customFormat="1" x14ac:dyDescent="0.35">
      <c r="A143" s="90"/>
      <c r="B143" s="91"/>
      <c r="C143" s="91"/>
      <c r="D143" s="91"/>
      <c r="E143" s="91"/>
      <c r="F143" s="91"/>
      <c r="G143" s="91"/>
      <c r="H143" s="91"/>
      <c r="I143" s="91"/>
      <c r="J143" s="91"/>
      <c r="K143" s="213"/>
      <c r="L143" s="213"/>
      <c r="M143" s="213"/>
      <c r="N143" s="214"/>
      <c r="O143" s="214"/>
      <c r="P143" s="91"/>
      <c r="Q143" s="91"/>
    </row>
    <row r="144" spans="1:17" s="93" customFormat="1" x14ac:dyDescent="0.35">
      <c r="A144" s="90"/>
      <c r="B144" s="91"/>
      <c r="C144" s="91"/>
      <c r="D144" s="91"/>
      <c r="E144" s="91"/>
      <c r="F144" s="91"/>
      <c r="G144" s="91"/>
      <c r="H144" s="91"/>
      <c r="I144" s="91"/>
      <c r="J144" s="91"/>
      <c r="K144" s="213"/>
      <c r="L144" s="213"/>
      <c r="M144" s="213"/>
      <c r="N144" s="214"/>
      <c r="O144" s="214"/>
      <c r="P144" s="91"/>
      <c r="Q144" s="91"/>
    </row>
    <row r="145" spans="1:17" s="93" customFormat="1" x14ac:dyDescent="0.35">
      <c r="A145" s="90"/>
      <c r="B145" s="91"/>
      <c r="C145" s="91"/>
      <c r="D145" s="91"/>
      <c r="E145" s="91"/>
      <c r="F145" s="91"/>
      <c r="G145" s="91"/>
      <c r="H145" s="91"/>
      <c r="I145" s="91"/>
      <c r="J145" s="91"/>
      <c r="K145" s="213"/>
      <c r="L145" s="213"/>
      <c r="M145" s="213"/>
      <c r="N145" s="214"/>
      <c r="O145" s="214"/>
      <c r="P145" s="91"/>
      <c r="Q145" s="91"/>
    </row>
    <row r="146" spans="1:17" s="93" customFormat="1" x14ac:dyDescent="0.35">
      <c r="A146" s="90"/>
      <c r="B146" s="91"/>
      <c r="C146" s="91"/>
      <c r="D146" s="91"/>
      <c r="E146" s="91"/>
      <c r="F146" s="91"/>
      <c r="G146" s="91"/>
      <c r="H146" s="91"/>
      <c r="I146" s="91"/>
      <c r="J146" s="91"/>
      <c r="K146" s="213"/>
      <c r="L146" s="213"/>
      <c r="M146" s="213"/>
      <c r="N146" s="214"/>
      <c r="O146" s="214"/>
      <c r="P146" s="91"/>
      <c r="Q146" s="91"/>
    </row>
    <row r="147" spans="1:17" s="93" customFormat="1" x14ac:dyDescent="0.35">
      <c r="A147" s="90"/>
      <c r="B147" s="91"/>
      <c r="C147" s="91"/>
      <c r="D147" s="91"/>
      <c r="E147" s="91"/>
      <c r="F147" s="91"/>
      <c r="G147" s="91"/>
      <c r="H147" s="91"/>
      <c r="I147" s="91"/>
      <c r="J147" s="91"/>
      <c r="K147" s="213"/>
      <c r="L147" s="213"/>
      <c r="M147" s="213"/>
      <c r="N147" s="214"/>
      <c r="O147" s="214"/>
      <c r="P147" s="91"/>
      <c r="Q147" s="91"/>
    </row>
    <row r="148" spans="1:17" s="93" customFormat="1" x14ac:dyDescent="0.35">
      <c r="A148" s="90"/>
      <c r="B148" s="91"/>
      <c r="C148" s="91"/>
      <c r="D148" s="91"/>
      <c r="E148" s="91"/>
      <c r="F148" s="91"/>
      <c r="G148" s="91"/>
      <c r="H148" s="91"/>
      <c r="I148" s="91"/>
      <c r="J148" s="91"/>
      <c r="K148" s="213"/>
      <c r="L148" s="213"/>
      <c r="M148" s="213"/>
      <c r="N148" s="214"/>
      <c r="O148" s="214"/>
      <c r="P148" s="91"/>
      <c r="Q148" s="91"/>
    </row>
    <row r="149" spans="1:17" s="93" customFormat="1" x14ac:dyDescent="0.35">
      <c r="A149" s="90"/>
      <c r="B149" s="91"/>
      <c r="C149" s="91"/>
      <c r="D149" s="91"/>
      <c r="E149" s="91"/>
      <c r="F149" s="91"/>
      <c r="G149" s="91"/>
      <c r="H149" s="91"/>
      <c r="I149" s="91"/>
      <c r="J149" s="91"/>
      <c r="K149" s="213"/>
      <c r="L149" s="213"/>
      <c r="M149" s="213"/>
      <c r="N149" s="214"/>
      <c r="O149" s="214"/>
      <c r="P149" s="91"/>
      <c r="Q149" s="91"/>
    </row>
    <row r="150" spans="1:17" s="93" customFormat="1" x14ac:dyDescent="0.35">
      <c r="A150" s="90"/>
      <c r="B150" s="91"/>
      <c r="C150" s="91"/>
      <c r="D150" s="91"/>
      <c r="E150" s="91"/>
      <c r="F150" s="91"/>
      <c r="G150" s="91"/>
      <c r="H150" s="91"/>
      <c r="I150" s="91"/>
      <c r="J150" s="91"/>
      <c r="K150" s="213"/>
      <c r="L150" s="213"/>
      <c r="M150" s="213"/>
      <c r="N150" s="214"/>
      <c r="O150" s="214"/>
      <c r="P150" s="91"/>
      <c r="Q150" s="91"/>
    </row>
    <row r="151" spans="1:17" s="93" customFormat="1" x14ac:dyDescent="0.35">
      <c r="A151" s="218"/>
      <c r="B151" s="219"/>
      <c r="C151" s="219"/>
      <c r="D151" s="219"/>
      <c r="E151" s="219"/>
      <c r="F151" s="219"/>
      <c r="G151" s="219"/>
      <c r="H151" s="219"/>
      <c r="I151" s="219"/>
      <c r="J151" s="219"/>
      <c r="K151" s="217"/>
      <c r="L151" s="217"/>
      <c r="M151" s="217"/>
      <c r="N151" s="216"/>
      <c r="O151" s="216"/>
      <c r="P151" s="91"/>
      <c r="Q151" s="91"/>
    </row>
    <row r="152" spans="1:17" s="93" customFormat="1" x14ac:dyDescent="0.35">
      <c r="A152" s="212"/>
      <c r="B152" s="91"/>
      <c r="C152" s="91"/>
      <c r="D152" s="91"/>
      <c r="E152" s="91"/>
      <c r="F152" s="91"/>
      <c r="G152" s="91"/>
      <c r="H152" s="91"/>
      <c r="I152" s="91"/>
      <c r="J152" s="91"/>
      <c r="K152" s="213"/>
      <c r="L152" s="213"/>
      <c r="M152" s="213"/>
      <c r="N152" s="214"/>
      <c r="O152" s="214"/>
      <c r="P152" s="91"/>
      <c r="Q152" s="91"/>
    </row>
    <row r="153" spans="1:17" s="93" customFormat="1" x14ac:dyDescent="0.35">
      <c r="A153" s="90"/>
      <c r="B153" s="91"/>
      <c r="C153" s="91"/>
      <c r="D153" s="91"/>
      <c r="E153" s="91"/>
      <c r="F153" s="91"/>
      <c r="G153" s="91"/>
      <c r="H153" s="91"/>
      <c r="I153" s="91"/>
      <c r="J153" s="91"/>
      <c r="K153" s="213"/>
      <c r="L153" s="213"/>
      <c r="M153" s="213"/>
      <c r="N153" s="214"/>
      <c r="O153" s="214"/>
      <c r="P153" s="91"/>
      <c r="Q153" s="91"/>
    </row>
    <row r="154" spans="1:17" s="93" customFormat="1" x14ac:dyDescent="0.35">
      <c r="A154" s="90"/>
      <c r="B154" s="91"/>
      <c r="C154" s="91"/>
      <c r="D154" s="91"/>
      <c r="E154" s="91"/>
      <c r="F154" s="91"/>
      <c r="G154" s="91"/>
      <c r="H154" s="91"/>
      <c r="I154" s="91"/>
      <c r="J154" s="91"/>
      <c r="K154" s="213"/>
      <c r="L154" s="213"/>
      <c r="M154" s="213"/>
      <c r="N154" s="214"/>
      <c r="O154" s="214"/>
      <c r="P154" s="91"/>
      <c r="Q154" s="91"/>
    </row>
    <row r="155" spans="1:17" s="93" customFormat="1" x14ac:dyDescent="0.35">
      <c r="A155" s="90"/>
      <c r="B155" s="91"/>
      <c r="C155" s="91"/>
      <c r="D155" s="91"/>
      <c r="E155" s="91"/>
      <c r="F155" s="91"/>
      <c r="G155" s="91"/>
      <c r="H155" s="91"/>
      <c r="I155" s="91"/>
      <c r="J155" s="91"/>
      <c r="K155" s="213"/>
      <c r="L155" s="213"/>
      <c r="M155" s="213"/>
      <c r="N155" s="214"/>
      <c r="O155" s="214"/>
      <c r="P155" s="91"/>
      <c r="Q155" s="91"/>
    </row>
    <row r="156" spans="1:17" s="93" customFormat="1" x14ac:dyDescent="0.35">
      <c r="A156" s="90"/>
      <c r="B156" s="91"/>
      <c r="C156" s="91"/>
      <c r="D156" s="91"/>
      <c r="E156" s="91"/>
      <c r="F156" s="91"/>
      <c r="G156" s="91"/>
      <c r="H156" s="91"/>
      <c r="I156" s="91"/>
      <c r="J156" s="91"/>
      <c r="K156" s="213"/>
      <c r="L156" s="213"/>
      <c r="M156" s="213"/>
      <c r="N156" s="214"/>
      <c r="O156" s="214"/>
      <c r="P156" s="91"/>
      <c r="Q156" s="91"/>
    </row>
    <row r="157" spans="1:17" s="93" customFormat="1" x14ac:dyDescent="0.35">
      <c r="A157" s="90"/>
      <c r="B157" s="91"/>
      <c r="C157" s="91"/>
      <c r="D157" s="91"/>
      <c r="E157" s="91"/>
      <c r="F157" s="91"/>
      <c r="G157" s="91"/>
      <c r="H157" s="91"/>
      <c r="I157" s="91"/>
      <c r="J157" s="91"/>
      <c r="K157" s="213"/>
      <c r="L157" s="213"/>
      <c r="M157" s="213"/>
      <c r="N157" s="214"/>
      <c r="O157" s="214"/>
      <c r="P157" s="91"/>
      <c r="Q157" s="91"/>
    </row>
    <row r="158" spans="1:17" s="93" customFormat="1" x14ac:dyDescent="0.35">
      <c r="A158" s="90"/>
      <c r="B158" s="91"/>
      <c r="C158" s="91"/>
      <c r="D158" s="91"/>
      <c r="E158" s="91"/>
      <c r="F158" s="91"/>
      <c r="G158" s="91"/>
      <c r="H158" s="91"/>
      <c r="I158" s="91"/>
      <c r="J158" s="91"/>
      <c r="K158" s="213"/>
      <c r="L158" s="213"/>
      <c r="M158" s="213"/>
      <c r="N158" s="214"/>
      <c r="O158" s="214"/>
      <c r="P158" s="91"/>
      <c r="Q158" s="91"/>
    </row>
    <row r="159" spans="1:17" s="93" customFormat="1" x14ac:dyDescent="0.35">
      <c r="A159" s="90"/>
      <c r="B159" s="91"/>
      <c r="C159" s="91"/>
      <c r="D159" s="91"/>
      <c r="E159" s="91"/>
      <c r="F159" s="91"/>
      <c r="G159" s="91"/>
      <c r="H159" s="91"/>
      <c r="I159" s="91"/>
      <c r="J159" s="91"/>
      <c r="K159" s="213"/>
      <c r="L159" s="213"/>
      <c r="M159" s="213"/>
      <c r="N159" s="214"/>
      <c r="O159" s="214"/>
      <c r="P159" s="91"/>
      <c r="Q159" s="91"/>
    </row>
    <row r="160" spans="1:17" s="93" customFormat="1" x14ac:dyDescent="0.35">
      <c r="A160" s="90"/>
      <c r="B160" s="91"/>
      <c r="C160" s="91"/>
      <c r="D160" s="91"/>
      <c r="E160" s="91"/>
      <c r="F160" s="91"/>
      <c r="G160" s="91"/>
      <c r="H160" s="91"/>
      <c r="I160" s="91"/>
      <c r="J160" s="91"/>
      <c r="K160" s="213"/>
      <c r="L160" s="213"/>
      <c r="M160" s="213"/>
      <c r="N160" s="214"/>
      <c r="O160" s="214"/>
      <c r="P160" s="91"/>
      <c r="Q160" s="91"/>
    </row>
    <row r="161" spans="1:17" s="93" customFormat="1" x14ac:dyDescent="0.35">
      <c r="A161" s="90"/>
      <c r="B161" s="91"/>
      <c r="C161" s="91"/>
      <c r="D161" s="91"/>
      <c r="E161" s="91"/>
      <c r="F161" s="91"/>
      <c r="G161" s="91"/>
      <c r="H161" s="91"/>
      <c r="I161" s="91"/>
      <c r="J161" s="91"/>
      <c r="K161" s="94"/>
      <c r="L161" s="94"/>
      <c r="M161" s="94"/>
      <c r="N161" s="91"/>
      <c r="O161" s="91"/>
      <c r="P161" s="91"/>
      <c r="Q161" s="91"/>
    </row>
    <row r="162" spans="1:17" s="93" customFormat="1" x14ac:dyDescent="0.35">
      <c r="A162" s="90"/>
      <c r="B162" s="91"/>
      <c r="C162" s="91"/>
      <c r="D162" s="91"/>
      <c r="E162" s="91"/>
      <c r="F162" s="91"/>
      <c r="G162" s="91"/>
      <c r="H162" s="91"/>
      <c r="I162" s="91"/>
      <c r="J162" s="91"/>
      <c r="K162" s="94"/>
      <c r="L162" s="94"/>
      <c r="M162" s="94"/>
      <c r="N162" s="91"/>
      <c r="O162" s="91"/>
      <c r="P162" s="91"/>
      <c r="Q162" s="91"/>
    </row>
    <row r="163" spans="1:17" s="93" customFormat="1" x14ac:dyDescent="0.35">
      <c r="A163" s="90"/>
      <c r="B163" s="91"/>
      <c r="C163" s="91"/>
      <c r="D163" s="91"/>
      <c r="E163" s="91"/>
      <c r="F163" s="91"/>
      <c r="G163" s="91"/>
      <c r="H163" s="91"/>
      <c r="I163" s="91"/>
      <c r="J163" s="91"/>
      <c r="K163" s="94"/>
      <c r="L163" s="94"/>
      <c r="M163" s="94"/>
      <c r="N163" s="91"/>
      <c r="O163" s="91"/>
      <c r="P163" s="91"/>
      <c r="Q163" s="91"/>
    </row>
    <row r="164" spans="1:17" s="93" customFormat="1" x14ac:dyDescent="0.35">
      <c r="A164" s="90"/>
      <c r="B164" s="91"/>
      <c r="C164" s="91"/>
      <c r="D164" s="91"/>
      <c r="E164" s="91"/>
      <c r="F164" s="91"/>
      <c r="G164" s="91"/>
      <c r="H164" s="91"/>
      <c r="I164" s="91"/>
      <c r="J164" s="91"/>
      <c r="K164" s="94"/>
      <c r="L164" s="94"/>
      <c r="M164" s="94"/>
      <c r="N164" s="91"/>
      <c r="O164" s="91"/>
      <c r="P164" s="91"/>
      <c r="Q164" s="91"/>
    </row>
    <row r="165" spans="1:17" s="93" customFormat="1" x14ac:dyDescent="0.35">
      <c r="A165" s="90"/>
      <c r="B165" s="91"/>
      <c r="C165" s="91"/>
      <c r="D165" s="91"/>
      <c r="E165" s="91"/>
      <c r="F165" s="91"/>
      <c r="G165" s="91"/>
      <c r="H165" s="91"/>
      <c r="I165" s="91"/>
      <c r="J165" s="91"/>
      <c r="K165" s="94"/>
      <c r="L165" s="94"/>
      <c r="M165" s="94"/>
      <c r="N165" s="91"/>
      <c r="O165" s="91"/>
      <c r="P165" s="91"/>
      <c r="Q165" s="91"/>
    </row>
    <row r="166" spans="1:17" s="93" customFormat="1" x14ac:dyDescent="0.35">
      <c r="A166" s="90"/>
      <c r="B166" s="91"/>
      <c r="C166" s="91"/>
      <c r="D166" s="91"/>
      <c r="E166" s="91"/>
      <c r="F166" s="91"/>
      <c r="G166" s="91"/>
      <c r="H166" s="91"/>
      <c r="I166" s="91"/>
      <c r="J166" s="91"/>
      <c r="K166" s="94"/>
      <c r="L166" s="94"/>
      <c r="M166" s="94"/>
      <c r="N166" s="91"/>
      <c r="O166" s="91"/>
      <c r="P166" s="91"/>
      <c r="Q166" s="91"/>
    </row>
    <row r="167" spans="1:17" s="93" customFormat="1" x14ac:dyDescent="0.35">
      <c r="A167" s="90"/>
      <c r="B167" s="91"/>
      <c r="C167" s="91"/>
      <c r="D167" s="91"/>
      <c r="E167" s="91"/>
      <c r="F167" s="91"/>
      <c r="G167" s="91"/>
      <c r="H167" s="91"/>
      <c r="I167" s="91"/>
      <c r="J167" s="91"/>
      <c r="K167" s="94"/>
      <c r="L167" s="94"/>
      <c r="M167" s="94"/>
      <c r="N167" s="91"/>
      <c r="O167" s="91"/>
      <c r="P167" s="91"/>
      <c r="Q167" s="91"/>
    </row>
    <row r="168" spans="1:17" s="93" customFormat="1" x14ac:dyDescent="0.35">
      <c r="A168" s="90"/>
      <c r="B168" s="91"/>
      <c r="C168" s="91"/>
      <c r="D168" s="91"/>
      <c r="E168" s="91"/>
      <c r="F168" s="91"/>
      <c r="G168" s="91"/>
      <c r="H168" s="91"/>
      <c r="I168" s="91"/>
      <c r="J168" s="91"/>
      <c r="K168" s="94"/>
      <c r="L168" s="94"/>
      <c r="M168" s="94"/>
      <c r="N168" s="91"/>
      <c r="O168" s="91"/>
      <c r="P168" s="91"/>
      <c r="Q168" s="91"/>
    </row>
    <row r="169" spans="1:17" s="93" customFormat="1" x14ac:dyDescent="0.35">
      <c r="A169" s="90"/>
      <c r="B169" s="91"/>
      <c r="C169" s="91"/>
      <c r="D169" s="91"/>
      <c r="E169" s="91"/>
      <c r="F169" s="91"/>
      <c r="G169" s="91"/>
      <c r="H169" s="91"/>
      <c r="I169" s="91"/>
      <c r="J169" s="91"/>
      <c r="K169" s="94"/>
      <c r="L169" s="94"/>
      <c r="M169" s="94"/>
      <c r="N169" s="91"/>
      <c r="O169" s="91"/>
      <c r="P169" s="91"/>
      <c r="Q169" s="91"/>
    </row>
    <row r="170" spans="1:17" s="93"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row>
    <row r="189" spans="1:17" x14ac:dyDescent="0.35">
      <c r="A189" s="90"/>
      <c r="B189" s="91"/>
      <c r="C189" s="91"/>
      <c r="D189" s="91"/>
      <c r="E189" s="91"/>
      <c r="F189" s="91"/>
      <c r="G189" s="91"/>
      <c r="H189" s="91"/>
      <c r="I189" s="91"/>
      <c r="J189" s="91"/>
      <c r="K189" s="91"/>
      <c r="L189" s="91"/>
      <c r="M189" s="91"/>
      <c r="N189" s="91"/>
      <c r="O189" s="91"/>
    </row>
    <row r="190" spans="1:17" x14ac:dyDescent="0.35">
      <c r="A190" s="90"/>
      <c r="B190" s="91"/>
      <c r="C190" s="91"/>
      <c r="D190" s="91"/>
      <c r="E190" s="91"/>
      <c r="F190" s="91"/>
      <c r="G190" s="91"/>
      <c r="H190" s="91"/>
      <c r="I190" s="91"/>
      <c r="J190" s="91"/>
      <c r="K190" s="91"/>
      <c r="L190" s="91"/>
      <c r="M190" s="91"/>
      <c r="N190" s="91"/>
      <c r="O190" s="91"/>
    </row>
    <row r="191" spans="1:17" x14ac:dyDescent="0.35">
      <c r="A191" s="90"/>
      <c r="B191" s="91"/>
      <c r="C191" s="91"/>
      <c r="D191" s="91"/>
      <c r="E191" s="91"/>
      <c r="F191" s="91"/>
      <c r="G191" s="91"/>
      <c r="H191" s="91"/>
      <c r="I191" s="91"/>
      <c r="J191" s="91"/>
      <c r="K191" s="91"/>
      <c r="L191" s="91"/>
      <c r="M191" s="91"/>
      <c r="N191" s="91"/>
      <c r="O191" s="91"/>
    </row>
    <row r="192" spans="1:17" x14ac:dyDescent="0.35">
      <c r="A192" s="90"/>
      <c r="B192" s="91"/>
      <c r="C192" s="91"/>
      <c r="D192" s="91"/>
      <c r="E192" s="91"/>
      <c r="F192" s="91"/>
      <c r="G192" s="91"/>
      <c r="H192" s="91"/>
      <c r="I192" s="91"/>
      <c r="J192" s="91"/>
      <c r="K192" s="91"/>
      <c r="L192" s="91"/>
      <c r="M192" s="91"/>
      <c r="N192" s="91"/>
      <c r="O192" s="91"/>
    </row>
    <row r="193" spans="1:15" x14ac:dyDescent="0.35">
      <c r="A193" s="90"/>
      <c r="B193" s="91"/>
      <c r="C193" s="91"/>
      <c r="D193" s="91"/>
      <c r="E193" s="91"/>
      <c r="F193" s="91"/>
      <c r="G193" s="91"/>
      <c r="H193" s="91"/>
      <c r="I193" s="91"/>
      <c r="J193" s="91"/>
      <c r="K193" s="91"/>
      <c r="L193" s="91"/>
      <c r="M193" s="91"/>
      <c r="N193" s="91"/>
      <c r="O193" s="91"/>
    </row>
    <row r="194" spans="1:15" x14ac:dyDescent="0.35">
      <c r="A194" s="90"/>
      <c r="B194" s="91"/>
      <c r="C194" s="91"/>
      <c r="D194" s="91"/>
      <c r="E194" s="91"/>
      <c r="F194" s="91"/>
      <c r="G194" s="91"/>
      <c r="H194" s="91"/>
      <c r="I194" s="91"/>
      <c r="J194" s="91"/>
      <c r="K194" s="91"/>
      <c r="L194" s="91"/>
      <c r="M194" s="91"/>
      <c r="N194" s="91"/>
      <c r="O194" s="91"/>
    </row>
    <row r="195" spans="1:15" x14ac:dyDescent="0.35">
      <c r="A195" s="90"/>
      <c r="B195" s="91"/>
      <c r="C195" s="91"/>
      <c r="D195" s="91"/>
      <c r="E195" s="91"/>
      <c r="F195" s="91"/>
      <c r="G195" s="91"/>
      <c r="H195" s="91"/>
      <c r="I195" s="91"/>
      <c r="J195" s="91"/>
      <c r="K195" s="91"/>
      <c r="L195" s="91"/>
      <c r="M195" s="91"/>
      <c r="N195" s="91"/>
      <c r="O195" s="91"/>
    </row>
    <row r="196" spans="1:15" x14ac:dyDescent="0.35">
      <c r="A196" s="90"/>
      <c r="B196" s="91"/>
      <c r="C196" s="91"/>
      <c r="D196" s="91"/>
      <c r="E196" s="91"/>
      <c r="F196" s="91"/>
      <c r="G196" s="91"/>
      <c r="H196" s="91"/>
      <c r="I196" s="91"/>
      <c r="J196" s="91"/>
      <c r="K196" s="91"/>
      <c r="L196" s="91"/>
      <c r="M196" s="91"/>
      <c r="N196" s="91"/>
      <c r="O196" s="91"/>
    </row>
    <row r="197" spans="1:15" x14ac:dyDescent="0.35">
      <c r="A197" s="90"/>
      <c r="B197" s="91"/>
      <c r="C197" s="91"/>
      <c r="D197" s="91"/>
      <c r="E197" s="91"/>
      <c r="F197" s="91"/>
      <c r="G197" s="91"/>
      <c r="H197" s="91"/>
      <c r="I197" s="91"/>
      <c r="J197" s="91"/>
      <c r="K197" s="91"/>
      <c r="L197" s="91"/>
      <c r="M197" s="91"/>
      <c r="N197" s="91"/>
      <c r="O197" s="91"/>
    </row>
    <row r="198" spans="1:15" x14ac:dyDescent="0.35">
      <c r="A198" s="90"/>
      <c r="B198" s="91"/>
      <c r="C198" s="91"/>
      <c r="D198" s="91"/>
      <c r="E198" s="91"/>
      <c r="F198" s="91"/>
      <c r="G198" s="91"/>
      <c r="H198" s="91"/>
      <c r="I198" s="91"/>
      <c r="J198" s="91"/>
      <c r="K198" s="91"/>
      <c r="L198" s="91"/>
      <c r="M198" s="91"/>
      <c r="N198" s="91"/>
      <c r="O198" s="91"/>
    </row>
    <row r="199" spans="1:15" x14ac:dyDescent="0.35">
      <c r="A199" s="90"/>
      <c r="B199" s="91"/>
      <c r="C199" s="91"/>
      <c r="D199" s="91"/>
      <c r="E199" s="91"/>
      <c r="F199" s="91"/>
      <c r="G199" s="91"/>
      <c r="H199" s="91"/>
      <c r="I199" s="91"/>
      <c r="J199" s="91"/>
      <c r="K199" s="91"/>
      <c r="L199" s="91"/>
      <c r="M199" s="91"/>
      <c r="N199" s="91"/>
      <c r="O199" s="91"/>
    </row>
    <row r="200" spans="1:15" x14ac:dyDescent="0.35">
      <c r="A200" s="90"/>
      <c r="B200" s="91"/>
      <c r="C200" s="91"/>
      <c r="D200" s="91"/>
      <c r="E200" s="91"/>
      <c r="F200" s="91"/>
      <c r="G200" s="91"/>
      <c r="H200" s="91"/>
      <c r="I200" s="91"/>
      <c r="J200" s="91"/>
      <c r="K200" s="91"/>
      <c r="L200" s="91"/>
      <c r="M200" s="91"/>
      <c r="N200" s="91"/>
      <c r="O200" s="91"/>
    </row>
    <row r="201" spans="1:15" x14ac:dyDescent="0.35">
      <c r="A201" s="90"/>
      <c r="B201" s="91"/>
      <c r="C201" s="91"/>
      <c r="D201" s="91"/>
      <c r="E201" s="91"/>
      <c r="F201" s="91"/>
      <c r="G201" s="91"/>
      <c r="H201" s="91"/>
      <c r="I201" s="91"/>
      <c r="J201" s="91"/>
      <c r="K201" s="91"/>
      <c r="L201" s="91"/>
      <c r="M201" s="91"/>
      <c r="N201" s="91"/>
      <c r="O201" s="91"/>
    </row>
    <row r="202" spans="1:15" x14ac:dyDescent="0.35">
      <c r="A202" s="90"/>
      <c r="B202" s="91"/>
      <c r="C202" s="91"/>
      <c r="D202" s="91"/>
      <c r="E202" s="91"/>
      <c r="F202" s="91"/>
      <c r="G202" s="91"/>
      <c r="H202" s="91"/>
      <c r="I202" s="91"/>
      <c r="J202" s="91"/>
      <c r="K202" s="91"/>
      <c r="L202" s="91"/>
      <c r="M202" s="91"/>
      <c r="N202" s="91"/>
      <c r="O202" s="91"/>
    </row>
    <row r="203" spans="1:15" x14ac:dyDescent="0.35">
      <c r="A203" s="90"/>
      <c r="B203" s="91"/>
      <c r="C203" s="91"/>
      <c r="D203" s="91"/>
      <c r="E203" s="91"/>
      <c r="F203" s="91"/>
      <c r="G203" s="91"/>
      <c r="H203" s="91"/>
      <c r="I203" s="91"/>
      <c r="J203" s="91"/>
      <c r="K203" s="91"/>
      <c r="L203" s="91"/>
      <c r="M203" s="91"/>
      <c r="N203" s="91"/>
      <c r="O203" s="91"/>
    </row>
    <row r="204" spans="1:15" x14ac:dyDescent="0.35">
      <c r="A204" s="90"/>
      <c r="B204" s="91"/>
      <c r="C204" s="91"/>
      <c r="D204" s="91"/>
      <c r="E204" s="91"/>
      <c r="F204" s="91"/>
      <c r="G204" s="91"/>
      <c r="H204" s="91"/>
      <c r="I204" s="91"/>
      <c r="J204" s="91"/>
      <c r="K204" s="91"/>
      <c r="L204" s="91"/>
      <c r="M204" s="91"/>
      <c r="N204" s="91"/>
      <c r="O204" s="91"/>
    </row>
    <row r="205" spans="1:15" x14ac:dyDescent="0.35">
      <c r="A205" s="90"/>
      <c r="B205" s="91"/>
      <c r="C205" s="91"/>
      <c r="D205" s="91"/>
      <c r="E205" s="91"/>
      <c r="F205" s="91"/>
      <c r="G205" s="91"/>
      <c r="H205" s="91"/>
      <c r="I205" s="91"/>
      <c r="J205" s="91"/>
      <c r="K205" s="91"/>
      <c r="L205" s="91"/>
      <c r="M205" s="91"/>
      <c r="N205" s="91"/>
      <c r="O205" s="91"/>
    </row>
    <row r="207" spans="1:15" x14ac:dyDescent="0.35">
      <c r="A207" s="92"/>
    </row>
    <row r="208" spans="1:15"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5:Q150 P151:Q187 B151:O205">
    <cfRule type="cellIs" dxfId="3" priority="1" stopIfTrue="1" operator="equal">
      <formula>0</formula>
    </cfRule>
  </conditionalFormatting>
  <conditionalFormatting sqref="B5:J176">
    <cfRule type="cellIs" priority="2" stopIfTrue="1" operator="equal">
      <formula>0</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2"/>
  </sheetPr>
  <dimension ref="A2:Q216"/>
  <sheetViews>
    <sheetView showGridLines="0" showRowColHeaders="0" zoomScale="85" zoomScaleNormal="85" workbookViewId="0">
      <pane xSplit="1" ySplit="4" topLeftCell="B143" activePane="bottomRight" state="frozen"/>
      <selection activeCell="C35" sqref="C35"/>
      <selection pane="topRight" activeCell="C35" sqref="C35"/>
      <selection pane="bottomLeft" activeCell="C35" sqref="C35"/>
      <selection pane="bottomRight" activeCell="A4" sqref="A4:O171"/>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177</v>
      </c>
    </row>
    <row r="4" spans="1:17" s="101" customFormat="1" x14ac:dyDescent="0.35">
      <c r="A4" s="212"/>
      <c r="B4" s="212"/>
      <c r="C4" s="212"/>
      <c r="D4" s="212"/>
      <c r="E4" s="212"/>
      <c r="F4" s="212"/>
      <c r="G4" s="212"/>
      <c r="H4" s="212"/>
      <c r="I4" s="212"/>
      <c r="J4" s="212"/>
      <c r="K4" s="212"/>
      <c r="L4" s="212"/>
      <c r="M4" s="212"/>
      <c r="N4" s="212"/>
      <c r="O4" s="212"/>
      <c r="P4" s="90"/>
    </row>
    <row r="5" spans="1:17" s="101" customFormat="1" x14ac:dyDescent="0.35">
      <c r="A5" s="212"/>
      <c r="B5" s="214"/>
      <c r="C5" s="214"/>
      <c r="D5" s="214"/>
      <c r="E5" s="214"/>
      <c r="F5" s="214"/>
      <c r="G5" s="214"/>
      <c r="H5" s="214"/>
      <c r="I5" s="214"/>
      <c r="J5" s="214"/>
      <c r="K5" s="213"/>
      <c r="L5" s="213"/>
      <c r="M5" s="213"/>
      <c r="N5" s="214"/>
      <c r="O5" s="214"/>
      <c r="P5" s="91"/>
      <c r="Q5" s="91"/>
    </row>
    <row r="6" spans="1:17" s="101" customFormat="1" x14ac:dyDescent="0.35">
      <c r="A6" s="215"/>
      <c r="B6" s="216"/>
      <c r="C6" s="216"/>
      <c r="D6" s="216"/>
      <c r="E6" s="216"/>
      <c r="F6" s="216"/>
      <c r="G6" s="216"/>
      <c r="H6" s="216"/>
      <c r="I6" s="216"/>
      <c r="J6" s="216"/>
      <c r="K6" s="217"/>
      <c r="L6" s="217"/>
      <c r="M6" s="217"/>
      <c r="N6" s="216"/>
      <c r="O6" s="216"/>
      <c r="P6" s="91"/>
      <c r="Q6" s="91"/>
    </row>
    <row r="7" spans="1:17" s="101" customFormat="1" x14ac:dyDescent="0.35">
      <c r="A7" s="90"/>
      <c r="B7" s="91"/>
      <c r="C7" s="91"/>
      <c r="D7" s="91"/>
      <c r="E7" s="91"/>
      <c r="F7" s="91"/>
      <c r="G7" s="91"/>
      <c r="H7" s="91"/>
      <c r="I7" s="91"/>
      <c r="J7" s="91"/>
      <c r="K7" s="213"/>
      <c r="L7" s="213"/>
      <c r="M7" s="213"/>
      <c r="N7" s="214"/>
      <c r="O7" s="214"/>
      <c r="P7" s="91"/>
      <c r="Q7" s="91"/>
    </row>
    <row r="8" spans="1:17" s="101" customFormat="1" x14ac:dyDescent="0.35">
      <c r="A8" s="90"/>
      <c r="B8" s="91"/>
      <c r="C8" s="91"/>
      <c r="D8" s="91"/>
      <c r="E8" s="91"/>
      <c r="F8" s="91"/>
      <c r="G8" s="91"/>
      <c r="H8" s="91"/>
      <c r="I8" s="91"/>
      <c r="J8" s="91"/>
      <c r="K8" s="213"/>
      <c r="L8" s="213"/>
      <c r="M8" s="213"/>
      <c r="N8" s="214"/>
      <c r="O8" s="214"/>
      <c r="P8" s="91"/>
      <c r="Q8" s="91"/>
    </row>
    <row r="9" spans="1:17" s="101" customFormat="1" x14ac:dyDescent="0.35">
      <c r="A9" s="90"/>
      <c r="B9" s="91"/>
      <c r="C9" s="91"/>
      <c r="D9" s="91"/>
      <c r="E9" s="91"/>
      <c r="F9" s="91"/>
      <c r="G9" s="91"/>
      <c r="H9" s="91"/>
      <c r="I9" s="91"/>
      <c r="J9" s="91"/>
      <c r="K9" s="213"/>
      <c r="L9" s="213"/>
      <c r="M9" s="213"/>
      <c r="N9" s="214"/>
      <c r="O9" s="214"/>
      <c r="P9" s="91"/>
      <c r="Q9" s="91"/>
    </row>
    <row r="10" spans="1:17" s="101" customFormat="1" x14ac:dyDescent="0.35">
      <c r="A10" s="90"/>
      <c r="B10" s="91"/>
      <c r="C10" s="91"/>
      <c r="D10" s="91"/>
      <c r="E10" s="91"/>
      <c r="F10" s="91"/>
      <c r="G10" s="91"/>
      <c r="H10" s="91"/>
      <c r="I10" s="91"/>
      <c r="J10" s="91"/>
      <c r="K10" s="213"/>
      <c r="L10" s="213"/>
      <c r="M10" s="213"/>
      <c r="N10" s="214"/>
      <c r="O10" s="214"/>
      <c r="P10" s="91"/>
      <c r="Q10" s="91"/>
    </row>
    <row r="11" spans="1:17" s="101" customFormat="1" x14ac:dyDescent="0.35">
      <c r="A11" s="90"/>
      <c r="B11" s="91"/>
      <c r="C11" s="91"/>
      <c r="D11" s="91"/>
      <c r="E11" s="91"/>
      <c r="F11" s="91"/>
      <c r="G11" s="91"/>
      <c r="H11" s="91"/>
      <c r="I11" s="91"/>
      <c r="J11" s="91"/>
      <c r="K11" s="213"/>
      <c r="L11" s="213"/>
      <c r="M11" s="213"/>
      <c r="N11" s="214"/>
      <c r="O11" s="214"/>
      <c r="P11" s="91"/>
      <c r="Q11" s="91"/>
    </row>
    <row r="12" spans="1:17" s="101" customFormat="1" x14ac:dyDescent="0.35">
      <c r="A12" s="90"/>
      <c r="B12" s="91"/>
      <c r="C12" s="91"/>
      <c r="D12" s="91"/>
      <c r="E12" s="91"/>
      <c r="F12" s="91"/>
      <c r="G12" s="91"/>
      <c r="H12" s="91"/>
      <c r="I12" s="91"/>
      <c r="J12" s="91"/>
      <c r="K12" s="213"/>
      <c r="L12" s="213"/>
      <c r="M12" s="213"/>
      <c r="N12" s="214"/>
      <c r="O12" s="214"/>
      <c r="P12" s="91"/>
      <c r="Q12" s="91"/>
    </row>
    <row r="13" spans="1:17" s="101" customFormat="1" x14ac:dyDescent="0.35">
      <c r="A13" s="90"/>
      <c r="B13" s="91"/>
      <c r="C13" s="91"/>
      <c r="D13" s="91"/>
      <c r="E13" s="91"/>
      <c r="F13" s="91"/>
      <c r="G13" s="91"/>
      <c r="H13" s="91"/>
      <c r="I13" s="91"/>
      <c r="J13" s="91"/>
      <c r="K13" s="213"/>
      <c r="L13" s="213"/>
      <c r="M13" s="213"/>
      <c r="N13" s="214"/>
      <c r="O13" s="214"/>
      <c r="P13" s="91"/>
      <c r="Q13" s="91"/>
    </row>
    <row r="14" spans="1:17" s="101" customFormat="1" x14ac:dyDescent="0.35">
      <c r="A14" s="90"/>
      <c r="B14" s="91"/>
      <c r="C14" s="91"/>
      <c r="D14" s="91"/>
      <c r="E14" s="91"/>
      <c r="F14" s="91"/>
      <c r="G14" s="91"/>
      <c r="H14" s="91"/>
      <c r="I14" s="91"/>
      <c r="J14" s="91"/>
      <c r="K14" s="213"/>
      <c r="L14" s="213"/>
      <c r="M14" s="213"/>
      <c r="N14" s="214"/>
      <c r="O14" s="214"/>
      <c r="P14" s="91"/>
      <c r="Q14" s="91"/>
    </row>
    <row r="15" spans="1:17" s="101" customFormat="1" x14ac:dyDescent="0.35">
      <c r="A15" s="90"/>
      <c r="B15" s="91"/>
      <c r="C15" s="91"/>
      <c r="D15" s="91"/>
      <c r="E15" s="91"/>
      <c r="F15" s="91"/>
      <c r="G15" s="91"/>
      <c r="H15" s="91"/>
      <c r="I15" s="91"/>
      <c r="J15" s="91"/>
      <c r="K15" s="213"/>
      <c r="L15" s="213"/>
      <c r="M15" s="213"/>
      <c r="N15" s="214"/>
      <c r="O15" s="214"/>
      <c r="P15" s="91"/>
      <c r="Q15" s="91"/>
    </row>
    <row r="16" spans="1:17" s="101" customFormat="1" x14ac:dyDescent="0.35">
      <c r="A16" s="90"/>
      <c r="B16" s="91"/>
      <c r="C16" s="91"/>
      <c r="D16" s="91"/>
      <c r="E16" s="91"/>
      <c r="F16" s="91"/>
      <c r="G16" s="91"/>
      <c r="H16" s="91"/>
      <c r="I16" s="91"/>
      <c r="J16" s="91"/>
      <c r="K16" s="213"/>
      <c r="L16" s="213"/>
      <c r="M16" s="213"/>
      <c r="N16" s="214"/>
      <c r="O16" s="214"/>
      <c r="P16" s="91"/>
      <c r="Q16" s="91"/>
    </row>
    <row r="17" spans="1:17" s="101" customFormat="1" x14ac:dyDescent="0.35">
      <c r="A17" s="90"/>
      <c r="B17" s="91"/>
      <c r="C17" s="91"/>
      <c r="D17" s="91"/>
      <c r="E17" s="91"/>
      <c r="F17" s="91"/>
      <c r="G17" s="91"/>
      <c r="H17" s="91"/>
      <c r="I17" s="91"/>
      <c r="J17" s="91"/>
      <c r="K17" s="213"/>
      <c r="L17" s="213"/>
      <c r="M17" s="213"/>
      <c r="N17" s="214"/>
      <c r="O17" s="214"/>
      <c r="P17" s="91"/>
      <c r="Q17" s="91"/>
    </row>
    <row r="18" spans="1:17" s="101" customFormat="1" x14ac:dyDescent="0.35">
      <c r="A18" s="90"/>
      <c r="B18" s="91"/>
      <c r="C18" s="91"/>
      <c r="D18" s="91"/>
      <c r="E18" s="91"/>
      <c r="F18" s="91"/>
      <c r="G18" s="91"/>
      <c r="H18" s="91"/>
      <c r="I18" s="91"/>
      <c r="J18" s="91"/>
      <c r="K18" s="213"/>
      <c r="L18" s="213"/>
      <c r="M18" s="213"/>
      <c r="N18" s="214"/>
      <c r="O18" s="214"/>
      <c r="P18" s="91"/>
      <c r="Q18" s="91"/>
    </row>
    <row r="19" spans="1:17" s="101" customFormat="1" x14ac:dyDescent="0.35">
      <c r="A19" s="90"/>
      <c r="B19" s="91"/>
      <c r="C19" s="91"/>
      <c r="D19" s="91"/>
      <c r="E19" s="91"/>
      <c r="F19" s="91"/>
      <c r="G19" s="91"/>
      <c r="H19" s="91"/>
      <c r="I19" s="91"/>
      <c r="J19" s="91"/>
      <c r="K19" s="213"/>
      <c r="L19" s="213"/>
      <c r="M19" s="213"/>
      <c r="N19" s="214"/>
      <c r="O19" s="214"/>
      <c r="P19" s="91"/>
      <c r="Q19" s="91"/>
    </row>
    <row r="20" spans="1:17" s="101" customFormat="1" x14ac:dyDescent="0.35">
      <c r="A20" s="90"/>
      <c r="B20" s="91"/>
      <c r="C20" s="91"/>
      <c r="D20" s="91"/>
      <c r="E20" s="91"/>
      <c r="F20" s="91"/>
      <c r="G20" s="91"/>
      <c r="H20" s="91"/>
      <c r="I20" s="91"/>
      <c r="J20" s="91"/>
      <c r="K20" s="213"/>
      <c r="L20" s="213"/>
      <c r="M20" s="213"/>
      <c r="N20" s="214"/>
      <c r="O20" s="214"/>
      <c r="P20" s="91"/>
      <c r="Q20" s="91"/>
    </row>
    <row r="21" spans="1:17" s="101" customFormat="1" x14ac:dyDescent="0.35">
      <c r="A21" s="90"/>
      <c r="B21" s="91"/>
      <c r="C21" s="91"/>
      <c r="D21" s="91"/>
      <c r="E21" s="91"/>
      <c r="F21" s="91"/>
      <c r="G21" s="91"/>
      <c r="H21" s="91"/>
      <c r="I21" s="91"/>
      <c r="J21" s="91"/>
      <c r="K21" s="213"/>
      <c r="L21" s="213"/>
      <c r="M21" s="213"/>
      <c r="N21" s="214"/>
      <c r="O21" s="214"/>
      <c r="P21" s="91"/>
      <c r="Q21" s="91"/>
    </row>
    <row r="22" spans="1:17" s="101" customFormat="1" x14ac:dyDescent="0.35">
      <c r="A22" s="90"/>
      <c r="B22" s="91"/>
      <c r="C22" s="91"/>
      <c r="D22" s="91"/>
      <c r="E22" s="91"/>
      <c r="F22" s="91"/>
      <c r="G22" s="91"/>
      <c r="H22" s="91"/>
      <c r="I22" s="91"/>
      <c r="J22" s="91"/>
      <c r="K22" s="213"/>
      <c r="L22" s="213"/>
      <c r="M22" s="213"/>
      <c r="N22" s="214"/>
      <c r="O22" s="214"/>
      <c r="P22" s="91"/>
      <c r="Q22" s="91"/>
    </row>
    <row r="23" spans="1:17" s="101" customFormat="1" x14ac:dyDescent="0.35">
      <c r="A23" s="90"/>
      <c r="B23" s="91"/>
      <c r="C23" s="91"/>
      <c r="D23" s="91"/>
      <c r="E23" s="91"/>
      <c r="F23" s="91"/>
      <c r="G23" s="91"/>
      <c r="H23" s="91"/>
      <c r="I23" s="91"/>
      <c r="J23" s="91"/>
      <c r="K23" s="213"/>
      <c r="L23" s="213"/>
      <c r="M23" s="213"/>
      <c r="N23" s="214"/>
      <c r="O23" s="214"/>
      <c r="P23" s="91"/>
      <c r="Q23" s="91"/>
    </row>
    <row r="24" spans="1:17" s="101" customFormat="1" x14ac:dyDescent="0.35">
      <c r="A24" s="90"/>
      <c r="B24" s="91"/>
      <c r="C24" s="91"/>
      <c r="D24" s="91"/>
      <c r="E24" s="91"/>
      <c r="F24" s="91"/>
      <c r="G24" s="91"/>
      <c r="H24" s="91"/>
      <c r="I24" s="91"/>
      <c r="J24" s="91"/>
      <c r="K24" s="213"/>
      <c r="L24" s="213"/>
      <c r="M24" s="213"/>
      <c r="N24" s="214"/>
      <c r="O24" s="214"/>
      <c r="P24" s="91"/>
      <c r="Q24" s="91"/>
    </row>
    <row r="25" spans="1:17" s="101" customFormat="1" x14ac:dyDescent="0.35">
      <c r="A25" s="90"/>
      <c r="B25" s="91"/>
      <c r="C25" s="91"/>
      <c r="D25" s="91"/>
      <c r="E25" s="91"/>
      <c r="F25" s="91"/>
      <c r="G25" s="91"/>
      <c r="H25" s="91"/>
      <c r="I25" s="91"/>
      <c r="J25" s="91"/>
      <c r="K25" s="213"/>
      <c r="L25" s="213"/>
      <c r="M25" s="213"/>
      <c r="N25" s="214"/>
      <c r="O25" s="214"/>
      <c r="P25" s="91"/>
      <c r="Q25" s="91"/>
    </row>
    <row r="26" spans="1:17" s="101" customFormat="1" x14ac:dyDescent="0.35">
      <c r="A26" s="90"/>
      <c r="B26" s="91"/>
      <c r="C26" s="91"/>
      <c r="D26" s="91"/>
      <c r="E26" s="91"/>
      <c r="F26" s="91"/>
      <c r="G26" s="91"/>
      <c r="H26" s="91"/>
      <c r="I26" s="91"/>
      <c r="J26" s="91"/>
      <c r="K26" s="213"/>
      <c r="L26" s="213"/>
      <c r="M26" s="213"/>
      <c r="N26" s="214"/>
      <c r="O26" s="214"/>
      <c r="P26" s="91"/>
      <c r="Q26" s="91"/>
    </row>
    <row r="27" spans="1:17" s="101" customFormat="1" x14ac:dyDescent="0.35">
      <c r="A27" s="90"/>
      <c r="B27" s="91"/>
      <c r="C27" s="91"/>
      <c r="D27" s="91"/>
      <c r="E27" s="91"/>
      <c r="F27" s="91"/>
      <c r="G27" s="91"/>
      <c r="H27" s="91"/>
      <c r="I27" s="91"/>
      <c r="J27" s="91"/>
      <c r="K27" s="213"/>
      <c r="L27" s="213"/>
      <c r="M27" s="213"/>
      <c r="N27" s="214"/>
      <c r="O27" s="214"/>
      <c r="P27" s="91"/>
      <c r="Q27" s="91"/>
    </row>
    <row r="28" spans="1:17" s="101" customFormat="1" x14ac:dyDescent="0.35">
      <c r="A28" s="90"/>
      <c r="B28" s="91"/>
      <c r="C28" s="91"/>
      <c r="D28" s="91"/>
      <c r="E28" s="91"/>
      <c r="F28" s="91"/>
      <c r="G28" s="91"/>
      <c r="H28" s="91"/>
      <c r="I28" s="91"/>
      <c r="J28" s="91"/>
      <c r="K28" s="213"/>
      <c r="L28" s="213"/>
      <c r="M28" s="213"/>
      <c r="N28" s="214"/>
      <c r="O28" s="214"/>
      <c r="P28" s="91"/>
      <c r="Q28" s="91"/>
    </row>
    <row r="29" spans="1:17" s="101" customFormat="1" x14ac:dyDescent="0.35">
      <c r="A29" s="90"/>
      <c r="B29" s="91"/>
      <c r="C29" s="91"/>
      <c r="D29" s="91"/>
      <c r="E29" s="91"/>
      <c r="F29" s="91"/>
      <c r="G29" s="91"/>
      <c r="H29" s="91"/>
      <c r="I29" s="91"/>
      <c r="J29" s="91"/>
      <c r="K29" s="213"/>
      <c r="L29" s="213"/>
      <c r="M29" s="213"/>
      <c r="N29" s="214"/>
      <c r="O29" s="214"/>
      <c r="P29" s="91"/>
      <c r="Q29" s="91"/>
    </row>
    <row r="30" spans="1:17" s="101" customFormat="1" x14ac:dyDescent="0.35">
      <c r="A30" s="90"/>
      <c r="B30" s="91"/>
      <c r="C30" s="91"/>
      <c r="D30" s="91"/>
      <c r="E30" s="91"/>
      <c r="F30" s="91"/>
      <c r="G30" s="91"/>
      <c r="H30" s="91"/>
      <c r="I30" s="91"/>
      <c r="J30" s="91"/>
      <c r="K30" s="213"/>
      <c r="L30" s="213"/>
      <c r="M30" s="213"/>
      <c r="N30" s="214"/>
      <c r="O30" s="214"/>
      <c r="P30" s="91"/>
      <c r="Q30" s="91"/>
    </row>
    <row r="31" spans="1:17" s="101" customFormat="1" x14ac:dyDescent="0.35">
      <c r="A31" s="90"/>
      <c r="B31" s="91"/>
      <c r="C31" s="91"/>
      <c r="D31" s="91"/>
      <c r="E31" s="91"/>
      <c r="F31" s="91"/>
      <c r="G31" s="91"/>
      <c r="H31" s="91"/>
      <c r="I31" s="91"/>
      <c r="J31" s="91"/>
      <c r="K31" s="213"/>
      <c r="L31" s="213"/>
      <c r="M31" s="213"/>
      <c r="N31" s="214"/>
      <c r="O31" s="214"/>
      <c r="P31" s="91"/>
      <c r="Q31" s="91"/>
    </row>
    <row r="32" spans="1:17" s="101" customFormat="1" x14ac:dyDescent="0.35">
      <c r="A32" s="90"/>
      <c r="B32" s="91"/>
      <c r="C32" s="91"/>
      <c r="D32" s="91"/>
      <c r="E32" s="91"/>
      <c r="F32" s="91"/>
      <c r="G32" s="91"/>
      <c r="H32" s="91"/>
      <c r="I32" s="91"/>
      <c r="J32" s="91"/>
      <c r="K32" s="213"/>
      <c r="L32" s="213"/>
      <c r="M32" s="213"/>
      <c r="N32" s="214"/>
      <c r="O32" s="214"/>
      <c r="P32" s="91"/>
      <c r="Q32" s="91"/>
    </row>
    <row r="33" spans="1:17" s="101" customFormat="1" x14ac:dyDescent="0.35">
      <c r="A33" s="90"/>
      <c r="B33" s="91"/>
      <c r="C33" s="91"/>
      <c r="D33" s="91"/>
      <c r="E33" s="91"/>
      <c r="F33" s="91"/>
      <c r="G33" s="91"/>
      <c r="H33" s="91"/>
      <c r="I33" s="91"/>
      <c r="J33" s="91"/>
      <c r="K33" s="213"/>
      <c r="L33" s="213"/>
      <c r="M33" s="213"/>
      <c r="N33" s="214"/>
      <c r="O33" s="214"/>
      <c r="P33" s="91"/>
      <c r="Q33" s="91"/>
    </row>
    <row r="34" spans="1:17" s="101" customFormat="1" x14ac:dyDescent="0.35">
      <c r="A34" s="90"/>
      <c r="B34" s="91"/>
      <c r="C34" s="91"/>
      <c r="D34" s="91"/>
      <c r="E34" s="91"/>
      <c r="F34" s="91"/>
      <c r="G34" s="91"/>
      <c r="H34" s="91"/>
      <c r="I34" s="91"/>
      <c r="J34" s="91"/>
      <c r="K34" s="213"/>
      <c r="L34" s="213"/>
      <c r="M34" s="213"/>
      <c r="N34" s="214"/>
      <c r="O34" s="214"/>
      <c r="P34" s="91"/>
      <c r="Q34" s="91"/>
    </row>
    <row r="35" spans="1:17" s="101" customFormat="1" x14ac:dyDescent="0.35">
      <c r="A35" s="90"/>
      <c r="B35" s="91"/>
      <c r="C35" s="91"/>
      <c r="D35" s="91"/>
      <c r="E35" s="91"/>
      <c r="F35" s="91"/>
      <c r="G35" s="91"/>
      <c r="H35" s="91"/>
      <c r="I35" s="91"/>
      <c r="J35" s="91"/>
      <c r="K35" s="213"/>
      <c r="L35" s="213"/>
      <c r="M35" s="213"/>
      <c r="N35" s="214"/>
      <c r="O35" s="214"/>
      <c r="P35" s="91"/>
      <c r="Q35" s="91"/>
    </row>
    <row r="36" spans="1:17" s="101" customFormat="1" x14ac:dyDescent="0.35">
      <c r="A36" s="90"/>
      <c r="B36" s="91"/>
      <c r="C36" s="91"/>
      <c r="D36" s="91"/>
      <c r="E36" s="91"/>
      <c r="F36" s="91"/>
      <c r="G36" s="91"/>
      <c r="H36" s="91"/>
      <c r="I36" s="91"/>
      <c r="J36" s="91"/>
      <c r="K36" s="213"/>
      <c r="L36" s="213"/>
      <c r="M36" s="213"/>
      <c r="N36" s="214"/>
      <c r="O36" s="214"/>
      <c r="P36" s="91"/>
      <c r="Q36" s="91"/>
    </row>
    <row r="37" spans="1:17" s="101" customFormat="1" x14ac:dyDescent="0.35">
      <c r="A37" s="90"/>
      <c r="B37" s="91"/>
      <c r="C37" s="91"/>
      <c r="D37" s="91"/>
      <c r="E37" s="91"/>
      <c r="F37" s="91"/>
      <c r="G37" s="91"/>
      <c r="H37" s="91"/>
      <c r="I37" s="91"/>
      <c r="J37" s="91"/>
      <c r="K37" s="213"/>
      <c r="L37" s="213"/>
      <c r="M37" s="213"/>
      <c r="N37" s="214"/>
      <c r="O37" s="214"/>
      <c r="P37" s="91"/>
      <c r="Q37" s="91"/>
    </row>
    <row r="38" spans="1:17" s="101" customFormat="1" x14ac:dyDescent="0.35">
      <c r="A38" s="90"/>
      <c r="B38" s="91"/>
      <c r="C38" s="91"/>
      <c r="D38" s="91"/>
      <c r="E38" s="91"/>
      <c r="F38" s="91"/>
      <c r="G38" s="91"/>
      <c r="H38" s="91"/>
      <c r="I38" s="91"/>
      <c r="J38" s="91"/>
      <c r="K38" s="213"/>
      <c r="L38" s="213"/>
      <c r="M38" s="213"/>
      <c r="N38" s="214"/>
      <c r="O38" s="214"/>
      <c r="P38" s="91"/>
      <c r="Q38" s="91"/>
    </row>
    <row r="39" spans="1:17" s="101" customFormat="1" x14ac:dyDescent="0.35">
      <c r="A39" s="90"/>
      <c r="B39" s="91"/>
      <c r="C39" s="91"/>
      <c r="D39" s="91"/>
      <c r="E39" s="91"/>
      <c r="F39" s="91"/>
      <c r="G39" s="91"/>
      <c r="H39" s="91"/>
      <c r="I39" s="91"/>
      <c r="J39" s="91"/>
      <c r="K39" s="213"/>
      <c r="L39" s="213"/>
      <c r="M39" s="213"/>
      <c r="N39" s="214"/>
      <c r="O39" s="214"/>
      <c r="P39" s="91"/>
      <c r="Q39" s="91"/>
    </row>
    <row r="40" spans="1:17" s="101" customFormat="1" x14ac:dyDescent="0.35">
      <c r="A40" s="215"/>
      <c r="B40" s="216"/>
      <c r="C40" s="216"/>
      <c r="D40" s="216"/>
      <c r="E40" s="216"/>
      <c r="F40" s="216"/>
      <c r="G40" s="216"/>
      <c r="H40" s="216"/>
      <c r="I40" s="216"/>
      <c r="J40" s="216"/>
      <c r="K40" s="217"/>
      <c r="L40" s="217"/>
      <c r="M40" s="217"/>
      <c r="N40" s="216"/>
      <c r="O40" s="216"/>
      <c r="P40" s="91"/>
      <c r="Q40" s="91"/>
    </row>
    <row r="41" spans="1:17" s="101" customFormat="1" x14ac:dyDescent="0.35">
      <c r="A41" s="90"/>
      <c r="B41" s="91"/>
      <c r="C41" s="91"/>
      <c r="D41" s="91"/>
      <c r="E41" s="91"/>
      <c r="F41" s="91"/>
      <c r="G41" s="91"/>
      <c r="H41" s="91"/>
      <c r="I41" s="91"/>
      <c r="J41" s="91"/>
      <c r="K41" s="213"/>
      <c r="L41" s="213"/>
      <c r="M41" s="213"/>
      <c r="N41" s="214"/>
      <c r="O41" s="214"/>
      <c r="P41" s="91"/>
      <c r="Q41" s="91"/>
    </row>
    <row r="42" spans="1:17" s="101" customFormat="1" x14ac:dyDescent="0.35">
      <c r="A42" s="90"/>
      <c r="B42" s="91"/>
      <c r="C42" s="91"/>
      <c r="D42" s="91"/>
      <c r="E42" s="91"/>
      <c r="F42" s="91"/>
      <c r="G42" s="91"/>
      <c r="H42" s="91"/>
      <c r="I42" s="91"/>
      <c r="J42" s="91"/>
      <c r="K42" s="213"/>
      <c r="L42" s="213"/>
      <c r="M42" s="213"/>
      <c r="N42" s="214"/>
      <c r="O42" s="214"/>
      <c r="P42" s="91"/>
      <c r="Q42" s="91"/>
    </row>
    <row r="43" spans="1:17" s="101" customFormat="1" x14ac:dyDescent="0.35">
      <c r="A43" s="90"/>
      <c r="B43" s="91"/>
      <c r="C43" s="91"/>
      <c r="D43" s="91"/>
      <c r="E43" s="91"/>
      <c r="F43" s="91"/>
      <c r="G43" s="91"/>
      <c r="H43" s="91"/>
      <c r="I43" s="91"/>
      <c r="J43" s="91"/>
      <c r="K43" s="213"/>
      <c r="L43" s="213"/>
      <c r="M43" s="213"/>
      <c r="N43" s="214"/>
      <c r="O43" s="214"/>
      <c r="P43" s="91"/>
      <c r="Q43" s="91"/>
    </row>
    <row r="44" spans="1:17" s="101" customFormat="1" x14ac:dyDescent="0.35">
      <c r="A44" s="90"/>
      <c r="B44" s="91"/>
      <c r="C44" s="91"/>
      <c r="D44" s="91"/>
      <c r="E44" s="91"/>
      <c r="F44" s="91"/>
      <c r="G44" s="91"/>
      <c r="H44" s="91"/>
      <c r="I44" s="91"/>
      <c r="J44" s="91"/>
      <c r="K44" s="213"/>
      <c r="L44" s="213"/>
      <c r="M44" s="213"/>
      <c r="N44" s="214"/>
      <c r="O44" s="214"/>
      <c r="P44" s="91"/>
      <c r="Q44" s="91"/>
    </row>
    <row r="45" spans="1:17" s="101" customFormat="1" x14ac:dyDescent="0.35">
      <c r="A45" s="90"/>
      <c r="B45" s="91"/>
      <c r="C45" s="91"/>
      <c r="D45" s="91"/>
      <c r="E45" s="91"/>
      <c r="F45" s="91"/>
      <c r="G45" s="91"/>
      <c r="H45" s="91"/>
      <c r="I45" s="91"/>
      <c r="J45" s="91"/>
      <c r="K45" s="213"/>
      <c r="L45" s="213"/>
      <c r="M45" s="213"/>
      <c r="N45" s="214"/>
      <c r="O45" s="214"/>
      <c r="P45" s="91"/>
      <c r="Q45" s="91"/>
    </row>
    <row r="46" spans="1:17" s="101" customFormat="1" x14ac:dyDescent="0.35">
      <c r="A46" s="90"/>
      <c r="B46" s="91"/>
      <c r="C46" s="91"/>
      <c r="D46" s="91"/>
      <c r="E46" s="91"/>
      <c r="F46" s="91"/>
      <c r="G46" s="91"/>
      <c r="H46" s="91"/>
      <c r="I46" s="91"/>
      <c r="J46" s="91"/>
      <c r="K46" s="213"/>
      <c r="L46" s="213"/>
      <c r="M46" s="213"/>
      <c r="N46" s="214"/>
      <c r="O46" s="214"/>
      <c r="P46" s="91"/>
      <c r="Q46" s="91"/>
    </row>
    <row r="47" spans="1:17" s="101" customFormat="1" x14ac:dyDescent="0.35">
      <c r="A47" s="90"/>
      <c r="B47" s="91"/>
      <c r="C47" s="91"/>
      <c r="D47" s="91"/>
      <c r="E47" s="91"/>
      <c r="F47" s="91"/>
      <c r="G47" s="91"/>
      <c r="H47" s="91"/>
      <c r="I47" s="91"/>
      <c r="J47" s="91"/>
      <c r="K47" s="213"/>
      <c r="L47" s="213"/>
      <c r="M47" s="213"/>
      <c r="N47" s="214"/>
      <c r="O47" s="214"/>
      <c r="P47" s="91"/>
      <c r="Q47" s="91"/>
    </row>
    <row r="48" spans="1:17" s="101" customFormat="1" x14ac:dyDescent="0.35">
      <c r="A48" s="90"/>
      <c r="B48" s="91"/>
      <c r="C48" s="91"/>
      <c r="D48" s="91"/>
      <c r="E48" s="91"/>
      <c r="F48" s="91"/>
      <c r="G48" s="91"/>
      <c r="H48" s="91"/>
      <c r="I48" s="91"/>
      <c r="J48" s="91"/>
      <c r="K48" s="213"/>
      <c r="L48" s="213"/>
      <c r="M48" s="213"/>
      <c r="N48" s="214"/>
      <c r="O48" s="214"/>
      <c r="P48" s="91"/>
      <c r="Q48" s="91"/>
    </row>
    <row r="49" spans="1:17" s="101" customFormat="1" x14ac:dyDescent="0.35">
      <c r="A49" s="90"/>
      <c r="B49" s="91"/>
      <c r="C49" s="91"/>
      <c r="D49" s="91"/>
      <c r="E49" s="91"/>
      <c r="F49" s="91"/>
      <c r="G49" s="91"/>
      <c r="H49" s="91"/>
      <c r="I49" s="91"/>
      <c r="J49" s="91"/>
      <c r="K49" s="213"/>
      <c r="L49" s="213"/>
      <c r="M49" s="213"/>
      <c r="N49" s="214"/>
      <c r="O49" s="214"/>
      <c r="P49" s="91"/>
      <c r="Q49" s="91"/>
    </row>
    <row r="50" spans="1:17" s="101" customFormat="1" x14ac:dyDescent="0.35">
      <c r="A50" s="90"/>
      <c r="B50" s="91"/>
      <c r="C50" s="91"/>
      <c r="D50" s="91"/>
      <c r="E50" s="91"/>
      <c r="F50" s="91"/>
      <c r="G50" s="91"/>
      <c r="H50" s="91"/>
      <c r="I50" s="91"/>
      <c r="J50" s="91"/>
      <c r="K50" s="213"/>
      <c r="L50" s="213"/>
      <c r="M50" s="213"/>
      <c r="N50" s="214"/>
      <c r="O50" s="214"/>
      <c r="P50" s="91"/>
      <c r="Q50" s="91"/>
    </row>
    <row r="51" spans="1:17" s="101" customFormat="1" x14ac:dyDescent="0.35">
      <c r="A51" s="90"/>
      <c r="B51" s="91"/>
      <c r="C51" s="91"/>
      <c r="D51" s="91"/>
      <c r="E51" s="91"/>
      <c r="F51" s="91"/>
      <c r="G51" s="91"/>
      <c r="H51" s="91"/>
      <c r="I51" s="91"/>
      <c r="J51" s="91"/>
      <c r="K51" s="213"/>
      <c r="L51" s="213"/>
      <c r="M51" s="213"/>
      <c r="N51" s="214"/>
      <c r="O51" s="214"/>
      <c r="P51" s="91"/>
      <c r="Q51" s="91"/>
    </row>
    <row r="52" spans="1:17" s="101" customFormat="1" x14ac:dyDescent="0.35">
      <c r="A52" s="90"/>
      <c r="B52" s="91"/>
      <c r="C52" s="91"/>
      <c r="D52" s="91"/>
      <c r="E52" s="91"/>
      <c r="F52" s="91"/>
      <c r="G52" s="91"/>
      <c r="H52" s="91"/>
      <c r="I52" s="91"/>
      <c r="J52" s="91"/>
      <c r="K52" s="213"/>
      <c r="L52" s="213"/>
      <c r="M52" s="213"/>
      <c r="N52" s="214"/>
      <c r="O52" s="214"/>
      <c r="P52" s="91"/>
      <c r="Q52" s="91"/>
    </row>
    <row r="53" spans="1:17" s="101" customFormat="1" x14ac:dyDescent="0.35">
      <c r="A53" s="90"/>
      <c r="B53" s="91"/>
      <c r="C53" s="91"/>
      <c r="D53" s="91"/>
      <c r="E53" s="91"/>
      <c r="F53" s="91"/>
      <c r="G53" s="91"/>
      <c r="H53" s="91"/>
      <c r="I53" s="91"/>
      <c r="J53" s="91"/>
      <c r="K53" s="213"/>
      <c r="L53" s="213"/>
      <c r="M53" s="213"/>
      <c r="N53" s="214"/>
      <c r="O53" s="214"/>
      <c r="P53" s="91"/>
      <c r="Q53" s="91"/>
    </row>
    <row r="54" spans="1:17" s="101" customFormat="1" x14ac:dyDescent="0.35">
      <c r="A54" s="90"/>
      <c r="B54" s="91"/>
      <c r="C54" s="91"/>
      <c r="D54" s="91"/>
      <c r="E54" s="91"/>
      <c r="F54" s="91"/>
      <c r="G54" s="91"/>
      <c r="H54" s="91"/>
      <c r="I54" s="91"/>
      <c r="J54" s="91"/>
      <c r="K54" s="213"/>
      <c r="L54" s="213"/>
      <c r="M54" s="213"/>
      <c r="N54" s="214"/>
      <c r="O54" s="214"/>
      <c r="P54" s="91"/>
      <c r="Q54" s="91"/>
    </row>
    <row r="55" spans="1:17" s="101" customFormat="1" x14ac:dyDescent="0.35">
      <c r="A55" s="90"/>
      <c r="B55" s="91"/>
      <c r="C55" s="91"/>
      <c r="D55" s="91"/>
      <c r="E55" s="91"/>
      <c r="F55" s="91"/>
      <c r="G55" s="91"/>
      <c r="H55" s="91"/>
      <c r="I55" s="91"/>
      <c r="J55" s="91"/>
      <c r="K55" s="213"/>
      <c r="L55" s="213"/>
      <c r="M55" s="213"/>
      <c r="N55" s="214"/>
      <c r="O55" s="214"/>
      <c r="P55" s="91"/>
      <c r="Q55" s="91"/>
    </row>
    <row r="56" spans="1:17" s="101" customFormat="1" x14ac:dyDescent="0.35">
      <c r="A56" s="90"/>
      <c r="B56" s="91"/>
      <c r="C56" s="91"/>
      <c r="D56" s="91"/>
      <c r="E56" s="91"/>
      <c r="F56" s="91"/>
      <c r="G56" s="91"/>
      <c r="H56" s="91"/>
      <c r="I56" s="91"/>
      <c r="J56" s="91"/>
      <c r="K56" s="213"/>
      <c r="L56" s="213"/>
      <c r="M56" s="213"/>
      <c r="N56" s="214"/>
      <c r="O56" s="214"/>
      <c r="P56" s="91"/>
      <c r="Q56" s="91"/>
    </row>
    <row r="57" spans="1:17" s="101" customFormat="1" x14ac:dyDescent="0.35">
      <c r="A57" s="90"/>
      <c r="B57" s="91"/>
      <c r="C57" s="91"/>
      <c r="D57" s="91"/>
      <c r="E57" s="91"/>
      <c r="F57" s="91"/>
      <c r="G57" s="91"/>
      <c r="H57" s="91"/>
      <c r="I57" s="91"/>
      <c r="J57" s="91"/>
      <c r="K57" s="213"/>
      <c r="L57" s="213"/>
      <c r="M57" s="213"/>
      <c r="N57" s="214"/>
      <c r="O57" s="214"/>
      <c r="P57" s="91"/>
      <c r="Q57" s="91"/>
    </row>
    <row r="58" spans="1:17" s="101" customFormat="1" x14ac:dyDescent="0.35">
      <c r="A58" s="90"/>
      <c r="B58" s="91"/>
      <c r="C58" s="91"/>
      <c r="D58" s="91"/>
      <c r="E58" s="91"/>
      <c r="F58" s="91"/>
      <c r="G58" s="91"/>
      <c r="H58" s="91"/>
      <c r="I58" s="91"/>
      <c r="J58" s="91"/>
      <c r="K58" s="213"/>
      <c r="L58" s="213"/>
      <c r="M58" s="213"/>
      <c r="N58" s="214"/>
      <c r="O58" s="214"/>
      <c r="P58" s="91"/>
      <c r="Q58" s="91"/>
    </row>
    <row r="59" spans="1:17" s="101" customFormat="1" x14ac:dyDescent="0.35">
      <c r="A59" s="90"/>
      <c r="B59" s="91"/>
      <c r="C59" s="91"/>
      <c r="D59" s="91"/>
      <c r="E59" s="91"/>
      <c r="F59" s="91"/>
      <c r="G59" s="91"/>
      <c r="H59" s="91"/>
      <c r="I59" s="91"/>
      <c r="J59" s="91"/>
      <c r="K59" s="213"/>
      <c r="L59" s="213"/>
      <c r="M59" s="213"/>
      <c r="N59" s="214"/>
      <c r="O59" s="214"/>
      <c r="P59" s="91"/>
      <c r="Q59" s="91"/>
    </row>
    <row r="60" spans="1:17" s="101" customFormat="1" x14ac:dyDescent="0.35">
      <c r="A60" s="90"/>
      <c r="B60" s="91"/>
      <c r="C60" s="91"/>
      <c r="D60" s="91"/>
      <c r="E60" s="91"/>
      <c r="F60" s="91"/>
      <c r="G60" s="91"/>
      <c r="H60" s="91"/>
      <c r="I60" s="91"/>
      <c r="J60" s="91"/>
      <c r="K60" s="213"/>
      <c r="L60" s="213"/>
      <c r="M60" s="213"/>
      <c r="N60" s="214"/>
      <c r="O60" s="214"/>
      <c r="P60" s="91"/>
      <c r="Q60" s="91"/>
    </row>
    <row r="61" spans="1:17" s="101" customFormat="1" x14ac:dyDescent="0.35">
      <c r="A61" s="90"/>
      <c r="B61" s="91"/>
      <c r="C61" s="91"/>
      <c r="D61" s="91"/>
      <c r="E61" s="91"/>
      <c r="F61" s="91"/>
      <c r="G61" s="91"/>
      <c r="H61" s="91"/>
      <c r="I61" s="91"/>
      <c r="J61" s="91"/>
      <c r="K61" s="213"/>
      <c r="L61" s="213"/>
      <c r="M61" s="213"/>
      <c r="N61" s="214"/>
      <c r="O61" s="214"/>
      <c r="P61" s="91"/>
      <c r="Q61" s="91"/>
    </row>
    <row r="62" spans="1:17" s="101" customFormat="1" x14ac:dyDescent="0.35">
      <c r="A62" s="90"/>
      <c r="B62" s="91"/>
      <c r="C62" s="91"/>
      <c r="D62" s="91"/>
      <c r="E62" s="91"/>
      <c r="F62" s="91"/>
      <c r="G62" s="91"/>
      <c r="H62" s="91"/>
      <c r="I62" s="91"/>
      <c r="J62" s="91"/>
      <c r="K62" s="213"/>
      <c r="L62" s="213"/>
      <c r="M62" s="213"/>
      <c r="N62" s="214"/>
      <c r="O62" s="214"/>
      <c r="P62" s="91"/>
      <c r="Q62" s="91"/>
    </row>
    <row r="63" spans="1:17" s="101" customFormat="1" x14ac:dyDescent="0.35">
      <c r="A63" s="90"/>
      <c r="B63" s="91"/>
      <c r="C63" s="91"/>
      <c r="D63" s="91"/>
      <c r="E63" s="91"/>
      <c r="F63" s="91"/>
      <c r="G63" s="91"/>
      <c r="H63" s="91"/>
      <c r="I63" s="91"/>
      <c r="J63" s="91"/>
      <c r="K63" s="213"/>
      <c r="L63" s="213"/>
      <c r="M63" s="213"/>
      <c r="N63" s="214"/>
      <c r="O63" s="214"/>
      <c r="P63" s="91"/>
      <c r="Q63" s="91"/>
    </row>
    <row r="64" spans="1:17" s="101" customFormat="1" x14ac:dyDescent="0.35">
      <c r="A64" s="90"/>
      <c r="B64" s="91"/>
      <c r="C64" s="91"/>
      <c r="D64" s="91"/>
      <c r="E64" s="91"/>
      <c r="F64" s="91"/>
      <c r="G64" s="91"/>
      <c r="H64" s="91"/>
      <c r="I64" s="91"/>
      <c r="J64" s="91"/>
      <c r="K64" s="213"/>
      <c r="L64" s="213"/>
      <c r="M64" s="213"/>
      <c r="N64" s="214"/>
      <c r="O64" s="214"/>
      <c r="P64" s="91"/>
      <c r="Q64" s="91"/>
    </row>
    <row r="65" spans="1:17" s="101" customFormat="1" x14ac:dyDescent="0.35">
      <c r="A65" s="90"/>
      <c r="B65" s="91"/>
      <c r="C65" s="91"/>
      <c r="D65" s="91"/>
      <c r="E65" s="91"/>
      <c r="F65" s="91"/>
      <c r="G65" s="91"/>
      <c r="H65" s="91"/>
      <c r="I65" s="91"/>
      <c r="J65" s="91"/>
      <c r="K65" s="213"/>
      <c r="L65" s="213"/>
      <c r="M65" s="213"/>
      <c r="N65" s="214"/>
      <c r="O65" s="214"/>
      <c r="P65" s="91"/>
      <c r="Q65" s="91"/>
    </row>
    <row r="66" spans="1:17" s="101" customFormat="1" x14ac:dyDescent="0.35">
      <c r="A66" s="90"/>
      <c r="B66" s="91"/>
      <c r="C66" s="91"/>
      <c r="D66" s="91"/>
      <c r="E66" s="91"/>
      <c r="F66" s="91"/>
      <c r="G66" s="91"/>
      <c r="H66" s="91"/>
      <c r="I66" s="91"/>
      <c r="J66" s="91"/>
      <c r="K66" s="213"/>
      <c r="L66" s="213"/>
      <c r="M66" s="213"/>
      <c r="N66" s="214"/>
      <c r="O66" s="214"/>
      <c r="P66" s="91"/>
      <c r="Q66" s="91"/>
    </row>
    <row r="67" spans="1:17" s="101" customFormat="1" x14ac:dyDescent="0.35">
      <c r="A67" s="90"/>
      <c r="B67" s="91"/>
      <c r="C67" s="91"/>
      <c r="D67" s="91"/>
      <c r="E67" s="91"/>
      <c r="F67" s="91"/>
      <c r="G67" s="91"/>
      <c r="H67" s="91"/>
      <c r="I67" s="91"/>
      <c r="J67" s="91"/>
      <c r="K67" s="213"/>
      <c r="L67" s="213"/>
      <c r="M67" s="213"/>
      <c r="N67" s="214"/>
      <c r="O67" s="214"/>
      <c r="P67" s="91"/>
      <c r="Q67" s="91"/>
    </row>
    <row r="68" spans="1:17" s="101" customFormat="1" x14ac:dyDescent="0.35">
      <c r="A68" s="90"/>
      <c r="B68" s="91"/>
      <c r="C68" s="91"/>
      <c r="D68" s="91"/>
      <c r="E68" s="91"/>
      <c r="F68" s="91"/>
      <c r="G68" s="91"/>
      <c r="H68" s="91"/>
      <c r="I68" s="91"/>
      <c r="J68" s="91"/>
      <c r="K68" s="213"/>
      <c r="L68" s="213"/>
      <c r="M68" s="213"/>
      <c r="N68" s="214"/>
      <c r="O68" s="214"/>
      <c r="P68" s="91"/>
      <c r="Q68" s="91"/>
    </row>
    <row r="69" spans="1:17" s="101" customFormat="1" x14ac:dyDescent="0.35">
      <c r="A69" s="90"/>
      <c r="B69" s="91"/>
      <c r="C69" s="91"/>
      <c r="D69" s="91"/>
      <c r="E69" s="91"/>
      <c r="F69" s="91"/>
      <c r="G69" s="91"/>
      <c r="H69" s="91"/>
      <c r="I69" s="91"/>
      <c r="J69" s="91"/>
      <c r="K69" s="213"/>
      <c r="L69" s="213"/>
      <c r="M69" s="213"/>
      <c r="N69" s="214"/>
      <c r="O69" s="214"/>
      <c r="P69" s="91"/>
      <c r="Q69" s="91"/>
    </row>
    <row r="70" spans="1:17" s="101" customFormat="1" x14ac:dyDescent="0.35">
      <c r="A70" s="90"/>
      <c r="B70" s="91"/>
      <c r="C70" s="91"/>
      <c r="D70" s="91"/>
      <c r="E70" s="91"/>
      <c r="F70" s="91"/>
      <c r="G70" s="91"/>
      <c r="H70" s="91"/>
      <c r="I70" s="91"/>
      <c r="J70" s="91"/>
      <c r="K70" s="213"/>
      <c r="L70" s="213"/>
      <c r="M70" s="213"/>
      <c r="N70" s="214"/>
      <c r="O70" s="214"/>
      <c r="P70" s="91"/>
      <c r="Q70" s="91"/>
    </row>
    <row r="71" spans="1:17" s="101" customFormat="1" x14ac:dyDescent="0.35">
      <c r="A71" s="90"/>
      <c r="B71" s="91"/>
      <c r="C71" s="91"/>
      <c r="D71" s="91"/>
      <c r="E71" s="91"/>
      <c r="F71" s="91"/>
      <c r="G71" s="91"/>
      <c r="H71" s="91"/>
      <c r="I71" s="91"/>
      <c r="J71" s="91"/>
      <c r="K71" s="213"/>
      <c r="L71" s="213"/>
      <c r="M71" s="213"/>
      <c r="N71" s="214"/>
      <c r="O71" s="214"/>
      <c r="P71" s="91"/>
      <c r="Q71" s="91"/>
    </row>
    <row r="72" spans="1:17" s="101" customFormat="1" x14ac:dyDescent="0.35">
      <c r="A72" s="90"/>
      <c r="B72" s="91"/>
      <c r="C72" s="91"/>
      <c r="D72" s="91"/>
      <c r="E72" s="91"/>
      <c r="F72" s="91"/>
      <c r="G72" s="91"/>
      <c r="H72" s="91"/>
      <c r="I72" s="91"/>
      <c r="J72" s="91"/>
      <c r="K72" s="213"/>
      <c r="L72" s="213"/>
      <c r="M72" s="213"/>
      <c r="N72" s="214"/>
      <c r="O72" s="214"/>
      <c r="P72" s="91"/>
      <c r="Q72" s="91"/>
    </row>
    <row r="73" spans="1:17" s="101" customFormat="1" x14ac:dyDescent="0.35">
      <c r="A73" s="215"/>
      <c r="B73" s="216"/>
      <c r="C73" s="216"/>
      <c r="D73" s="216"/>
      <c r="E73" s="216"/>
      <c r="F73" s="216"/>
      <c r="G73" s="216"/>
      <c r="H73" s="216"/>
      <c r="I73" s="216"/>
      <c r="J73" s="216"/>
      <c r="K73" s="217"/>
      <c r="L73" s="217"/>
      <c r="M73" s="217"/>
      <c r="N73" s="216"/>
      <c r="O73" s="216"/>
      <c r="P73" s="91"/>
      <c r="Q73" s="91"/>
    </row>
    <row r="74" spans="1:17" s="101" customFormat="1" x14ac:dyDescent="0.35">
      <c r="A74" s="90"/>
      <c r="B74" s="91"/>
      <c r="C74" s="91"/>
      <c r="D74" s="91"/>
      <c r="E74" s="91"/>
      <c r="F74" s="91"/>
      <c r="G74" s="91"/>
      <c r="H74" s="91"/>
      <c r="I74" s="91"/>
      <c r="J74" s="91"/>
      <c r="K74" s="213"/>
      <c r="L74" s="213"/>
      <c r="M74" s="213"/>
      <c r="N74" s="214"/>
      <c r="O74" s="214"/>
      <c r="P74" s="91"/>
      <c r="Q74" s="91"/>
    </row>
    <row r="75" spans="1:17" s="101" customFormat="1" x14ac:dyDescent="0.35">
      <c r="A75" s="90"/>
      <c r="B75" s="91"/>
      <c r="C75" s="91"/>
      <c r="D75" s="91"/>
      <c r="E75" s="91"/>
      <c r="F75" s="91"/>
      <c r="G75" s="91"/>
      <c r="H75" s="91"/>
      <c r="I75" s="91"/>
      <c r="J75" s="91"/>
      <c r="K75" s="213"/>
      <c r="L75" s="213"/>
      <c r="M75" s="213"/>
      <c r="N75" s="214"/>
      <c r="O75" s="214"/>
      <c r="P75" s="91"/>
      <c r="Q75" s="91"/>
    </row>
    <row r="76" spans="1:17" s="101" customFormat="1" x14ac:dyDescent="0.35">
      <c r="A76" s="90"/>
      <c r="B76" s="91"/>
      <c r="C76" s="91"/>
      <c r="D76" s="91"/>
      <c r="E76" s="91"/>
      <c r="F76" s="91"/>
      <c r="G76" s="91"/>
      <c r="H76" s="91"/>
      <c r="I76" s="91"/>
      <c r="J76" s="91"/>
      <c r="K76" s="213"/>
      <c r="L76" s="213"/>
      <c r="M76" s="213"/>
      <c r="N76" s="214"/>
      <c r="O76" s="214"/>
      <c r="P76" s="91"/>
      <c r="Q76" s="91"/>
    </row>
    <row r="77" spans="1:17" s="101" customFormat="1" x14ac:dyDescent="0.35">
      <c r="A77" s="90"/>
      <c r="B77" s="91"/>
      <c r="C77" s="91"/>
      <c r="D77" s="91"/>
      <c r="E77" s="91"/>
      <c r="F77" s="91"/>
      <c r="G77" s="91"/>
      <c r="H77" s="91"/>
      <c r="I77" s="91"/>
      <c r="J77" s="91"/>
      <c r="K77" s="213"/>
      <c r="L77" s="213"/>
      <c r="M77" s="213"/>
      <c r="N77" s="214"/>
      <c r="O77" s="214"/>
      <c r="P77" s="91"/>
      <c r="Q77" s="91"/>
    </row>
    <row r="78" spans="1:17" s="101" customFormat="1" x14ac:dyDescent="0.35">
      <c r="A78" s="90"/>
      <c r="B78" s="91"/>
      <c r="C78" s="91"/>
      <c r="D78" s="91"/>
      <c r="E78" s="91"/>
      <c r="F78" s="91"/>
      <c r="G78" s="91"/>
      <c r="H78" s="91"/>
      <c r="I78" s="91"/>
      <c r="J78" s="91"/>
      <c r="K78" s="213"/>
      <c r="L78" s="213"/>
      <c r="M78" s="213"/>
      <c r="N78" s="214"/>
      <c r="O78" s="214"/>
      <c r="P78" s="91"/>
      <c r="Q78" s="91"/>
    </row>
    <row r="79" spans="1:17" s="101" customFormat="1" x14ac:dyDescent="0.35">
      <c r="A79" s="90"/>
      <c r="B79" s="91"/>
      <c r="C79" s="91"/>
      <c r="D79" s="91"/>
      <c r="E79" s="91"/>
      <c r="F79" s="91"/>
      <c r="G79" s="91"/>
      <c r="H79" s="91"/>
      <c r="I79" s="91"/>
      <c r="J79" s="91"/>
      <c r="K79" s="213"/>
      <c r="L79" s="213"/>
      <c r="M79" s="213"/>
      <c r="N79" s="214"/>
      <c r="O79" s="214"/>
      <c r="P79" s="91"/>
      <c r="Q79" s="91"/>
    </row>
    <row r="80" spans="1:17" s="101" customFormat="1" x14ac:dyDescent="0.35">
      <c r="A80" s="90"/>
      <c r="B80" s="91"/>
      <c r="C80" s="91"/>
      <c r="D80" s="91"/>
      <c r="E80" s="91"/>
      <c r="F80" s="91"/>
      <c r="G80" s="91"/>
      <c r="H80" s="91"/>
      <c r="I80" s="91"/>
      <c r="J80" s="91"/>
      <c r="K80" s="213"/>
      <c r="L80" s="213"/>
      <c r="M80" s="213"/>
      <c r="N80" s="214"/>
      <c r="O80" s="214"/>
      <c r="P80" s="91"/>
      <c r="Q80" s="91"/>
    </row>
    <row r="81" spans="1:17" s="101" customFormat="1" x14ac:dyDescent="0.35">
      <c r="A81" s="90"/>
      <c r="B81" s="91"/>
      <c r="C81" s="91"/>
      <c r="D81" s="91"/>
      <c r="E81" s="91"/>
      <c r="F81" s="91"/>
      <c r="G81" s="91"/>
      <c r="H81" s="91"/>
      <c r="I81" s="91"/>
      <c r="J81" s="91"/>
      <c r="K81" s="213"/>
      <c r="L81" s="213"/>
      <c r="M81" s="213"/>
      <c r="N81" s="214"/>
      <c r="O81" s="214"/>
      <c r="P81" s="91"/>
      <c r="Q81" s="91"/>
    </row>
    <row r="82" spans="1:17" s="101" customFormat="1" x14ac:dyDescent="0.35">
      <c r="A82" s="90"/>
      <c r="B82" s="91"/>
      <c r="C82" s="91"/>
      <c r="D82" s="91"/>
      <c r="E82" s="91"/>
      <c r="F82" s="91"/>
      <c r="G82" s="91"/>
      <c r="H82" s="91"/>
      <c r="I82" s="91"/>
      <c r="J82" s="91"/>
      <c r="K82" s="213"/>
      <c r="L82" s="213"/>
      <c r="M82" s="213"/>
      <c r="N82" s="214"/>
      <c r="O82" s="214"/>
      <c r="P82" s="91"/>
      <c r="Q82" s="91"/>
    </row>
    <row r="83" spans="1:17" s="101" customFormat="1" x14ac:dyDescent="0.35">
      <c r="A83" s="90"/>
      <c r="B83" s="91"/>
      <c r="C83" s="91"/>
      <c r="D83" s="91"/>
      <c r="E83" s="91"/>
      <c r="F83" s="91"/>
      <c r="G83" s="91"/>
      <c r="H83" s="91"/>
      <c r="I83" s="91"/>
      <c r="J83" s="91"/>
      <c r="K83" s="213"/>
      <c r="L83" s="213"/>
      <c r="M83" s="213"/>
      <c r="N83" s="214"/>
      <c r="O83" s="214"/>
      <c r="P83" s="91"/>
      <c r="Q83" s="91"/>
    </row>
    <row r="84" spans="1:17" s="101" customFormat="1" x14ac:dyDescent="0.35">
      <c r="A84" s="90"/>
      <c r="B84" s="91"/>
      <c r="C84" s="91"/>
      <c r="D84" s="91"/>
      <c r="E84" s="91"/>
      <c r="F84" s="91"/>
      <c r="G84" s="91"/>
      <c r="H84" s="91"/>
      <c r="I84" s="91"/>
      <c r="J84" s="91"/>
      <c r="K84" s="213"/>
      <c r="L84" s="213"/>
      <c r="M84" s="213"/>
      <c r="N84" s="214"/>
      <c r="O84" s="214"/>
      <c r="P84" s="91"/>
      <c r="Q84" s="91"/>
    </row>
    <row r="85" spans="1:17" s="101" customFormat="1" x14ac:dyDescent="0.35">
      <c r="A85" s="90"/>
      <c r="B85" s="91"/>
      <c r="C85" s="91"/>
      <c r="D85" s="91"/>
      <c r="E85" s="91"/>
      <c r="F85" s="91"/>
      <c r="G85" s="91"/>
      <c r="H85" s="91"/>
      <c r="I85" s="91"/>
      <c r="J85" s="91"/>
      <c r="K85" s="213"/>
      <c r="L85" s="213"/>
      <c r="M85" s="213"/>
      <c r="N85" s="214"/>
      <c r="O85" s="214"/>
      <c r="P85" s="91"/>
      <c r="Q85" s="91"/>
    </row>
    <row r="86" spans="1:17" s="101" customFormat="1" x14ac:dyDescent="0.35">
      <c r="A86" s="90"/>
      <c r="B86" s="91"/>
      <c r="C86" s="91"/>
      <c r="D86" s="91"/>
      <c r="E86" s="91"/>
      <c r="F86" s="91"/>
      <c r="G86" s="91"/>
      <c r="H86" s="91"/>
      <c r="I86" s="91"/>
      <c r="J86" s="91"/>
      <c r="K86" s="213"/>
      <c r="L86" s="213"/>
      <c r="M86" s="213"/>
      <c r="N86" s="214"/>
      <c r="O86" s="214"/>
      <c r="P86" s="91"/>
      <c r="Q86" s="91"/>
    </row>
    <row r="87" spans="1:17" s="101" customFormat="1" x14ac:dyDescent="0.35">
      <c r="A87" s="90"/>
      <c r="B87" s="91"/>
      <c r="C87" s="91"/>
      <c r="D87" s="91"/>
      <c r="E87" s="91"/>
      <c r="F87" s="91"/>
      <c r="G87" s="91"/>
      <c r="H87" s="91"/>
      <c r="I87" s="91"/>
      <c r="J87" s="91"/>
      <c r="K87" s="213"/>
      <c r="L87" s="213"/>
      <c r="M87" s="213"/>
      <c r="N87" s="214"/>
      <c r="O87" s="214"/>
      <c r="P87" s="91"/>
      <c r="Q87" s="91"/>
    </row>
    <row r="88" spans="1:17" s="101" customFormat="1" x14ac:dyDescent="0.35">
      <c r="A88" s="90"/>
      <c r="B88" s="91"/>
      <c r="C88" s="91"/>
      <c r="D88" s="91"/>
      <c r="E88" s="91"/>
      <c r="F88" s="91"/>
      <c r="G88" s="91"/>
      <c r="H88" s="91"/>
      <c r="I88" s="91"/>
      <c r="J88" s="91"/>
      <c r="K88" s="213"/>
      <c r="L88" s="213"/>
      <c r="M88" s="213"/>
      <c r="N88" s="214"/>
      <c r="O88" s="214"/>
      <c r="P88" s="91"/>
      <c r="Q88" s="91"/>
    </row>
    <row r="89" spans="1:17" s="101" customFormat="1" x14ac:dyDescent="0.35">
      <c r="A89" s="90"/>
      <c r="B89" s="91"/>
      <c r="C89" s="91"/>
      <c r="D89" s="91"/>
      <c r="E89" s="91"/>
      <c r="F89" s="91"/>
      <c r="G89" s="91"/>
      <c r="H89" s="91"/>
      <c r="I89" s="91"/>
      <c r="J89" s="91"/>
      <c r="K89" s="213"/>
      <c r="L89" s="213"/>
      <c r="M89" s="213"/>
      <c r="N89" s="214"/>
      <c r="O89" s="214"/>
      <c r="P89" s="91"/>
      <c r="Q89" s="91"/>
    </row>
    <row r="90" spans="1:17" s="101" customFormat="1" x14ac:dyDescent="0.35">
      <c r="A90" s="90"/>
      <c r="B90" s="91"/>
      <c r="C90" s="91"/>
      <c r="D90" s="91"/>
      <c r="E90" s="91"/>
      <c r="F90" s="91"/>
      <c r="G90" s="91"/>
      <c r="H90" s="91"/>
      <c r="I90" s="91"/>
      <c r="J90" s="91"/>
      <c r="K90" s="213"/>
      <c r="L90" s="213"/>
      <c r="M90" s="213"/>
      <c r="N90" s="214"/>
      <c r="O90" s="214"/>
      <c r="P90" s="91"/>
      <c r="Q90" s="91"/>
    </row>
    <row r="91" spans="1:17" s="101" customFormat="1" x14ac:dyDescent="0.35">
      <c r="A91" s="90"/>
      <c r="B91" s="91"/>
      <c r="C91" s="91"/>
      <c r="D91" s="91"/>
      <c r="E91" s="91"/>
      <c r="F91" s="91"/>
      <c r="G91" s="91"/>
      <c r="H91" s="91"/>
      <c r="I91" s="91"/>
      <c r="J91" s="91"/>
      <c r="K91" s="213"/>
      <c r="L91" s="213"/>
      <c r="M91" s="213"/>
      <c r="N91" s="214"/>
      <c r="O91" s="214"/>
      <c r="P91" s="91"/>
      <c r="Q91" s="91"/>
    </row>
    <row r="92" spans="1:17" s="101" customFormat="1" x14ac:dyDescent="0.35">
      <c r="A92" s="215"/>
      <c r="B92" s="216"/>
      <c r="C92" s="216"/>
      <c r="D92" s="216"/>
      <c r="E92" s="216"/>
      <c r="F92" s="216"/>
      <c r="G92" s="216"/>
      <c r="H92" s="216"/>
      <c r="I92" s="216"/>
      <c r="J92" s="216"/>
      <c r="K92" s="217"/>
      <c r="L92" s="217"/>
      <c r="M92" s="217"/>
      <c r="N92" s="216"/>
      <c r="O92" s="216"/>
      <c r="P92" s="91"/>
      <c r="Q92" s="91"/>
    </row>
    <row r="93" spans="1:17" s="101" customFormat="1" x14ac:dyDescent="0.35">
      <c r="A93" s="90"/>
      <c r="B93" s="91"/>
      <c r="C93" s="91"/>
      <c r="D93" s="91"/>
      <c r="E93" s="91"/>
      <c r="F93" s="91"/>
      <c r="G93" s="91"/>
      <c r="H93" s="91"/>
      <c r="I93" s="91"/>
      <c r="J93" s="91"/>
      <c r="K93" s="213"/>
      <c r="L93" s="213"/>
      <c r="M93" s="213"/>
      <c r="N93" s="214"/>
      <c r="O93" s="214"/>
      <c r="P93" s="91"/>
      <c r="Q93" s="91"/>
    </row>
    <row r="94" spans="1:17" s="101" customFormat="1" x14ac:dyDescent="0.35">
      <c r="A94" s="90"/>
      <c r="B94" s="91"/>
      <c r="C94" s="91"/>
      <c r="D94" s="91"/>
      <c r="E94" s="91"/>
      <c r="F94" s="91"/>
      <c r="G94" s="91"/>
      <c r="H94" s="91"/>
      <c r="I94" s="91"/>
      <c r="J94" s="91"/>
      <c r="K94" s="213"/>
      <c r="L94" s="213"/>
      <c r="M94" s="213"/>
      <c r="N94" s="214"/>
      <c r="O94" s="214"/>
      <c r="P94" s="91"/>
      <c r="Q94" s="91"/>
    </row>
    <row r="95" spans="1:17" s="101" customFormat="1" x14ac:dyDescent="0.35">
      <c r="A95" s="90"/>
      <c r="B95" s="91"/>
      <c r="C95" s="91"/>
      <c r="D95" s="91"/>
      <c r="E95" s="91"/>
      <c r="F95" s="91"/>
      <c r="G95" s="91"/>
      <c r="H95" s="91"/>
      <c r="I95" s="91"/>
      <c r="J95" s="91"/>
      <c r="K95" s="213"/>
      <c r="L95" s="213"/>
      <c r="M95" s="213"/>
      <c r="N95" s="214"/>
      <c r="O95" s="214"/>
      <c r="P95" s="91"/>
      <c r="Q95" s="91"/>
    </row>
    <row r="96" spans="1:17" s="101" customFormat="1" x14ac:dyDescent="0.35">
      <c r="A96" s="90"/>
      <c r="B96" s="91"/>
      <c r="C96" s="91"/>
      <c r="D96" s="91"/>
      <c r="E96" s="91"/>
      <c r="F96" s="91"/>
      <c r="G96" s="91"/>
      <c r="H96" s="91"/>
      <c r="I96" s="91"/>
      <c r="J96" s="91"/>
      <c r="K96" s="213"/>
      <c r="L96" s="213"/>
      <c r="M96" s="213"/>
      <c r="N96" s="214"/>
      <c r="O96" s="214"/>
      <c r="P96" s="91"/>
      <c r="Q96" s="91"/>
    </row>
    <row r="97" spans="1:17" s="101" customFormat="1" x14ac:dyDescent="0.35">
      <c r="A97" s="90"/>
      <c r="B97" s="91"/>
      <c r="C97" s="91"/>
      <c r="D97" s="91"/>
      <c r="E97" s="91"/>
      <c r="F97" s="91"/>
      <c r="G97" s="91"/>
      <c r="H97" s="91"/>
      <c r="I97" s="91"/>
      <c r="J97" s="91"/>
      <c r="K97" s="213"/>
      <c r="L97" s="213"/>
      <c r="M97" s="213"/>
      <c r="N97" s="214"/>
      <c r="O97" s="214"/>
      <c r="P97" s="91"/>
      <c r="Q97" s="91"/>
    </row>
    <row r="98" spans="1:17" s="101" customFormat="1" x14ac:dyDescent="0.35">
      <c r="A98" s="90"/>
      <c r="B98" s="91"/>
      <c r="C98" s="91"/>
      <c r="D98" s="91"/>
      <c r="E98" s="91"/>
      <c r="F98" s="91"/>
      <c r="G98" s="91"/>
      <c r="H98" s="91"/>
      <c r="I98" s="91"/>
      <c r="J98" s="91"/>
      <c r="K98" s="213"/>
      <c r="L98" s="213"/>
      <c r="M98" s="213"/>
      <c r="N98" s="214"/>
      <c r="O98" s="214"/>
      <c r="P98" s="91"/>
      <c r="Q98" s="91"/>
    </row>
    <row r="99" spans="1:17" s="101" customFormat="1" x14ac:dyDescent="0.35">
      <c r="A99" s="90"/>
      <c r="B99" s="91"/>
      <c r="C99" s="91"/>
      <c r="D99" s="91"/>
      <c r="E99" s="91"/>
      <c r="F99" s="91"/>
      <c r="G99" s="91"/>
      <c r="H99" s="91"/>
      <c r="I99" s="91"/>
      <c r="J99" s="91"/>
      <c r="K99" s="213"/>
      <c r="L99" s="213"/>
      <c r="M99" s="213"/>
      <c r="N99" s="214"/>
      <c r="O99" s="214"/>
      <c r="P99" s="91"/>
      <c r="Q99" s="91"/>
    </row>
    <row r="100" spans="1:17" s="101" customFormat="1" x14ac:dyDescent="0.35">
      <c r="A100" s="90"/>
      <c r="B100" s="91"/>
      <c r="C100" s="91"/>
      <c r="D100" s="91"/>
      <c r="E100" s="91"/>
      <c r="F100" s="91"/>
      <c r="G100" s="91"/>
      <c r="H100" s="91"/>
      <c r="I100" s="91"/>
      <c r="J100" s="91"/>
      <c r="K100" s="213"/>
      <c r="L100" s="213"/>
      <c r="M100" s="213"/>
      <c r="N100" s="214"/>
      <c r="O100" s="214"/>
      <c r="P100" s="91"/>
      <c r="Q100" s="91"/>
    </row>
    <row r="101" spans="1:17" s="101" customFormat="1" x14ac:dyDescent="0.35">
      <c r="A101" s="90"/>
      <c r="B101" s="91"/>
      <c r="C101" s="91"/>
      <c r="D101" s="91"/>
      <c r="E101" s="91"/>
      <c r="F101" s="91"/>
      <c r="G101" s="91"/>
      <c r="H101" s="91"/>
      <c r="I101" s="91"/>
      <c r="J101" s="91"/>
      <c r="K101" s="213"/>
      <c r="L101" s="213"/>
      <c r="M101" s="213"/>
      <c r="N101" s="214"/>
      <c r="O101" s="214"/>
      <c r="P101" s="91"/>
      <c r="Q101" s="91"/>
    </row>
    <row r="102" spans="1:17" s="101" customFormat="1" x14ac:dyDescent="0.35">
      <c r="A102" s="90"/>
      <c r="B102" s="91"/>
      <c r="C102" s="91"/>
      <c r="D102" s="91"/>
      <c r="E102" s="91"/>
      <c r="F102" s="91"/>
      <c r="G102" s="91"/>
      <c r="H102" s="91"/>
      <c r="I102" s="91"/>
      <c r="J102" s="91"/>
      <c r="K102" s="213"/>
      <c r="L102" s="213"/>
      <c r="M102" s="213"/>
      <c r="N102" s="214"/>
      <c r="O102" s="214"/>
      <c r="P102" s="91"/>
      <c r="Q102" s="91"/>
    </row>
    <row r="103" spans="1:17" s="101" customFormat="1" x14ac:dyDescent="0.35">
      <c r="A103" s="90"/>
      <c r="B103" s="91"/>
      <c r="C103" s="91"/>
      <c r="D103" s="91"/>
      <c r="E103" s="91"/>
      <c r="F103" s="91"/>
      <c r="G103" s="91"/>
      <c r="H103" s="91"/>
      <c r="I103" s="91"/>
      <c r="J103" s="91"/>
      <c r="K103" s="213"/>
      <c r="L103" s="213"/>
      <c r="M103" s="213"/>
      <c r="N103" s="214"/>
      <c r="O103" s="214"/>
      <c r="P103" s="91"/>
      <c r="Q103" s="91"/>
    </row>
    <row r="104" spans="1:17" s="101" customFormat="1" x14ac:dyDescent="0.35">
      <c r="A104" s="90"/>
      <c r="B104" s="91"/>
      <c r="C104" s="91"/>
      <c r="D104" s="91"/>
      <c r="E104" s="91"/>
      <c r="F104" s="91"/>
      <c r="G104" s="91"/>
      <c r="H104" s="91"/>
      <c r="I104" s="91"/>
      <c r="J104" s="91"/>
      <c r="K104" s="213"/>
      <c r="L104" s="213"/>
      <c r="M104" s="213"/>
      <c r="N104" s="214"/>
      <c r="O104" s="214"/>
      <c r="P104" s="91"/>
      <c r="Q104" s="91"/>
    </row>
    <row r="105" spans="1:17" s="101" customFormat="1" x14ac:dyDescent="0.35">
      <c r="A105" s="90"/>
      <c r="B105" s="91"/>
      <c r="C105" s="91"/>
      <c r="D105" s="91"/>
      <c r="E105" s="91"/>
      <c r="F105" s="91"/>
      <c r="G105" s="91"/>
      <c r="H105" s="91"/>
      <c r="I105" s="91"/>
      <c r="J105" s="91"/>
      <c r="K105" s="213"/>
      <c r="L105" s="213"/>
      <c r="M105" s="213"/>
      <c r="N105" s="214"/>
      <c r="O105" s="214"/>
      <c r="P105" s="91"/>
      <c r="Q105" s="91"/>
    </row>
    <row r="106" spans="1:17" s="101" customFormat="1" x14ac:dyDescent="0.35">
      <c r="A106" s="90"/>
      <c r="B106" s="91"/>
      <c r="C106" s="91"/>
      <c r="D106" s="91"/>
      <c r="E106" s="91"/>
      <c r="F106" s="91"/>
      <c r="G106" s="91"/>
      <c r="H106" s="91"/>
      <c r="I106" s="91"/>
      <c r="J106" s="91"/>
      <c r="K106" s="213"/>
      <c r="L106" s="213"/>
      <c r="M106" s="213"/>
      <c r="N106" s="214"/>
      <c r="O106" s="214"/>
      <c r="P106" s="91"/>
      <c r="Q106" s="91"/>
    </row>
    <row r="107" spans="1:17" s="101" customFormat="1" x14ac:dyDescent="0.35">
      <c r="A107" s="90"/>
      <c r="B107" s="91"/>
      <c r="C107" s="91"/>
      <c r="D107" s="91"/>
      <c r="E107" s="91"/>
      <c r="F107" s="91"/>
      <c r="G107" s="91"/>
      <c r="H107" s="91"/>
      <c r="I107" s="91"/>
      <c r="J107" s="91"/>
      <c r="K107" s="213"/>
      <c r="L107" s="213"/>
      <c r="M107" s="213"/>
      <c r="N107" s="214"/>
      <c r="O107" s="214"/>
      <c r="P107" s="91"/>
      <c r="Q107" s="91"/>
    </row>
    <row r="108" spans="1:17" s="101" customFormat="1" x14ac:dyDescent="0.35">
      <c r="A108" s="90"/>
      <c r="B108" s="91"/>
      <c r="C108" s="91"/>
      <c r="D108" s="91"/>
      <c r="E108" s="91"/>
      <c r="F108" s="91"/>
      <c r="G108" s="91"/>
      <c r="H108" s="91"/>
      <c r="I108" s="91"/>
      <c r="J108" s="91"/>
      <c r="K108" s="213"/>
      <c r="L108" s="213"/>
      <c r="M108" s="213"/>
      <c r="N108" s="214"/>
      <c r="O108" s="214"/>
      <c r="P108" s="91"/>
      <c r="Q108" s="91"/>
    </row>
    <row r="109" spans="1:17" s="101" customFormat="1" x14ac:dyDescent="0.35">
      <c r="A109" s="90"/>
      <c r="B109" s="91"/>
      <c r="C109" s="91"/>
      <c r="D109" s="91"/>
      <c r="E109" s="91"/>
      <c r="F109" s="91"/>
      <c r="G109" s="91"/>
      <c r="H109" s="91"/>
      <c r="I109" s="91"/>
      <c r="J109" s="91"/>
      <c r="K109" s="213"/>
      <c r="L109" s="213"/>
      <c r="M109" s="213"/>
      <c r="N109" s="214"/>
      <c r="O109" s="214"/>
      <c r="P109" s="91"/>
      <c r="Q109" s="91"/>
    </row>
    <row r="110" spans="1:17" s="101" customFormat="1" x14ac:dyDescent="0.35">
      <c r="A110" s="90"/>
      <c r="B110" s="91"/>
      <c r="C110" s="91"/>
      <c r="D110" s="91"/>
      <c r="E110" s="91"/>
      <c r="F110" s="91"/>
      <c r="G110" s="91"/>
      <c r="H110" s="91"/>
      <c r="I110" s="91"/>
      <c r="J110" s="91"/>
      <c r="K110" s="213"/>
      <c r="L110" s="213"/>
      <c r="M110" s="213"/>
      <c r="N110" s="214"/>
      <c r="O110" s="214"/>
      <c r="P110" s="91"/>
      <c r="Q110" s="91"/>
    </row>
    <row r="111" spans="1:17" s="101" customFormat="1" x14ac:dyDescent="0.35">
      <c r="A111" s="90"/>
      <c r="B111" s="91"/>
      <c r="C111" s="91"/>
      <c r="D111" s="91"/>
      <c r="E111" s="91"/>
      <c r="F111" s="91"/>
      <c r="G111" s="91"/>
      <c r="H111" s="91"/>
      <c r="I111" s="91"/>
      <c r="J111" s="91"/>
      <c r="K111" s="213"/>
      <c r="L111" s="213"/>
      <c r="M111" s="213"/>
      <c r="N111" s="214"/>
      <c r="O111" s="214"/>
      <c r="P111" s="91"/>
      <c r="Q111" s="91"/>
    </row>
    <row r="112" spans="1:17" s="101" customFormat="1" x14ac:dyDescent="0.35">
      <c r="A112" s="90"/>
      <c r="B112" s="91"/>
      <c r="C112" s="91"/>
      <c r="D112" s="91"/>
      <c r="E112" s="91"/>
      <c r="F112" s="91"/>
      <c r="G112" s="91"/>
      <c r="H112" s="91"/>
      <c r="I112" s="91"/>
      <c r="J112" s="91"/>
      <c r="K112" s="213"/>
      <c r="L112" s="213"/>
      <c r="M112" s="213"/>
      <c r="N112" s="214"/>
      <c r="O112" s="214"/>
      <c r="P112" s="91"/>
      <c r="Q112" s="91"/>
    </row>
    <row r="113" spans="1:17" s="101" customFormat="1" x14ac:dyDescent="0.35">
      <c r="A113" s="90"/>
      <c r="B113" s="91"/>
      <c r="C113" s="91"/>
      <c r="D113" s="91"/>
      <c r="E113" s="91"/>
      <c r="F113" s="91"/>
      <c r="G113" s="91"/>
      <c r="H113" s="91"/>
      <c r="I113" s="91"/>
      <c r="J113" s="91"/>
      <c r="K113" s="213"/>
      <c r="L113" s="213"/>
      <c r="M113" s="213"/>
      <c r="N113" s="214"/>
      <c r="O113" s="214"/>
      <c r="P113" s="91"/>
      <c r="Q113" s="91"/>
    </row>
    <row r="114" spans="1:17" s="101" customFormat="1" x14ac:dyDescent="0.35">
      <c r="A114" s="90"/>
      <c r="B114" s="91"/>
      <c r="C114" s="91"/>
      <c r="D114" s="91"/>
      <c r="E114" s="91"/>
      <c r="F114" s="91"/>
      <c r="G114" s="91"/>
      <c r="H114" s="91"/>
      <c r="I114" s="91"/>
      <c r="J114" s="91"/>
      <c r="K114" s="213"/>
      <c r="L114" s="213"/>
      <c r="M114" s="213"/>
      <c r="N114" s="214"/>
      <c r="O114" s="214"/>
      <c r="P114" s="91"/>
      <c r="Q114" s="91"/>
    </row>
    <row r="115" spans="1:17" s="101" customFormat="1" x14ac:dyDescent="0.35">
      <c r="A115" s="215"/>
      <c r="B115" s="216"/>
      <c r="C115" s="216"/>
      <c r="D115" s="216"/>
      <c r="E115" s="216"/>
      <c r="F115" s="216"/>
      <c r="G115" s="216"/>
      <c r="H115" s="216"/>
      <c r="I115" s="216"/>
      <c r="J115" s="216"/>
      <c r="K115" s="217"/>
      <c r="L115" s="217"/>
      <c r="M115" s="217"/>
      <c r="N115" s="216"/>
      <c r="O115" s="216"/>
      <c r="P115" s="91"/>
      <c r="Q115" s="91"/>
    </row>
    <row r="116" spans="1:17" s="101" customFormat="1" x14ac:dyDescent="0.35">
      <c r="A116" s="90"/>
      <c r="B116" s="91"/>
      <c r="C116" s="91"/>
      <c r="D116" s="91"/>
      <c r="E116" s="91"/>
      <c r="F116" s="91"/>
      <c r="G116" s="91"/>
      <c r="H116" s="91"/>
      <c r="I116" s="91"/>
      <c r="J116" s="91"/>
      <c r="K116" s="213"/>
      <c r="L116" s="213"/>
      <c r="M116" s="213"/>
      <c r="N116" s="214"/>
      <c r="O116" s="214"/>
      <c r="P116" s="91"/>
      <c r="Q116" s="91"/>
    </row>
    <row r="117" spans="1:17" s="101" customFormat="1" x14ac:dyDescent="0.35">
      <c r="A117" s="90"/>
      <c r="B117" s="91"/>
      <c r="C117" s="91"/>
      <c r="D117" s="91"/>
      <c r="E117" s="91"/>
      <c r="F117" s="91"/>
      <c r="G117" s="91"/>
      <c r="H117" s="91"/>
      <c r="I117" s="91"/>
      <c r="J117" s="91"/>
      <c r="K117" s="213"/>
      <c r="L117" s="213"/>
      <c r="M117" s="213"/>
      <c r="N117" s="214"/>
      <c r="O117" s="214"/>
      <c r="P117" s="91"/>
      <c r="Q117" s="91"/>
    </row>
    <row r="118" spans="1:17" s="101" customFormat="1" x14ac:dyDescent="0.35">
      <c r="A118" s="90"/>
      <c r="B118" s="91"/>
      <c r="C118" s="91"/>
      <c r="D118" s="91"/>
      <c r="E118" s="91"/>
      <c r="F118" s="91"/>
      <c r="G118" s="91"/>
      <c r="H118" s="91"/>
      <c r="I118" s="91"/>
      <c r="J118" s="91"/>
      <c r="K118" s="213"/>
      <c r="L118" s="213"/>
      <c r="M118" s="213"/>
      <c r="N118" s="214"/>
      <c r="O118" s="214"/>
      <c r="P118" s="91"/>
      <c r="Q118" s="91"/>
    </row>
    <row r="119" spans="1:17" s="101" customFormat="1" x14ac:dyDescent="0.35">
      <c r="A119" s="90"/>
      <c r="B119" s="91"/>
      <c r="C119" s="91"/>
      <c r="D119" s="91"/>
      <c r="E119" s="91"/>
      <c r="F119" s="91"/>
      <c r="G119" s="91"/>
      <c r="H119" s="91"/>
      <c r="I119" s="91"/>
      <c r="J119" s="91"/>
      <c r="K119" s="213"/>
      <c r="L119" s="213"/>
      <c r="M119" s="213"/>
      <c r="N119" s="214"/>
      <c r="O119" s="214"/>
      <c r="P119" s="91"/>
      <c r="Q119" s="91"/>
    </row>
    <row r="120" spans="1:17" s="101" customFormat="1" x14ac:dyDescent="0.35">
      <c r="A120" s="90"/>
      <c r="B120" s="91"/>
      <c r="C120" s="91"/>
      <c r="D120" s="91"/>
      <c r="E120" s="91"/>
      <c r="F120" s="91"/>
      <c r="G120" s="91"/>
      <c r="H120" s="91"/>
      <c r="I120" s="91"/>
      <c r="J120" s="91"/>
      <c r="K120" s="213"/>
      <c r="L120" s="213"/>
      <c r="M120" s="213"/>
      <c r="N120" s="214"/>
      <c r="O120" s="214"/>
      <c r="P120" s="91"/>
      <c r="Q120" s="91"/>
    </row>
    <row r="121" spans="1:17" s="101" customFormat="1" x14ac:dyDescent="0.35">
      <c r="A121" s="90"/>
      <c r="B121" s="91"/>
      <c r="C121" s="91"/>
      <c r="D121" s="91"/>
      <c r="E121" s="91"/>
      <c r="F121" s="91"/>
      <c r="G121" s="91"/>
      <c r="H121" s="91"/>
      <c r="I121" s="91"/>
      <c r="J121" s="91"/>
      <c r="K121" s="213"/>
      <c r="L121" s="213"/>
      <c r="M121" s="213"/>
      <c r="N121" s="214"/>
      <c r="O121" s="214"/>
      <c r="P121" s="91"/>
      <c r="Q121" s="91"/>
    </row>
    <row r="122" spans="1:17" s="101" customFormat="1" x14ac:dyDescent="0.35">
      <c r="A122" s="90"/>
      <c r="B122" s="91"/>
      <c r="C122" s="91"/>
      <c r="D122" s="91"/>
      <c r="E122" s="91"/>
      <c r="F122" s="91"/>
      <c r="G122" s="91"/>
      <c r="H122" s="91"/>
      <c r="I122" s="91"/>
      <c r="J122" s="91"/>
      <c r="K122" s="213"/>
      <c r="L122" s="213"/>
      <c r="M122" s="213"/>
      <c r="N122" s="214"/>
      <c r="O122" s="214"/>
      <c r="P122" s="91"/>
      <c r="Q122" s="91"/>
    </row>
    <row r="123" spans="1:17" s="101" customFormat="1" x14ac:dyDescent="0.35">
      <c r="A123" s="90"/>
      <c r="B123" s="91"/>
      <c r="C123" s="91"/>
      <c r="D123" s="91"/>
      <c r="E123" s="91"/>
      <c r="F123" s="91"/>
      <c r="G123" s="91"/>
      <c r="H123" s="91"/>
      <c r="I123" s="91"/>
      <c r="J123" s="91"/>
      <c r="K123" s="213"/>
      <c r="L123" s="213"/>
      <c r="M123" s="213"/>
      <c r="N123" s="214"/>
      <c r="O123" s="214"/>
      <c r="P123" s="91"/>
      <c r="Q123" s="91"/>
    </row>
    <row r="124" spans="1:17" s="101" customFormat="1" x14ac:dyDescent="0.35">
      <c r="A124" s="90"/>
      <c r="B124" s="91"/>
      <c r="C124" s="91"/>
      <c r="D124" s="91"/>
      <c r="E124" s="91"/>
      <c r="F124" s="91"/>
      <c r="G124" s="91"/>
      <c r="H124" s="91"/>
      <c r="I124" s="91"/>
      <c r="J124" s="91"/>
      <c r="K124" s="213"/>
      <c r="L124" s="213"/>
      <c r="M124" s="213"/>
      <c r="N124" s="214"/>
      <c r="O124" s="214"/>
      <c r="P124" s="91"/>
      <c r="Q124" s="91"/>
    </row>
    <row r="125" spans="1:17" s="101" customFormat="1" x14ac:dyDescent="0.35">
      <c r="A125" s="90"/>
      <c r="B125" s="91"/>
      <c r="C125" s="91"/>
      <c r="D125" s="91"/>
      <c r="E125" s="91"/>
      <c r="F125" s="91"/>
      <c r="G125" s="91"/>
      <c r="H125" s="91"/>
      <c r="I125" s="91"/>
      <c r="J125" s="91"/>
      <c r="K125" s="213"/>
      <c r="L125" s="213"/>
      <c r="M125" s="213"/>
      <c r="N125" s="214"/>
      <c r="O125" s="214"/>
      <c r="P125" s="91"/>
      <c r="Q125" s="91"/>
    </row>
    <row r="126" spans="1:17" s="101" customFormat="1" x14ac:dyDescent="0.35">
      <c r="A126" s="90"/>
      <c r="B126" s="91"/>
      <c r="C126" s="91"/>
      <c r="D126" s="91"/>
      <c r="E126" s="91"/>
      <c r="F126" s="91"/>
      <c r="G126" s="91"/>
      <c r="H126" s="91"/>
      <c r="I126" s="91"/>
      <c r="J126" s="91"/>
      <c r="K126" s="213"/>
      <c r="L126" s="213"/>
      <c r="M126" s="213"/>
      <c r="N126" s="214"/>
      <c r="O126" s="214"/>
      <c r="P126" s="91"/>
      <c r="Q126" s="91"/>
    </row>
    <row r="127" spans="1:17" s="101" customFormat="1" x14ac:dyDescent="0.35">
      <c r="A127" s="90"/>
      <c r="B127" s="91"/>
      <c r="C127" s="91"/>
      <c r="D127" s="91"/>
      <c r="E127" s="91"/>
      <c r="F127" s="91"/>
      <c r="G127" s="91"/>
      <c r="H127" s="91"/>
      <c r="I127" s="91"/>
      <c r="J127" s="91"/>
      <c r="K127" s="213"/>
      <c r="L127" s="213"/>
      <c r="M127" s="213"/>
      <c r="N127" s="214"/>
      <c r="O127" s="214"/>
      <c r="P127" s="91"/>
      <c r="Q127" s="91"/>
    </row>
    <row r="128" spans="1:17" s="101" customFormat="1" x14ac:dyDescent="0.35">
      <c r="A128" s="90"/>
      <c r="B128" s="91"/>
      <c r="C128" s="91"/>
      <c r="D128" s="91"/>
      <c r="E128" s="91"/>
      <c r="F128" s="91"/>
      <c r="G128" s="91"/>
      <c r="H128" s="91"/>
      <c r="I128" s="91"/>
      <c r="J128" s="91"/>
      <c r="K128" s="213"/>
      <c r="L128" s="213"/>
      <c r="M128" s="213"/>
      <c r="N128" s="214"/>
      <c r="O128" s="214"/>
      <c r="P128" s="91"/>
      <c r="Q128" s="91"/>
    </row>
    <row r="129" spans="1:17" s="101" customFormat="1" x14ac:dyDescent="0.35">
      <c r="A129" s="90"/>
      <c r="B129" s="91"/>
      <c r="C129" s="91"/>
      <c r="D129" s="91"/>
      <c r="E129" s="91"/>
      <c r="F129" s="91"/>
      <c r="G129" s="91"/>
      <c r="H129" s="91"/>
      <c r="I129" s="91"/>
      <c r="J129" s="91"/>
      <c r="K129" s="213"/>
      <c r="L129" s="213"/>
      <c r="M129" s="213"/>
      <c r="N129" s="214"/>
      <c r="O129" s="214"/>
      <c r="P129" s="91"/>
      <c r="Q129" s="91"/>
    </row>
    <row r="130" spans="1:17" s="101" customFormat="1" x14ac:dyDescent="0.35">
      <c r="A130" s="90"/>
      <c r="B130" s="91"/>
      <c r="C130" s="91"/>
      <c r="D130" s="91"/>
      <c r="E130" s="91"/>
      <c r="F130" s="91"/>
      <c r="G130" s="91"/>
      <c r="H130" s="91"/>
      <c r="I130" s="91"/>
      <c r="J130" s="91"/>
      <c r="K130" s="213"/>
      <c r="L130" s="213"/>
      <c r="M130" s="213"/>
      <c r="N130" s="214"/>
      <c r="O130" s="214"/>
      <c r="P130" s="91"/>
      <c r="Q130" s="91"/>
    </row>
    <row r="131" spans="1:17" s="101" customFormat="1" x14ac:dyDescent="0.35">
      <c r="A131" s="90"/>
      <c r="B131" s="91"/>
      <c r="C131" s="91"/>
      <c r="D131" s="91"/>
      <c r="E131" s="91"/>
      <c r="F131" s="91"/>
      <c r="G131" s="91"/>
      <c r="H131" s="91"/>
      <c r="I131" s="91"/>
      <c r="J131" s="91"/>
      <c r="K131" s="213"/>
      <c r="L131" s="213"/>
      <c r="M131" s="213"/>
      <c r="N131" s="214"/>
      <c r="O131" s="214"/>
      <c r="P131" s="91"/>
      <c r="Q131" s="91"/>
    </row>
    <row r="132" spans="1:17" s="101" customFormat="1" x14ac:dyDescent="0.35">
      <c r="A132" s="90"/>
      <c r="B132" s="91"/>
      <c r="C132" s="91"/>
      <c r="D132" s="91"/>
      <c r="E132" s="91"/>
      <c r="F132" s="91"/>
      <c r="G132" s="91"/>
      <c r="H132" s="91"/>
      <c r="I132" s="91"/>
      <c r="J132" s="91"/>
      <c r="K132" s="213"/>
      <c r="L132" s="213"/>
      <c r="M132" s="213"/>
      <c r="N132" s="214"/>
      <c r="O132" s="214"/>
      <c r="P132" s="91"/>
      <c r="Q132" s="91"/>
    </row>
    <row r="133" spans="1:17" s="101" customFormat="1" x14ac:dyDescent="0.35">
      <c r="A133" s="90"/>
      <c r="B133" s="91"/>
      <c r="C133" s="91"/>
      <c r="D133" s="91"/>
      <c r="E133" s="91"/>
      <c r="F133" s="91"/>
      <c r="G133" s="91"/>
      <c r="H133" s="91"/>
      <c r="I133" s="91"/>
      <c r="J133" s="91"/>
      <c r="K133" s="213"/>
      <c r="L133" s="213"/>
      <c r="M133" s="213"/>
      <c r="N133" s="214"/>
      <c r="O133" s="214"/>
      <c r="P133" s="91"/>
      <c r="Q133" s="91"/>
    </row>
    <row r="134" spans="1:17" s="101" customFormat="1" x14ac:dyDescent="0.35">
      <c r="A134" s="90"/>
      <c r="B134" s="91"/>
      <c r="C134" s="91"/>
      <c r="D134" s="91"/>
      <c r="E134" s="91"/>
      <c r="F134" s="91"/>
      <c r="G134" s="91"/>
      <c r="H134" s="91"/>
      <c r="I134" s="91"/>
      <c r="J134" s="91"/>
      <c r="K134" s="213"/>
      <c r="L134" s="213"/>
      <c r="M134" s="213"/>
      <c r="N134" s="214"/>
      <c r="O134" s="214"/>
      <c r="P134" s="91"/>
      <c r="Q134" s="91"/>
    </row>
    <row r="135" spans="1:17" s="101" customFormat="1" x14ac:dyDescent="0.35">
      <c r="A135" s="90"/>
      <c r="B135" s="91"/>
      <c r="C135" s="91"/>
      <c r="D135" s="91"/>
      <c r="E135" s="91"/>
      <c r="F135" s="91"/>
      <c r="G135" s="91"/>
      <c r="H135" s="91"/>
      <c r="I135" s="91"/>
      <c r="J135" s="91"/>
      <c r="K135" s="213"/>
      <c r="L135" s="213"/>
      <c r="M135" s="213"/>
      <c r="N135" s="214"/>
      <c r="O135" s="214"/>
      <c r="P135" s="91"/>
      <c r="Q135" s="91"/>
    </row>
    <row r="136" spans="1:17" s="101" customFormat="1" x14ac:dyDescent="0.35">
      <c r="A136" s="90"/>
      <c r="B136" s="91"/>
      <c r="C136" s="91"/>
      <c r="D136" s="91"/>
      <c r="E136" s="91"/>
      <c r="F136" s="91"/>
      <c r="G136" s="91"/>
      <c r="H136" s="91"/>
      <c r="I136" s="91"/>
      <c r="J136" s="91"/>
      <c r="K136" s="213"/>
      <c r="L136" s="213"/>
      <c r="M136" s="213"/>
      <c r="N136" s="214"/>
      <c r="O136" s="214"/>
      <c r="P136" s="91"/>
      <c r="Q136" s="91"/>
    </row>
    <row r="137" spans="1:17" s="101" customFormat="1" x14ac:dyDescent="0.35">
      <c r="A137" s="90"/>
      <c r="B137" s="91"/>
      <c r="C137" s="91"/>
      <c r="D137" s="91"/>
      <c r="E137" s="91"/>
      <c r="F137" s="91"/>
      <c r="G137" s="91"/>
      <c r="H137" s="91"/>
      <c r="I137" s="91"/>
      <c r="J137" s="91"/>
      <c r="K137" s="213"/>
      <c r="L137" s="213"/>
      <c r="M137" s="213"/>
      <c r="N137" s="214"/>
      <c r="O137" s="214"/>
      <c r="P137" s="91"/>
      <c r="Q137" s="91"/>
    </row>
    <row r="138" spans="1:17" s="101" customFormat="1" x14ac:dyDescent="0.35">
      <c r="A138" s="90"/>
      <c r="B138" s="91"/>
      <c r="C138" s="91"/>
      <c r="D138" s="91"/>
      <c r="E138" s="91"/>
      <c r="F138" s="91"/>
      <c r="G138" s="91"/>
      <c r="H138" s="91"/>
      <c r="I138" s="91"/>
      <c r="J138" s="91"/>
      <c r="K138" s="213"/>
      <c r="L138" s="213"/>
      <c r="M138" s="213"/>
      <c r="N138" s="214"/>
      <c r="O138" s="214"/>
      <c r="P138" s="91"/>
      <c r="Q138" s="91"/>
    </row>
    <row r="139" spans="1:17" s="101" customFormat="1" x14ac:dyDescent="0.35">
      <c r="A139" s="90"/>
      <c r="B139" s="91"/>
      <c r="C139" s="91"/>
      <c r="D139" s="91"/>
      <c r="E139" s="91"/>
      <c r="F139" s="91"/>
      <c r="G139" s="91"/>
      <c r="H139" s="91"/>
      <c r="I139" s="91"/>
      <c r="J139" s="91"/>
      <c r="K139" s="213"/>
      <c r="L139" s="213"/>
      <c r="M139" s="213"/>
      <c r="N139" s="214"/>
      <c r="O139" s="214"/>
      <c r="P139" s="91"/>
      <c r="Q139" s="91"/>
    </row>
    <row r="140" spans="1:17" s="101" customFormat="1" x14ac:dyDescent="0.35">
      <c r="A140" s="90"/>
      <c r="B140" s="91"/>
      <c r="C140" s="91"/>
      <c r="D140" s="91"/>
      <c r="E140" s="91"/>
      <c r="F140" s="91"/>
      <c r="G140" s="91"/>
      <c r="H140" s="91"/>
      <c r="I140" s="91"/>
      <c r="J140" s="91"/>
      <c r="K140" s="213"/>
      <c r="L140" s="213"/>
      <c r="M140" s="213"/>
      <c r="N140" s="214"/>
      <c r="O140" s="214"/>
      <c r="P140" s="91"/>
      <c r="Q140" s="91"/>
    </row>
    <row r="141" spans="1:17" s="101" customFormat="1" x14ac:dyDescent="0.35">
      <c r="A141" s="90"/>
      <c r="B141" s="91"/>
      <c r="C141" s="91"/>
      <c r="D141" s="91"/>
      <c r="E141" s="91"/>
      <c r="F141" s="91"/>
      <c r="G141" s="91"/>
      <c r="H141" s="91"/>
      <c r="I141" s="91"/>
      <c r="J141" s="91"/>
      <c r="K141" s="213"/>
      <c r="L141" s="213"/>
      <c r="M141" s="213"/>
      <c r="N141" s="214"/>
      <c r="O141" s="214"/>
      <c r="P141" s="91"/>
      <c r="Q141" s="91"/>
    </row>
    <row r="142" spans="1:17" s="101" customFormat="1" x14ac:dyDescent="0.35">
      <c r="A142" s="90"/>
      <c r="B142" s="91"/>
      <c r="C142" s="91"/>
      <c r="D142" s="91"/>
      <c r="E142" s="91"/>
      <c r="F142" s="91"/>
      <c r="G142" s="91"/>
      <c r="H142" s="91"/>
      <c r="I142" s="91"/>
      <c r="J142" s="91"/>
      <c r="K142" s="213"/>
      <c r="L142" s="213"/>
      <c r="M142" s="213"/>
      <c r="N142" s="214"/>
      <c r="O142" s="214"/>
      <c r="P142" s="91"/>
      <c r="Q142" s="91"/>
    </row>
    <row r="143" spans="1:17" s="101" customFormat="1" x14ac:dyDescent="0.35">
      <c r="A143" s="90"/>
      <c r="B143" s="91"/>
      <c r="C143" s="91"/>
      <c r="D143" s="91"/>
      <c r="E143" s="91"/>
      <c r="F143" s="91"/>
      <c r="G143" s="91"/>
      <c r="H143" s="91"/>
      <c r="I143" s="91"/>
      <c r="J143" s="91"/>
      <c r="K143" s="213"/>
      <c r="L143" s="213"/>
      <c r="M143" s="213"/>
      <c r="N143" s="214"/>
      <c r="O143" s="214"/>
      <c r="P143" s="91"/>
      <c r="Q143" s="91"/>
    </row>
    <row r="144" spans="1:17" s="101" customFormat="1" x14ac:dyDescent="0.35">
      <c r="A144" s="90"/>
      <c r="B144" s="91"/>
      <c r="C144" s="91"/>
      <c r="D144" s="91"/>
      <c r="E144" s="91"/>
      <c r="F144" s="91"/>
      <c r="G144" s="91"/>
      <c r="H144" s="91"/>
      <c r="I144" s="91"/>
      <c r="J144" s="91"/>
      <c r="K144" s="213"/>
      <c r="L144" s="213"/>
      <c r="M144" s="213"/>
      <c r="N144" s="214"/>
      <c r="O144" s="214"/>
      <c r="P144" s="91"/>
      <c r="Q144" s="91"/>
    </row>
    <row r="145" spans="1:17" s="101" customFormat="1" x14ac:dyDescent="0.35">
      <c r="A145" s="90"/>
      <c r="B145" s="91"/>
      <c r="C145" s="91"/>
      <c r="D145" s="91"/>
      <c r="E145" s="91"/>
      <c r="F145" s="91"/>
      <c r="G145" s="91"/>
      <c r="H145" s="91"/>
      <c r="I145" s="91"/>
      <c r="J145" s="91"/>
      <c r="K145" s="213"/>
      <c r="L145" s="213"/>
      <c r="M145" s="213"/>
      <c r="N145" s="214"/>
      <c r="O145" s="214"/>
      <c r="P145" s="91"/>
      <c r="Q145" s="91"/>
    </row>
    <row r="146" spans="1:17" s="101" customFormat="1" x14ac:dyDescent="0.35">
      <c r="A146" s="90"/>
      <c r="B146" s="91"/>
      <c r="C146" s="91"/>
      <c r="D146" s="91"/>
      <c r="E146" s="91"/>
      <c r="F146" s="91"/>
      <c r="G146" s="91"/>
      <c r="H146" s="91"/>
      <c r="I146" s="91"/>
      <c r="J146" s="91"/>
      <c r="K146" s="213"/>
      <c r="L146" s="213"/>
      <c r="M146" s="213"/>
      <c r="N146" s="214"/>
      <c r="O146" s="214"/>
      <c r="P146" s="91"/>
      <c r="Q146" s="91"/>
    </row>
    <row r="147" spans="1:17" s="101" customFormat="1" x14ac:dyDescent="0.35">
      <c r="A147" s="90"/>
      <c r="B147" s="91"/>
      <c r="C147" s="91"/>
      <c r="D147" s="91"/>
      <c r="E147" s="91"/>
      <c r="F147" s="91"/>
      <c r="G147" s="91"/>
      <c r="H147" s="91"/>
      <c r="I147" s="91"/>
      <c r="J147" s="91"/>
      <c r="K147" s="213"/>
      <c r="L147" s="213"/>
      <c r="M147" s="213"/>
      <c r="N147" s="214"/>
      <c r="O147" s="214"/>
      <c r="P147" s="91"/>
      <c r="Q147" s="91"/>
    </row>
    <row r="148" spans="1:17" s="101" customFormat="1" x14ac:dyDescent="0.35">
      <c r="A148" s="90"/>
      <c r="B148" s="91"/>
      <c r="C148" s="91"/>
      <c r="D148" s="91"/>
      <c r="E148" s="91"/>
      <c r="F148" s="91"/>
      <c r="G148" s="91"/>
      <c r="H148" s="91"/>
      <c r="I148" s="91"/>
      <c r="J148" s="91"/>
      <c r="K148" s="213"/>
      <c r="L148" s="213"/>
      <c r="M148" s="213"/>
      <c r="N148" s="214"/>
      <c r="O148" s="214"/>
      <c r="P148" s="91"/>
      <c r="Q148" s="91"/>
    </row>
    <row r="149" spans="1:17" s="101" customFormat="1" x14ac:dyDescent="0.35">
      <c r="A149" s="90"/>
      <c r="B149" s="91"/>
      <c r="C149" s="91"/>
      <c r="D149" s="91"/>
      <c r="E149" s="91"/>
      <c r="F149" s="91"/>
      <c r="G149" s="91"/>
      <c r="H149" s="91"/>
      <c r="I149" s="91"/>
      <c r="J149" s="91"/>
      <c r="K149" s="213"/>
      <c r="L149" s="213"/>
      <c r="M149" s="213"/>
      <c r="N149" s="214"/>
      <c r="O149" s="214"/>
      <c r="P149" s="91"/>
      <c r="Q149" s="91"/>
    </row>
    <row r="150" spans="1:17" s="101" customFormat="1" x14ac:dyDescent="0.35">
      <c r="A150" s="90"/>
      <c r="B150" s="91"/>
      <c r="C150" s="91"/>
      <c r="D150" s="91"/>
      <c r="E150" s="91"/>
      <c r="F150" s="91"/>
      <c r="G150" s="91"/>
      <c r="H150" s="91"/>
      <c r="I150" s="91"/>
      <c r="J150" s="91"/>
      <c r="K150" s="213"/>
      <c r="L150" s="213"/>
      <c r="M150" s="213"/>
      <c r="N150" s="214"/>
      <c r="O150" s="214"/>
      <c r="P150" s="91"/>
      <c r="Q150" s="91"/>
    </row>
    <row r="151" spans="1:17" s="101" customFormat="1" x14ac:dyDescent="0.35">
      <c r="A151" s="218"/>
      <c r="B151" s="219"/>
      <c r="C151" s="219"/>
      <c r="D151" s="219"/>
      <c r="E151" s="219"/>
      <c r="F151" s="219"/>
      <c r="G151" s="219"/>
      <c r="H151" s="219"/>
      <c r="I151" s="219"/>
      <c r="J151" s="219"/>
      <c r="K151" s="217"/>
      <c r="L151" s="217"/>
      <c r="M151" s="217"/>
      <c r="N151" s="216"/>
      <c r="O151" s="216"/>
      <c r="P151" s="91"/>
      <c r="Q151" s="91"/>
    </row>
    <row r="152" spans="1:17" s="101" customFormat="1" x14ac:dyDescent="0.35">
      <c r="A152" s="212"/>
      <c r="B152" s="91"/>
      <c r="C152" s="91"/>
      <c r="D152" s="91"/>
      <c r="E152" s="91"/>
      <c r="F152" s="91"/>
      <c r="G152" s="91"/>
      <c r="H152" s="91"/>
      <c r="I152" s="91"/>
      <c r="J152" s="91"/>
      <c r="K152" s="213"/>
      <c r="L152" s="213"/>
      <c r="M152" s="213"/>
      <c r="N152" s="214"/>
      <c r="O152" s="214"/>
      <c r="P152" s="91"/>
      <c r="Q152" s="91"/>
    </row>
    <row r="153" spans="1:17" s="101" customFormat="1" x14ac:dyDescent="0.35">
      <c r="A153" s="90"/>
      <c r="B153" s="91"/>
      <c r="C153" s="91"/>
      <c r="D153" s="91"/>
      <c r="E153" s="91"/>
      <c r="F153" s="91"/>
      <c r="G153" s="91"/>
      <c r="H153" s="91"/>
      <c r="I153" s="91"/>
      <c r="J153" s="91"/>
      <c r="K153" s="213"/>
      <c r="L153" s="213"/>
      <c r="M153" s="213"/>
      <c r="N153" s="214"/>
      <c r="O153" s="214"/>
      <c r="P153" s="91"/>
      <c r="Q153" s="91"/>
    </row>
    <row r="154" spans="1:17" s="101" customFormat="1" x14ac:dyDescent="0.35">
      <c r="A154" s="90"/>
      <c r="B154" s="91"/>
      <c r="C154" s="91"/>
      <c r="D154" s="91"/>
      <c r="E154" s="91"/>
      <c r="F154" s="91"/>
      <c r="G154" s="91"/>
      <c r="H154" s="91"/>
      <c r="I154" s="91"/>
      <c r="J154" s="91"/>
      <c r="K154" s="213"/>
      <c r="L154" s="213"/>
      <c r="M154" s="213"/>
      <c r="N154" s="214"/>
      <c r="O154" s="214"/>
      <c r="P154" s="91"/>
      <c r="Q154" s="91"/>
    </row>
    <row r="155" spans="1:17" s="101" customFormat="1" x14ac:dyDescent="0.35">
      <c r="A155" s="90"/>
      <c r="B155" s="91"/>
      <c r="C155" s="91"/>
      <c r="D155" s="91"/>
      <c r="E155" s="91"/>
      <c r="F155" s="91"/>
      <c r="G155" s="91"/>
      <c r="H155" s="91"/>
      <c r="I155" s="91"/>
      <c r="J155" s="91"/>
      <c r="K155" s="213"/>
      <c r="L155" s="213"/>
      <c r="M155" s="213"/>
      <c r="N155" s="214"/>
      <c r="O155" s="214"/>
      <c r="P155" s="91"/>
      <c r="Q155" s="91"/>
    </row>
    <row r="156" spans="1:17" s="101" customFormat="1" x14ac:dyDescent="0.35">
      <c r="A156" s="90"/>
      <c r="B156" s="91"/>
      <c r="C156" s="91"/>
      <c r="D156" s="91"/>
      <c r="E156" s="91"/>
      <c r="F156" s="91"/>
      <c r="G156" s="91"/>
      <c r="H156" s="91"/>
      <c r="I156" s="91"/>
      <c r="J156" s="91"/>
      <c r="K156" s="213"/>
      <c r="L156" s="213"/>
      <c r="M156" s="213"/>
      <c r="N156" s="214"/>
      <c r="O156" s="214"/>
      <c r="P156" s="91"/>
      <c r="Q156" s="91"/>
    </row>
    <row r="157" spans="1:17" s="101" customFormat="1" x14ac:dyDescent="0.35">
      <c r="A157" s="90"/>
      <c r="B157" s="91"/>
      <c r="C157" s="91"/>
      <c r="D157" s="91"/>
      <c r="E157" s="91"/>
      <c r="F157" s="91"/>
      <c r="G157" s="91"/>
      <c r="H157" s="91"/>
      <c r="I157" s="91"/>
      <c r="J157" s="91"/>
      <c r="K157" s="213"/>
      <c r="L157" s="213"/>
      <c r="M157" s="213"/>
      <c r="N157" s="214"/>
      <c r="O157" s="214"/>
      <c r="P157" s="91"/>
      <c r="Q157" s="91"/>
    </row>
    <row r="158" spans="1:17" s="101" customFormat="1" x14ac:dyDescent="0.35">
      <c r="A158" s="90"/>
      <c r="B158" s="91"/>
      <c r="C158" s="91"/>
      <c r="D158" s="91"/>
      <c r="E158" s="91"/>
      <c r="F158" s="91"/>
      <c r="G158" s="91"/>
      <c r="H158" s="91"/>
      <c r="I158" s="91"/>
      <c r="J158" s="91"/>
      <c r="K158" s="213"/>
      <c r="L158" s="213"/>
      <c r="M158" s="213"/>
      <c r="N158" s="214"/>
      <c r="O158" s="214"/>
      <c r="P158" s="91"/>
      <c r="Q158" s="91"/>
    </row>
    <row r="159" spans="1:17" s="101" customFormat="1" x14ac:dyDescent="0.35">
      <c r="A159" s="90"/>
      <c r="B159" s="91"/>
      <c r="C159" s="91"/>
      <c r="D159" s="91"/>
      <c r="E159" s="91"/>
      <c r="F159" s="91"/>
      <c r="G159" s="91"/>
      <c r="H159" s="91"/>
      <c r="I159" s="91"/>
      <c r="J159" s="91"/>
      <c r="K159" s="213"/>
      <c r="L159" s="213"/>
      <c r="M159" s="213"/>
      <c r="N159" s="214"/>
      <c r="O159" s="214"/>
      <c r="P159" s="91"/>
      <c r="Q159" s="91"/>
    </row>
    <row r="160" spans="1:17" s="101" customFormat="1" x14ac:dyDescent="0.35">
      <c r="A160" s="90"/>
      <c r="B160" s="91"/>
      <c r="C160" s="91"/>
      <c r="D160" s="91"/>
      <c r="E160" s="91"/>
      <c r="F160" s="91"/>
      <c r="G160" s="91"/>
      <c r="H160" s="91"/>
      <c r="I160" s="91"/>
      <c r="J160" s="91"/>
      <c r="K160" s="213"/>
      <c r="L160" s="213"/>
      <c r="M160" s="213"/>
      <c r="N160" s="214"/>
      <c r="O160" s="214"/>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row>
    <row r="189" spans="1:17" x14ac:dyDescent="0.35">
      <c r="A189" s="90"/>
      <c r="B189" s="91"/>
      <c r="C189" s="91"/>
      <c r="D189" s="91"/>
      <c r="E189" s="91"/>
      <c r="F189" s="91"/>
      <c r="G189" s="91"/>
      <c r="H189" s="91"/>
      <c r="I189" s="91"/>
      <c r="J189" s="91"/>
      <c r="K189" s="91"/>
      <c r="L189" s="91"/>
      <c r="M189" s="91"/>
      <c r="N189" s="91"/>
      <c r="O189" s="91"/>
    </row>
    <row r="190" spans="1:17" x14ac:dyDescent="0.35">
      <c r="A190" s="90"/>
      <c r="B190" s="91"/>
      <c r="C190" s="91"/>
      <c r="D190" s="91"/>
      <c r="E190" s="91"/>
      <c r="F190" s="91"/>
      <c r="G190" s="91"/>
      <c r="H190" s="91"/>
      <c r="I190" s="91"/>
      <c r="J190" s="91"/>
      <c r="K190" s="91"/>
      <c r="L190" s="91"/>
      <c r="M190" s="91"/>
      <c r="N190" s="91"/>
      <c r="O190" s="91"/>
    </row>
    <row r="191" spans="1:17" x14ac:dyDescent="0.35">
      <c r="A191" s="90"/>
      <c r="B191" s="91"/>
      <c r="C191" s="91"/>
      <c r="D191" s="91"/>
      <c r="E191" s="91"/>
      <c r="F191" s="91"/>
      <c r="G191" s="91"/>
      <c r="H191" s="91"/>
      <c r="I191" s="91"/>
      <c r="J191" s="91"/>
      <c r="K191" s="91"/>
      <c r="L191" s="91"/>
      <c r="M191" s="91"/>
      <c r="N191" s="91"/>
      <c r="O191" s="91"/>
    </row>
    <row r="192" spans="1:17" x14ac:dyDescent="0.35">
      <c r="A192" s="90"/>
      <c r="B192" s="91"/>
      <c r="C192" s="91"/>
      <c r="D192" s="91"/>
      <c r="E192" s="91"/>
      <c r="F192" s="91"/>
      <c r="G192" s="91"/>
      <c r="H192" s="91"/>
      <c r="I192" s="91"/>
      <c r="J192" s="91"/>
      <c r="K192" s="91"/>
      <c r="L192" s="91"/>
      <c r="M192" s="91"/>
      <c r="N192" s="91"/>
      <c r="O192" s="91"/>
    </row>
    <row r="193" spans="1:15" x14ac:dyDescent="0.35">
      <c r="A193" s="90"/>
      <c r="B193" s="91"/>
      <c r="C193" s="91"/>
      <c r="D193" s="91"/>
      <c r="E193" s="91"/>
      <c r="F193" s="91"/>
      <c r="G193" s="91"/>
      <c r="H193" s="91"/>
      <c r="I193" s="91"/>
      <c r="J193" s="91"/>
      <c r="K193" s="91"/>
      <c r="L193" s="91"/>
      <c r="M193" s="91"/>
      <c r="N193" s="91"/>
      <c r="O193" s="91"/>
    </row>
    <row r="194" spans="1:15" x14ac:dyDescent="0.35">
      <c r="A194" s="90"/>
      <c r="B194" s="91"/>
      <c r="C194" s="91"/>
      <c r="D194" s="91"/>
      <c r="E194" s="91"/>
      <c r="F194" s="91"/>
      <c r="G194" s="91"/>
      <c r="H194" s="91"/>
      <c r="I194" s="91"/>
      <c r="J194" s="91"/>
      <c r="K194" s="91"/>
      <c r="L194" s="91"/>
      <c r="M194" s="91"/>
      <c r="N194" s="91"/>
      <c r="O194" s="91"/>
    </row>
    <row r="195" spans="1:15" x14ac:dyDescent="0.35">
      <c r="A195" s="90"/>
      <c r="B195" s="91"/>
      <c r="C195" s="91"/>
      <c r="D195" s="91"/>
      <c r="E195" s="91"/>
      <c r="F195" s="91"/>
      <c r="G195" s="91"/>
      <c r="H195" s="91"/>
      <c r="I195" s="91"/>
      <c r="J195" s="91"/>
      <c r="K195" s="91"/>
      <c r="L195" s="91"/>
      <c r="M195" s="91"/>
      <c r="N195" s="91"/>
      <c r="O195" s="91"/>
    </row>
    <row r="196" spans="1:15" x14ac:dyDescent="0.35">
      <c r="A196" s="90"/>
      <c r="B196" s="91"/>
      <c r="C196" s="91"/>
      <c r="D196" s="91"/>
      <c r="E196" s="91"/>
      <c r="F196" s="91"/>
      <c r="G196" s="91"/>
      <c r="H196" s="91"/>
      <c r="I196" s="91"/>
      <c r="J196" s="91"/>
      <c r="K196" s="91"/>
      <c r="L196" s="91"/>
      <c r="M196" s="91"/>
      <c r="N196" s="91"/>
      <c r="O196" s="91"/>
    </row>
    <row r="197" spans="1:15" x14ac:dyDescent="0.35">
      <c r="A197" s="90"/>
      <c r="B197" s="91"/>
      <c r="C197" s="91"/>
      <c r="D197" s="91"/>
      <c r="E197" s="91"/>
      <c r="F197" s="91"/>
      <c r="G197" s="91"/>
      <c r="H197" s="91"/>
      <c r="I197" s="91"/>
      <c r="J197" s="91"/>
      <c r="K197" s="91"/>
      <c r="L197" s="91"/>
      <c r="M197" s="91"/>
      <c r="N197" s="91"/>
      <c r="O197" s="91"/>
    </row>
    <row r="198" spans="1:15" x14ac:dyDescent="0.35">
      <c r="A198" s="90"/>
      <c r="B198" s="91"/>
      <c r="C198" s="91"/>
      <c r="D198" s="91"/>
      <c r="E198" s="91"/>
      <c r="F198" s="91"/>
      <c r="G198" s="91"/>
      <c r="H198" s="91"/>
      <c r="I198" s="91"/>
      <c r="J198" s="91"/>
      <c r="K198" s="91"/>
      <c r="L198" s="91"/>
      <c r="M198" s="91"/>
      <c r="N198" s="91"/>
      <c r="O198" s="91"/>
    </row>
    <row r="199" spans="1:15" x14ac:dyDescent="0.35">
      <c r="A199" s="90"/>
      <c r="B199" s="91"/>
      <c r="C199" s="91"/>
      <c r="D199" s="91"/>
      <c r="E199" s="91"/>
      <c r="F199" s="91"/>
      <c r="G199" s="91"/>
      <c r="H199" s="91"/>
      <c r="I199" s="91"/>
      <c r="J199" s="91"/>
      <c r="K199" s="91"/>
      <c r="L199" s="91"/>
      <c r="M199" s="91"/>
      <c r="N199" s="91"/>
      <c r="O199" s="91"/>
    </row>
    <row r="200" spans="1:15" x14ac:dyDescent="0.35">
      <c r="A200" s="90"/>
      <c r="B200" s="91"/>
      <c r="C200" s="91"/>
      <c r="D200" s="91"/>
      <c r="E200" s="91"/>
      <c r="F200" s="91"/>
      <c r="G200" s="91"/>
      <c r="H200" s="91"/>
      <c r="I200" s="91"/>
      <c r="J200" s="91"/>
      <c r="K200" s="91"/>
      <c r="L200" s="91"/>
      <c r="M200" s="91"/>
      <c r="N200" s="91"/>
      <c r="O200" s="91"/>
    </row>
    <row r="201" spans="1:15" x14ac:dyDescent="0.35">
      <c r="A201" s="90"/>
      <c r="B201" s="91"/>
      <c r="C201" s="91"/>
      <c r="D201" s="91"/>
      <c r="E201" s="91"/>
      <c r="F201" s="91"/>
      <c r="G201" s="91"/>
      <c r="H201" s="91"/>
      <c r="I201" s="91"/>
      <c r="J201" s="91"/>
      <c r="K201" s="91"/>
      <c r="L201" s="91"/>
      <c r="M201" s="91"/>
      <c r="N201" s="91"/>
      <c r="O201" s="91"/>
    </row>
    <row r="202" spans="1:15" x14ac:dyDescent="0.35">
      <c r="A202" s="90"/>
      <c r="B202" s="91"/>
      <c r="C202" s="91"/>
      <c r="D202" s="91"/>
      <c r="E202" s="91"/>
      <c r="F202" s="91"/>
      <c r="G202" s="91"/>
      <c r="H202" s="91"/>
      <c r="I202" s="91"/>
      <c r="J202" s="91"/>
      <c r="K202" s="91"/>
      <c r="L202" s="91"/>
      <c r="M202" s="91"/>
      <c r="N202" s="91"/>
      <c r="O202" s="91"/>
    </row>
    <row r="203" spans="1:15" x14ac:dyDescent="0.35">
      <c r="A203" s="90"/>
      <c r="B203" s="91"/>
      <c r="C203" s="91"/>
      <c r="D203" s="91"/>
      <c r="E203" s="91"/>
      <c r="F203" s="91"/>
      <c r="G203" s="91"/>
      <c r="H203" s="91"/>
      <c r="I203" s="91"/>
      <c r="J203" s="91"/>
      <c r="K203" s="91"/>
      <c r="L203" s="91"/>
      <c r="M203" s="91"/>
      <c r="N203" s="91"/>
      <c r="O203" s="91"/>
    </row>
    <row r="204" spans="1:15" x14ac:dyDescent="0.35">
      <c r="A204" s="90"/>
      <c r="B204" s="91"/>
      <c r="C204" s="91"/>
      <c r="D204" s="91"/>
      <c r="E204" s="91"/>
      <c r="F204" s="91"/>
      <c r="G204" s="91"/>
      <c r="H204" s="91"/>
      <c r="I204" s="91"/>
      <c r="J204" s="91"/>
      <c r="K204" s="91"/>
      <c r="L204" s="91"/>
      <c r="M204" s="91"/>
      <c r="N204" s="91"/>
      <c r="O204" s="91"/>
    </row>
    <row r="205" spans="1:15" x14ac:dyDescent="0.35">
      <c r="A205" s="90"/>
      <c r="B205" s="91"/>
      <c r="C205" s="91"/>
      <c r="D205" s="91"/>
      <c r="E205" s="91"/>
      <c r="F205" s="91"/>
      <c r="G205" s="91"/>
      <c r="H205" s="91"/>
      <c r="I205" s="91"/>
      <c r="J205" s="91"/>
      <c r="K205" s="91"/>
      <c r="L205" s="91"/>
      <c r="M205" s="91"/>
      <c r="N205" s="91"/>
      <c r="O205" s="91"/>
    </row>
    <row r="207" spans="1:15" x14ac:dyDescent="0.35">
      <c r="A207" s="92"/>
    </row>
    <row r="208" spans="1:15"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5:Q150 P151:Q187 B151:O205">
    <cfRule type="cellIs" dxfId="2" priority="1" stopIfTrue="1" operator="equal">
      <formula>0</formula>
    </cfRule>
  </conditionalFormatting>
  <conditionalFormatting sqref="B5:J176">
    <cfRule type="cellIs" priority="2" stopIfTrue="1" operator="equal">
      <formula>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2"/>
  </sheetPr>
  <dimension ref="A2:Q216"/>
  <sheetViews>
    <sheetView showGridLines="0" showRowColHeaders="0" zoomScale="85" zoomScaleNormal="85" workbookViewId="0">
      <pane xSplit="1" ySplit="4" topLeftCell="B154" activePane="bottomRight" state="frozen"/>
      <selection activeCell="C35" sqref="C35"/>
      <selection pane="topRight" activeCell="C35" sqref="C35"/>
      <selection pane="bottomLeft" activeCell="C35" sqref="C35"/>
      <selection pane="bottomRight" activeCell="A4" sqref="A4:O171"/>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178</v>
      </c>
    </row>
    <row r="4" spans="1:17" s="101" customFormat="1" x14ac:dyDescent="0.35">
      <c r="A4" s="212"/>
      <c r="B4" s="212"/>
      <c r="C4" s="212"/>
      <c r="D4" s="212"/>
      <c r="E4" s="212"/>
      <c r="F4" s="212"/>
      <c r="G4" s="212"/>
      <c r="H4" s="212"/>
      <c r="I4" s="212"/>
      <c r="J4" s="212"/>
      <c r="K4" s="212"/>
      <c r="L4" s="212"/>
      <c r="M4" s="212"/>
      <c r="N4" s="212"/>
      <c r="O4" s="212"/>
      <c r="P4" s="90"/>
    </row>
    <row r="5" spans="1:17" s="101" customFormat="1" x14ac:dyDescent="0.35">
      <c r="A5" s="212"/>
      <c r="B5" s="214"/>
      <c r="C5" s="214"/>
      <c r="D5" s="214"/>
      <c r="E5" s="214"/>
      <c r="F5" s="214"/>
      <c r="G5" s="214"/>
      <c r="H5" s="214"/>
      <c r="I5" s="214"/>
      <c r="J5" s="214"/>
      <c r="K5" s="213"/>
      <c r="L5" s="213"/>
      <c r="M5" s="213"/>
      <c r="N5" s="214"/>
      <c r="O5" s="214"/>
      <c r="P5" s="91"/>
      <c r="Q5" s="91"/>
    </row>
    <row r="6" spans="1:17" s="101" customFormat="1" x14ac:dyDescent="0.35">
      <c r="A6" s="215"/>
      <c r="B6" s="216"/>
      <c r="C6" s="216"/>
      <c r="D6" s="216"/>
      <c r="E6" s="216"/>
      <c r="F6" s="216"/>
      <c r="G6" s="216"/>
      <c r="H6" s="216"/>
      <c r="I6" s="216"/>
      <c r="J6" s="216"/>
      <c r="K6" s="217"/>
      <c r="L6" s="217"/>
      <c r="M6" s="217"/>
      <c r="N6" s="216"/>
      <c r="O6" s="216"/>
      <c r="P6" s="91"/>
      <c r="Q6" s="91"/>
    </row>
    <row r="7" spans="1:17" s="101" customFormat="1" x14ac:dyDescent="0.35">
      <c r="A7" s="90"/>
      <c r="B7" s="91"/>
      <c r="C7" s="91"/>
      <c r="D7" s="91"/>
      <c r="E7" s="91"/>
      <c r="F7" s="91"/>
      <c r="G7" s="91"/>
      <c r="H7" s="91"/>
      <c r="I7" s="91"/>
      <c r="J7" s="91"/>
      <c r="K7" s="213"/>
      <c r="L7" s="213"/>
      <c r="M7" s="213"/>
      <c r="N7" s="214"/>
      <c r="O7" s="214"/>
      <c r="P7" s="91"/>
      <c r="Q7" s="91"/>
    </row>
    <row r="8" spans="1:17" s="101" customFormat="1" x14ac:dyDescent="0.35">
      <c r="A8" s="90"/>
      <c r="B8" s="91"/>
      <c r="C8" s="91"/>
      <c r="D8" s="91"/>
      <c r="E8" s="91"/>
      <c r="F8" s="91"/>
      <c r="G8" s="91"/>
      <c r="H8" s="91"/>
      <c r="I8" s="91"/>
      <c r="J8" s="91"/>
      <c r="K8" s="213"/>
      <c r="L8" s="213"/>
      <c r="M8" s="213"/>
      <c r="N8" s="214"/>
      <c r="O8" s="214"/>
      <c r="P8" s="91"/>
      <c r="Q8" s="91"/>
    </row>
    <row r="9" spans="1:17" s="101" customFormat="1" x14ac:dyDescent="0.35">
      <c r="A9" s="90"/>
      <c r="B9" s="91"/>
      <c r="C9" s="91"/>
      <c r="D9" s="91"/>
      <c r="E9" s="91"/>
      <c r="F9" s="91"/>
      <c r="G9" s="91"/>
      <c r="H9" s="91"/>
      <c r="I9" s="91"/>
      <c r="J9" s="91"/>
      <c r="K9" s="213"/>
      <c r="L9" s="213"/>
      <c r="M9" s="213"/>
      <c r="N9" s="214"/>
      <c r="O9" s="214"/>
      <c r="P9" s="91"/>
      <c r="Q9" s="91"/>
    </row>
    <row r="10" spans="1:17" s="101" customFormat="1" x14ac:dyDescent="0.35">
      <c r="A10" s="90"/>
      <c r="B10" s="91"/>
      <c r="C10" s="91"/>
      <c r="D10" s="91"/>
      <c r="E10" s="91"/>
      <c r="F10" s="91"/>
      <c r="G10" s="91"/>
      <c r="H10" s="91"/>
      <c r="I10" s="91"/>
      <c r="J10" s="91"/>
      <c r="K10" s="213"/>
      <c r="L10" s="213"/>
      <c r="M10" s="213"/>
      <c r="N10" s="214"/>
      <c r="O10" s="214"/>
      <c r="P10" s="91"/>
      <c r="Q10" s="91"/>
    </row>
    <row r="11" spans="1:17" s="101" customFormat="1" x14ac:dyDescent="0.35">
      <c r="A11" s="90"/>
      <c r="B11" s="91"/>
      <c r="C11" s="91"/>
      <c r="D11" s="91"/>
      <c r="E11" s="91"/>
      <c r="F11" s="91"/>
      <c r="G11" s="91"/>
      <c r="H11" s="91"/>
      <c r="I11" s="91"/>
      <c r="J11" s="91"/>
      <c r="K11" s="213"/>
      <c r="L11" s="213"/>
      <c r="M11" s="213"/>
      <c r="N11" s="214"/>
      <c r="O11" s="214"/>
      <c r="P11" s="91"/>
      <c r="Q11" s="91"/>
    </row>
    <row r="12" spans="1:17" s="101" customFormat="1" x14ac:dyDescent="0.35">
      <c r="A12" s="90"/>
      <c r="B12" s="91"/>
      <c r="C12" s="91"/>
      <c r="D12" s="91"/>
      <c r="E12" s="91"/>
      <c r="F12" s="91"/>
      <c r="G12" s="91"/>
      <c r="H12" s="91"/>
      <c r="I12" s="91"/>
      <c r="J12" s="91"/>
      <c r="K12" s="213"/>
      <c r="L12" s="213"/>
      <c r="M12" s="213"/>
      <c r="N12" s="214"/>
      <c r="O12" s="214"/>
      <c r="P12" s="91"/>
      <c r="Q12" s="91"/>
    </row>
    <row r="13" spans="1:17" s="101" customFormat="1" x14ac:dyDescent="0.35">
      <c r="A13" s="90"/>
      <c r="B13" s="91"/>
      <c r="C13" s="91"/>
      <c r="D13" s="91"/>
      <c r="E13" s="91"/>
      <c r="F13" s="91"/>
      <c r="G13" s="91"/>
      <c r="H13" s="91"/>
      <c r="I13" s="91"/>
      <c r="J13" s="91"/>
      <c r="K13" s="213"/>
      <c r="L13" s="213"/>
      <c r="M13" s="213"/>
      <c r="N13" s="214"/>
      <c r="O13" s="214"/>
      <c r="P13" s="91"/>
      <c r="Q13" s="91"/>
    </row>
    <row r="14" spans="1:17" s="101" customFormat="1" x14ac:dyDescent="0.35">
      <c r="A14" s="90"/>
      <c r="B14" s="91"/>
      <c r="C14" s="91"/>
      <c r="D14" s="91"/>
      <c r="E14" s="91"/>
      <c r="F14" s="91"/>
      <c r="G14" s="91"/>
      <c r="H14" s="91"/>
      <c r="I14" s="91"/>
      <c r="J14" s="91"/>
      <c r="K14" s="213"/>
      <c r="L14" s="213"/>
      <c r="M14" s="213"/>
      <c r="N14" s="214"/>
      <c r="O14" s="214"/>
      <c r="P14" s="91"/>
      <c r="Q14" s="91"/>
    </row>
    <row r="15" spans="1:17" s="101" customFormat="1" x14ac:dyDescent="0.35">
      <c r="A15" s="90"/>
      <c r="B15" s="91"/>
      <c r="C15" s="91"/>
      <c r="D15" s="91"/>
      <c r="E15" s="91"/>
      <c r="F15" s="91"/>
      <c r="G15" s="91"/>
      <c r="H15" s="91"/>
      <c r="I15" s="91"/>
      <c r="J15" s="91"/>
      <c r="K15" s="213"/>
      <c r="L15" s="213"/>
      <c r="M15" s="213"/>
      <c r="N15" s="214"/>
      <c r="O15" s="214"/>
      <c r="P15" s="91"/>
      <c r="Q15" s="91"/>
    </row>
    <row r="16" spans="1:17" s="101" customFormat="1" x14ac:dyDescent="0.35">
      <c r="A16" s="90"/>
      <c r="B16" s="91"/>
      <c r="C16" s="91"/>
      <c r="D16" s="91"/>
      <c r="E16" s="91"/>
      <c r="F16" s="91"/>
      <c r="G16" s="91"/>
      <c r="H16" s="91"/>
      <c r="I16" s="91"/>
      <c r="J16" s="91"/>
      <c r="K16" s="213"/>
      <c r="L16" s="213"/>
      <c r="M16" s="213"/>
      <c r="N16" s="214"/>
      <c r="O16" s="214"/>
      <c r="P16" s="91"/>
      <c r="Q16" s="91"/>
    </row>
    <row r="17" spans="1:17" s="101" customFormat="1" x14ac:dyDescent="0.35">
      <c r="A17" s="90"/>
      <c r="B17" s="91"/>
      <c r="C17" s="91"/>
      <c r="D17" s="91"/>
      <c r="E17" s="91"/>
      <c r="F17" s="91"/>
      <c r="G17" s="91"/>
      <c r="H17" s="91"/>
      <c r="I17" s="91"/>
      <c r="J17" s="91"/>
      <c r="K17" s="213"/>
      <c r="L17" s="213"/>
      <c r="M17" s="213"/>
      <c r="N17" s="214"/>
      <c r="O17" s="214"/>
      <c r="P17" s="91"/>
      <c r="Q17" s="91"/>
    </row>
    <row r="18" spans="1:17" s="101" customFormat="1" x14ac:dyDescent="0.35">
      <c r="A18" s="90"/>
      <c r="B18" s="91"/>
      <c r="C18" s="91"/>
      <c r="D18" s="91"/>
      <c r="E18" s="91"/>
      <c r="F18" s="91"/>
      <c r="G18" s="91"/>
      <c r="H18" s="91"/>
      <c r="I18" s="91"/>
      <c r="J18" s="91"/>
      <c r="K18" s="213"/>
      <c r="L18" s="213"/>
      <c r="M18" s="213"/>
      <c r="N18" s="214"/>
      <c r="O18" s="214"/>
      <c r="P18" s="91"/>
      <c r="Q18" s="91"/>
    </row>
    <row r="19" spans="1:17" s="101" customFormat="1" x14ac:dyDescent="0.35">
      <c r="A19" s="90"/>
      <c r="B19" s="91"/>
      <c r="C19" s="91"/>
      <c r="D19" s="91"/>
      <c r="E19" s="91"/>
      <c r="F19" s="91"/>
      <c r="G19" s="91"/>
      <c r="H19" s="91"/>
      <c r="I19" s="91"/>
      <c r="J19" s="91"/>
      <c r="K19" s="213"/>
      <c r="L19" s="213"/>
      <c r="M19" s="213"/>
      <c r="N19" s="214"/>
      <c r="O19" s="214"/>
      <c r="P19" s="91"/>
      <c r="Q19" s="91"/>
    </row>
    <row r="20" spans="1:17" s="101" customFormat="1" x14ac:dyDescent="0.35">
      <c r="A20" s="90"/>
      <c r="B20" s="91"/>
      <c r="C20" s="91"/>
      <c r="D20" s="91"/>
      <c r="E20" s="91"/>
      <c r="F20" s="91"/>
      <c r="G20" s="91"/>
      <c r="H20" s="91"/>
      <c r="I20" s="91"/>
      <c r="J20" s="91"/>
      <c r="K20" s="213"/>
      <c r="L20" s="213"/>
      <c r="M20" s="213"/>
      <c r="N20" s="214"/>
      <c r="O20" s="214"/>
      <c r="P20" s="91"/>
      <c r="Q20" s="91"/>
    </row>
    <row r="21" spans="1:17" s="101" customFormat="1" x14ac:dyDescent="0.35">
      <c r="A21" s="90"/>
      <c r="B21" s="91"/>
      <c r="C21" s="91"/>
      <c r="D21" s="91"/>
      <c r="E21" s="91"/>
      <c r="F21" s="91"/>
      <c r="G21" s="91"/>
      <c r="H21" s="91"/>
      <c r="I21" s="91"/>
      <c r="J21" s="91"/>
      <c r="K21" s="213"/>
      <c r="L21" s="213"/>
      <c r="M21" s="213"/>
      <c r="N21" s="214"/>
      <c r="O21" s="214"/>
      <c r="P21" s="91"/>
      <c r="Q21" s="91"/>
    </row>
    <row r="22" spans="1:17" s="101" customFormat="1" x14ac:dyDescent="0.35">
      <c r="A22" s="90"/>
      <c r="B22" s="91"/>
      <c r="C22" s="91"/>
      <c r="D22" s="91"/>
      <c r="E22" s="91"/>
      <c r="F22" s="91"/>
      <c r="G22" s="91"/>
      <c r="H22" s="91"/>
      <c r="I22" s="91"/>
      <c r="J22" s="91"/>
      <c r="K22" s="213"/>
      <c r="L22" s="213"/>
      <c r="M22" s="213"/>
      <c r="N22" s="214"/>
      <c r="O22" s="214"/>
      <c r="P22" s="91"/>
      <c r="Q22" s="91"/>
    </row>
    <row r="23" spans="1:17" s="101" customFormat="1" x14ac:dyDescent="0.35">
      <c r="A23" s="90"/>
      <c r="B23" s="91"/>
      <c r="C23" s="91"/>
      <c r="D23" s="91"/>
      <c r="E23" s="91"/>
      <c r="F23" s="91"/>
      <c r="G23" s="91"/>
      <c r="H23" s="91"/>
      <c r="I23" s="91"/>
      <c r="J23" s="91"/>
      <c r="K23" s="213"/>
      <c r="L23" s="213"/>
      <c r="M23" s="213"/>
      <c r="N23" s="214"/>
      <c r="O23" s="214"/>
      <c r="P23" s="91"/>
      <c r="Q23" s="91"/>
    </row>
    <row r="24" spans="1:17" s="101" customFormat="1" x14ac:dyDescent="0.35">
      <c r="A24" s="90"/>
      <c r="B24" s="91"/>
      <c r="C24" s="91"/>
      <c r="D24" s="91"/>
      <c r="E24" s="91"/>
      <c r="F24" s="91"/>
      <c r="G24" s="91"/>
      <c r="H24" s="91"/>
      <c r="I24" s="91"/>
      <c r="J24" s="91"/>
      <c r="K24" s="213"/>
      <c r="L24" s="213"/>
      <c r="M24" s="213"/>
      <c r="N24" s="214"/>
      <c r="O24" s="214"/>
      <c r="P24" s="91"/>
      <c r="Q24" s="91"/>
    </row>
    <row r="25" spans="1:17" s="101" customFormat="1" x14ac:dyDescent="0.35">
      <c r="A25" s="90"/>
      <c r="B25" s="91"/>
      <c r="C25" s="91"/>
      <c r="D25" s="91"/>
      <c r="E25" s="91"/>
      <c r="F25" s="91"/>
      <c r="G25" s="91"/>
      <c r="H25" s="91"/>
      <c r="I25" s="91"/>
      <c r="J25" s="91"/>
      <c r="K25" s="213"/>
      <c r="L25" s="213"/>
      <c r="M25" s="213"/>
      <c r="N25" s="214"/>
      <c r="O25" s="214"/>
      <c r="P25" s="91"/>
      <c r="Q25" s="91"/>
    </row>
    <row r="26" spans="1:17" s="101" customFormat="1" x14ac:dyDescent="0.35">
      <c r="A26" s="90"/>
      <c r="B26" s="91"/>
      <c r="C26" s="91"/>
      <c r="D26" s="91"/>
      <c r="E26" s="91"/>
      <c r="F26" s="91"/>
      <c r="G26" s="91"/>
      <c r="H26" s="91"/>
      <c r="I26" s="91"/>
      <c r="J26" s="91"/>
      <c r="K26" s="213"/>
      <c r="L26" s="213"/>
      <c r="M26" s="213"/>
      <c r="N26" s="214"/>
      <c r="O26" s="214"/>
      <c r="P26" s="91"/>
      <c r="Q26" s="91"/>
    </row>
    <row r="27" spans="1:17" s="101" customFormat="1" x14ac:dyDescent="0.35">
      <c r="A27" s="90"/>
      <c r="B27" s="91"/>
      <c r="C27" s="91"/>
      <c r="D27" s="91"/>
      <c r="E27" s="91"/>
      <c r="F27" s="91"/>
      <c r="G27" s="91"/>
      <c r="H27" s="91"/>
      <c r="I27" s="91"/>
      <c r="J27" s="91"/>
      <c r="K27" s="213"/>
      <c r="L27" s="213"/>
      <c r="M27" s="213"/>
      <c r="N27" s="214"/>
      <c r="O27" s="214"/>
      <c r="P27" s="91"/>
      <c r="Q27" s="91"/>
    </row>
    <row r="28" spans="1:17" s="101" customFormat="1" x14ac:dyDescent="0.35">
      <c r="A28" s="90"/>
      <c r="B28" s="91"/>
      <c r="C28" s="91"/>
      <c r="D28" s="91"/>
      <c r="E28" s="91"/>
      <c r="F28" s="91"/>
      <c r="G28" s="91"/>
      <c r="H28" s="91"/>
      <c r="I28" s="91"/>
      <c r="J28" s="91"/>
      <c r="K28" s="213"/>
      <c r="L28" s="213"/>
      <c r="M28" s="213"/>
      <c r="N28" s="214"/>
      <c r="O28" s="214"/>
      <c r="P28" s="91"/>
      <c r="Q28" s="91"/>
    </row>
    <row r="29" spans="1:17" s="101" customFormat="1" x14ac:dyDescent="0.35">
      <c r="A29" s="90"/>
      <c r="B29" s="91"/>
      <c r="C29" s="91"/>
      <c r="D29" s="91"/>
      <c r="E29" s="91"/>
      <c r="F29" s="91"/>
      <c r="G29" s="91"/>
      <c r="H29" s="91"/>
      <c r="I29" s="91"/>
      <c r="J29" s="91"/>
      <c r="K29" s="213"/>
      <c r="L29" s="213"/>
      <c r="M29" s="213"/>
      <c r="N29" s="214"/>
      <c r="O29" s="214"/>
      <c r="P29" s="91"/>
      <c r="Q29" s="91"/>
    </row>
    <row r="30" spans="1:17" s="101" customFormat="1" x14ac:dyDescent="0.35">
      <c r="A30" s="90"/>
      <c r="B30" s="91"/>
      <c r="C30" s="91"/>
      <c r="D30" s="91"/>
      <c r="E30" s="91"/>
      <c r="F30" s="91"/>
      <c r="G30" s="91"/>
      <c r="H30" s="91"/>
      <c r="I30" s="91"/>
      <c r="J30" s="91"/>
      <c r="K30" s="213"/>
      <c r="L30" s="213"/>
      <c r="M30" s="213"/>
      <c r="N30" s="214"/>
      <c r="O30" s="214"/>
      <c r="P30" s="91"/>
      <c r="Q30" s="91"/>
    </row>
    <row r="31" spans="1:17" s="101" customFormat="1" x14ac:dyDescent="0.35">
      <c r="A31" s="90"/>
      <c r="B31" s="91"/>
      <c r="C31" s="91"/>
      <c r="D31" s="91"/>
      <c r="E31" s="91"/>
      <c r="F31" s="91"/>
      <c r="G31" s="91"/>
      <c r="H31" s="91"/>
      <c r="I31" s="91"/>
      <c r="J31" s="91"/>
      <c r="K31" s="213"/>
      <c r="L31" s="213"/>
      <c r="M31" s="213"/>
      <c r="N31" s="214"/>
      <c r="O31" s="214"/>
      <c r="P31" s="91"/>
      <c r="Q31" s="91"/>
    </row>
    <row r="32" spans="1:17" s="101" customFormat="1" x14ac:dyDescent="0.35">
      <c r="A32" s="90"/>
      <c r="B32" s="91"/>
      <c r="C32" s="91"/>
      <c r="D32" s="91"/>
      <c r="E32" s="91"/>
      <c r="F32" s="91"/>
      <c r="G32" s="91"/>
      <c r="H32" s="91"/>
      <c r="I32" s="91"/>
      <c r="J32" s="91"/>
      <c r="K32" s="213"/>
      <c r="L32" s="213"/>
      <c r="M32" s="213"/>
      <c r="N32" s="214"/>
      <c r="O32" s="214"/>
      <c r="P32" s="91"/>
      <c r="Q32" s="91"/>
    </row>
    <row r="33" spans="1:17" s="101" customFormat="1" x14ac:dyDescent="0.35">
      <c r="A33" s="90"/>
      <c r="B33" s="91"/>
      <c r="C33" s="91"/>
      <c r="D33" s="91"/>
      <c r="E33" s="91"/>
      <c r="F33" s="91"/>
      <c r="G33" s="91"/>
      <c r="H33" s="91"/>
      <c r="I33" s="91"/>
      <c r="J33" s="91"/>
      <c r="K33" s="213"/>
      <c r="L33" s="213"/>
      <c r="M33" s="213"/>
      <c r="N33" s="214"/>
      <c r="O33" s="214"/>
      <c r="P33" s="91"/>
      <c r="Q33" s="91"/>
    </row>
    <row r="34" spans="1:17" s="101" customFormat="1" x14ac:dyDescent="0.35">
      <c r="A34" s="90"/>
      <c r="B34" s="91"/>
      <c r="C34" s="91"/>
      <c r="D34" s="91"/>
      <c r="E34" s="91"/>
      <c r="F34" s="91"/>
      <c r="G34" s="91"/>
      <c r="H34" s="91"/>
      <c r="I34" s="91"/>
      <c r="J34" s="91"/>
      <c r="K34" s="213"/>
      <c r="L34" s="213"/>
      <c r="M34" s="213"/>
      <c r="N34" s="214"/>
      <c r="O34" s="214"/>
      <c r="P34" s="91"/>
      <c r="Q34" s="91"/>
    </row>
    <row r="35" spans="1:17" s="101" customFormat="1" x14ac:dyDescent="0.35">
      <c r="A35" s="90"/>
      <c r="B35" s="91"/>
      <c r="C35" s="91"/>
      <c r="D35" s="91"/>
      <c r="E35" s="91"/>
      <c r="F35" s="91"/>
      <c r="G35" s="91"/>
      <c r="H35" s="91"/>
      <c r="I35" s="91"/>
      <c r="J35" s="91"/>
      <c r="K35" s="213"/>
      <c r="L35" s="213"/>
      <c r="M35" s="213"/>
      <c r="N35" s="214"/>
      <c r="O35" s="214"/>
      <c r="P35" s="91"/>
      <c r="Q35" s="91"/>
    </row>
    <row r="36" spans="1:17" s="101" customFormat="1" x14ac:dyDescent="0.35">
      <c r="A36" s="90"/>
      <c r="B36" s="91"/>
      <c r="C36" s="91"/>
      <c r="D36" s="91"/>
      <c r="E36" s="91"/>
      <c r="F36" s="91"/>
      <c r="G36" s="91"/>
      <c r="H36" s="91"/>
      <c r="I36" s="91"/>
      <c r="J36" s="91"/>
      <c r="K36" s="213"/>
      <c r="L36" s="213"/>
      <c r="M36" s="213"/>
      <c r="N36" s="214"/>
      <c r="O36" s="214"/>
      <c r="P36" s="91"/>
      <c r="Q36" s="91"/>
    </row>
    <row r="37" spans="1:17" s="101" customFormat="1" x14ac:dyDescent="0.35">
      <c r="A37" s="90"/>
      <c r="B37" s="91"/>
      <c r="C37" s="91"/>
      <c r="D37" s="91"/>
      <c r="E37" s="91"/>
      <c r="F37" s="91"/>
      <c r="G37" s="91"/>
      <c r="H37" s="91"/>
      <c r="I37" s="91"/>
      <c r="J37" s="91"/>
      <c r="K37" s="213"/>
      <c r="L37" s="213"/>
      <c r="M37" s="213"/>
      <c r="N37" s="214"/>
      <c r="O37" s="214"/>
      <c r="P37" s="91"/>
      <c r="Q37" s="91"/>
    </row>
    <row r="38" spans="1:17" s="101" customFormat="1" x14ac:dyDescent="0.35">
      <c r="A38" s="90"/>
      <c r="B38" s="91"/>
      <c r="C38" s="91"/>
      <c r="D38" s="91"/>
      <c r="E38" s="91"/>
      <c r="F38" s="91"/>
      <c r="G38" s="91"/>
      <c r="H38" s="91"/>
      <c r="I38" s="91"/>
      <c r="J38" s="91"/>
      <c r="K38" s="213"/>
      <c r="L38" s="213"/>
      <c r="M38" s="213"/>
      <c r="N38" s="214"/>
      <c r="O38" s="214"/>
      <c r="P38" s="91"/>
      <c r="Q38" s="91"/>
    </row>
    <row r="39" spans="1:17" s="101" customFormat="1" x14ac:dyDescent="0.35">
      <c r="A39" s="90"/>
      <c r="B39" s="91"/>
      <c r="C39" s="91"/>
      <c r="D39" s="91"/>
      <c r="E39" s="91"/>
      <c r="F39" s="91"/>
      <c r="G39" s="91"/>
      <c r="H39" s="91"/>
      <c r="I39" s="91"/>
      <c r="J39" s="91"/>
      <c r="K39" s="213"/>
      <c r="L39" s="213"/>
      <c r="M39" s="213"/>
      <c r="N39" s="214"/>
      <c r="O39" s="214"/>
      <c r="P39" s="91"/>
      <c r="Q39" s="91"/>
    </row>
    <row r="40" spans="1:17" s="101" customFormat="1" x14ac:dyDescent="0.35">
      <c r="A40" s="215"/>
      <c r="B40" s="216"/>
      <c r="C40" s="216"/>
      <c r="D40" s="216"/>
      <c r="E40" s="216"/>
      <c r="F40" s="216"/>
      <c r="G40" s="216"/>
      <c r="H40" s="216"/>
      <c r="I40" s="216"/>
      <c r="J40" s="216"/>
      <c r="K40" s="217"/>
      <c r="L40" s="217"/>
      <c r="M40" s="217"/>
      <c r="N40" s="216"/>
      <c r="O40" s="216"/>
      <c r="P40" s="91"/>
      <c r="Q40" s="91"/>
    </row>
    <row r="41" spans="1:17" s="101" customFormat="1" x14ac:dyDescent="0.35">
      <c r="A41" s="90"/>
      <c r="B41" s="91"/>
      <c r="C41" s="91"/>
      <c r="D41" s="91"/>
      <c r="E41" s="91"/>
      <c r="F41" s="91"/>
      <c r="G41" s="91"/>
      <c r="H41" s="91"/>
      <c r="I41" s="91"/>
      <c r="J41" s="91"/>
      <c r="K41" s="213"/>
      <c r="L41" s="213"/>
      <c r="M41" s="213"/>
      <c r="N41" s="214"/>
      <c r="O41" s="214"/>
      <c r="P41" s="91"/>
      <c r="Q41" s="91"/>
    </row>
    <row r="42" spans="1:17" s="101" customFormat="1" x14ac:dyDescent="0.35">
      <c r="A42" s="90"/>
      <c r="B42" s="91"/>
      <c r="C42" s="91"/>
      <c r="D42" s="91"/>
      <c r="E42" s="91"/>
      <c r="F42" s="91"/>
      <c r="G42" s="91"/>
      <c r="H42" s="91"/>
      <c r="I42" s="91"/>
      <c r="J42" s="91"/>
      <c r="K42" s="213"/>
      <c r="L42" s="213"/>
      <c r="M42" s="213"/>
      <c r="N42" s="214"/>
      <c r="O42" s="214"/>
      <c r="P42" s="91"/>
      <c r="Q42" s="91"/>
    </row>
    <row r="43" spans="1:17" s="101" customFormat="1" x14ac:dyDescent="0.35">
      <c r="A43" s="90"/>
      <c r="B43" s="91"/>
      <c r="C43" s="91"/>
      <c r="D43" s="91"/>
      <c r="E43" s="91"/>
      <c r="F43" s="91"/>
      <c r="G43" s="91"/>
      <c r="H43" s="91"/>
      <c r="I43" s="91"/>
      <c r="J43" s="91"/>
      <c r="K43" s="213"/>
      <c r="L43" s="213"/>
      <c r="M43" s="213"/>
      <c r="N43" s="214"/>
      <c r="O43" s="214"/>
      <c r="P43" s="91"/>
      <c r="Q43" s="91"/>
    </row>
    <row r="44" spans="1:17" s="101" customFormat="1" x14ac:dyDescent="0.35">
      <c r="A44" s="90"/>
      <c r="B44" s="91"/>
      <c r="C44" s="91"/>
      <c r="D44" s="91"/>
      <c r="E44" s="91"/>
      <c r="F44" s="91"/>
      <c r="G44" s="91"/>
      <c r="H44" s="91"/>
      <c r="I44" s="91"/>
      <c r="J44" s="91"/>
      <c r="K44" s="213"/>
      <c r="L44" s="213"/>
      <c r="M44" s="213"/>
      <c r="N44" s="214"/>
      <c r="O44" s="214"/>
      <c r="P44" s="91"/>
      <c r="Q44" s="91"/>
    </row>
    <row r="45" spans="1:17" s="101" customFormat="1" x14ac:dyDescent="0.35">
      <c r="A45" s="90"/>
      <c r="B45" s="91"/>
      <c r="C45" s="91"/>
      <c r="D45" s="91"/>
      <c r="E45" s="91"/>
      <c r="F45" s="91"/>
      <c r="G45" s="91"/>
      <c r="H45" s="91"/>
      <c r="I45" s="91"/>
      <c r="J45" s="91"/>
      <c r="K45" s="213"/>
      <c r="L45" s="213"/>
      <c r="M45" s="213"/>
      <c r="N45" s="214"/>
      <c r="O45" s="214"/>
      <c r="P45" s="91"/>
      <c r="Q45" s="91"/>
    </row>
    <row r="46" spans="1:17" s="101" customFormat="1" x14ac:dyDescent="0.35">
      <c r="A46" s="90"/>
      <c r="B46" s="91"/>
      <c r="C46" s="91"/>
      <c r="D46" s="91"/>
      <c r="E46" s="91"/>
      <c r="F46" s="91"/>
      <c r="G46" s="91"/>
      <c r="H46" s="91"/>
      <c r="I46" s="91"/>
      <c r="J46" s="91"/>
      <c r="K46" s="213"/>
      <c r="L46" s="213"/>
      <c r="M46" s="213"/>
      <c r="N46" s="214"/>
      <c r="O46" s="214"/>
      <c r="P46" s="91"/>
      <c r="Q46" s="91"/>
    </row>
    <row r="47" spans="1:17" s="101" customFormat="1" x14ac:dyDescent="0.35">
      <c r="A47" s="90"/>
      <c r="B47" s="91"/>
      <c r="C47" s="91"/>
      <c r="D47" s="91"/>
      <c r="E47" s="91"/>
      <c r="F47" s="91"/>
      <c r="G47" s="91"/>
      <c r="H47" s="91"/>
      <c r="I47" s="91"/>
      <c r="J47" s="91"/>
      <c r="K47" s="213"/>
      <c r="L47" s="213"/>
      <c r="M47" s="213"/>
      <c r="N47" s="214"/>
      <c r="O47" s="214"/>
      <c r="P47" s="91"/>
      <c r="Q47" s="91"/>
    </row>
    <row r="48" spans="1:17" s="101" customFormat="1" x14ac:dyDescent="0.35">
      <c r="A48" s="90"/>
      <c r="B48" s="91"/>
      <c r="C48" s="91"/>
      <c r="D48" s="91"/>
      <c r="E48" s="91"/>
      <c r="F48" s="91"/>
      <c r="G48" s="91"/>
      <c r="H48" s="91"/>
      <c r="I48" s="91"/>
      <c r="J48" s="91"/>
      <c r="K48" s="213"/>
      <c r="L48" s="213"/>
      <c r="M48" s="213"/>
      <c r="N48" s="214"/>
      <c r="O48" s="214"/>
      <c r="P48" s="91"/>
      <c r="Q48" s="91"/>
    </row>
    <row r="49" spans="1:17" s="101" customFormat="1" x14ac:dyDescent="0.35">
      <c r="A49" s="90"/>
      <c r="B49" s="91"/>
      <c r="C49" s="91"/>
      <c r="D49" s="91"/>
      <c r="E49" s="91"/>
      <c r="F49" s="91"/>
      <c r="G49" s="91"/>
      <c r="H49" s="91"/>
      <c r="I49" s="91"/>
      <c r="J49" s="91"/>
      <c r="K49" s="213"/>
      <c r="L49" s="213"/>
      <c r="M49" s="213"/>
      <c r="N49" s="214"/>
      <c r="O49" s="214"/>
      <c r="P49" s="91"/>
      <c r="Q49" s="91"/>
    </row>
    <row r="50" spans="1:17" s="101" customFormat="1" x14ac:dyDescent="0.35">
      <c r="A50" s="90"/>
      <c r="B50" s="91"/>
      <c r="C50" s="91"/>
      <c r="D50" s="91"/>
      <c r="E50" s="91"/>
      <c r="F50" s="91"/>
      <c r="G50" s="91"/>
      <c r="H50" s="91"/>
      <c r="I50" s="91"/>
      <c r="J50" s="91"/>
      <c r="K50" s="213"/>
      <c r="L50" s="213"/>
      <c r="M50" s="213"/>
      <c r="N50" s="214"/>
      <c r="O50" s="214"/>
      <c r="P50" s="91"/>
      <c r="Q50" s="91"/>
    </row>
    <row r="51" spans="1:17" s="101" customFormat="1" x14ac:dyDescent="0.35">
      <c r="A51" s="90"/>
      <c r="B51" s="91"/>
      <c r="C51" s="91"/>
      <c r="D51" s="91"/>
      <c r="E51" s="91"/>
      <c r="F51" s="91"/>
      <c r="G51" s="91"/>
      <c r="H51" s="91"/>
      <c r="I51" s="91"/>
      <c r="J51" s="91"/>
      <c r="K51" s="213"/>
      <c r="L51" s="213"/>
      <c r="M51" s="213"/>
      <c r="N51" s="214"/>
      <c r="O51" s="214"/>
      <c r="P51" s="91"/>
      <c r="Q51" s="91"/>
    </row>
    <row r="52" spans="1:17" s="101" customFormat="1" x14ac:dyDescent="0.35">
      <c r="A52" s="90"/>
      <c r="B52" s="91"/>
      <c r="C52" s="91"/>
      <c r="D52" s="91"/>
      <c r="E52" s="91"/>
      <c r="F52" s="91"/>
      <c r="G52" s="91"/>
      <c r="H52" s="91"/>
      <c r="I52" s="91"/>
      <c r="J52" s="91"/>
      <c r="K52" s="213"/>
      <c r="L52" s="213"/>
      <c r="M52" s="213"/>
      <c r="N52" s="214"/>
      <c r="O52" s="214"/>
      <c r="P52" s="91"/>
      <c r="Q52" s="91"/>
    </row>
    <row r="53" spans="1:17" s="101" customFormat="1" x14ac:dyDescent="0.35">
      <c r="A53" s="90"/>
      <c r="B53" s="91"/>
      <c r="C53" s="91"/>
      <c r="D53" s="91"/>
      <c r="E53" s="91"/>
      <c r="F53" s="91"/>
      <c r="G53" s="91"/>
      <c r="H53" s="91"/>
      <c r="I53" s="91"/>
      <c r="J53" s="91"/>
      <c r="K53" s="213"/>
      <c r="L53" s="213"/>
      <c r="M53" s="213"/>
      <c r="N53" s="214"/>
      <c r="O53" s="214"/>
      <c r="P53" s="91"/>
      <c r="Q53" s="91"/>
    </row>
    <row r="54" spans="1:17" s="101" customFormat="1" x14ac:dyDescent="0.35">
      <c r="A54" s="90"/>
      <c r="B54" s="91"/>
      <c r="C54" s="91"/>
      <c r="D54" s="91"/>
      <c r="E54" s="91"/>
      <c r="F54" s="91"/>
      <c r="G54" s="91"/>
      <c r="H54" s="91"/>
      <c r="I54" s="91"/>
      <c r="J54" s="91"/>
      <c r="K54" s="213"/>
      <c r="L54" s="213"/>
      <c r="M54" s="213"/>
      <c r="N54" s="214"/>
      <c r="O54" s="214"/>
      <c r="P54" s="91"/>
      <c r="Q54" s="91"/>
    </row>
    <row r="55" spans="1:17" s="101" customFormat="1" x14ac:dyDescent="0.35">
      <c r="A55" s="90"/>
      <c r="B55" s="91"/>
      <c r="C55" s="91"/>
      <c r="D55" s="91"/>
      <c r="E55" s="91"/>
      <c r="F55" s="91"/>
      <c r="G55" s="91"/>
      <c r="H55" s="91"/>
      <c r="I55" s="91"/>
      <c r="J55" s="91"/>
      <c r="K55" s="213"/>
      <c r="L55" s="213"/>
      <c r="M55" s="213"/>
      <c r="N55" s="214"/>
      <c r="O55" s="214"/>
      <c r="P55" s="91"/>
      <c r="Q55" s="91"/>
    </row>
    <row r="56" spans="1:17" s="101" customFormat="1" x14ac:dyDescent="0.35">
      <c r="A56" s="90"/>
      <c r="B56" s="91"/>
      <c r="C56" s="91"/>
      <c r="D56" s="91"/>
      <c r="E56" s="91"/>
      <c r="F56" s="91"/>
      <c r="G56" s="91"/>
      <c r="H56" s="91"/>
      <c r="I56" s="91"/>
      <c r="J56" s="91"/>
      <c r="K56" s="213"/>
      <c r="L56" s="213"/>
      <c r="M56" s="213"/>
      <c r="N56" s="214"/>
      <c r="O56" s="214"/>
      <c r="P56" s="91"/>
      <c r="Q56" s="91"/>
    </row>
    <row r="57" spans="1:17" s="101" customFormat="1" x14ac:dyDescent="0.35">
      <c r="A57" s="90"/>
      <c r="B57" s="91"/>
      <c r="C57" s="91"/>
      <c r="D57" s="91"/>
      <c r="E57" s="91"/>
      <c r="F57" s="91"/>
      <c r="G57" s="91"/>
      <c r="H57" s="91"/>
      <c r="I57" s="91"/>
      <c r="J57" s="91"/>
      <c r="K57" s="213"/>
      <c r="L57" s="213"/>
      <c r="M57" s="213"/>
      <c r="N57" s="214"/>
      <c r="O57" s="214"/>
      <c r="P57" s="91"/>
      <c r="Q57" s="91"/>
    </row>
    <row r="58" spans="1:17" s="101" customFormat="1" x14ac:dyDescent="0.35">
      <c r="A58" s="90"/>
      <c r="B58" s="91"/>
      <c r="C58" s="91"/>
      <c r="D58" s="91"/>
      <c r="E58" s="91"/>
      <c r="F58" s="91"/>
      <c r="G58" s="91"/>
      <c r="H58" s="91"/>
      <c r="I58" s="91"/>
      <c r="J58" s="91"/>
      <c r="K58" s="213"/>
      <c r="L58" s="213"/>
      <c r="M58" s="213"/>
      <c r="N58" s="214"/>
      <c r="O58" s="214"/>
      <c r="P58" s="91"/>
      <c r="Q58" s="91"/>
    </row>
    <row r="59" spans="1:17" s="101" customFormat="1" x14ac:dyDescent="0.35">
      <c r="A59" s="90"/>
      <c r="B59" s="91"/>
      <c r="C59" s="91"/>
      <c r="D59" s="91"/>
      <c r="E59" s="91"/>
      <c r="F59" s="91"/>
      <c r="G59" s="91"/>
      <c r="H59" s="91"/>
      <c r="I59" s="91"/>
      <c r="J59" s="91"/>
      <c r="K59" s="213"/>
      <c r="L59" s="213"/>
      <c r="M59" s="213"/>
      <c r="N59" s="214"/>
      <c r="O59" s="214"/>
      <c r="P59" s="91"/>
      <c r="Q59" s="91"/>
    </row>
    <row r="60" spans="1:17" s="101" customFormat="1" x14ac:dyDescent="0.35">
      <c r="A60" s="90"/>
      <c r="B60" s="91"/>
      <c r="C60" s="91"/>
      <c r="D60" s="91"/>
      <c r="E60" s="91"/>
      <c r="F60" s="91"/>
      <c r="G60" s="91"/>
      <c r="H60" s="91"/>
      <c r="I60" s="91"/>
      <c r="J60" s="91"/>
      <c r="K60" s="213"/>
      <c r="L60" s="213"/>
      <c r="M60" s="213"/>
      <c r="N60" s="214"/>
      <c r="O60" s="214"/>
      <c r="P60" s="91"/>
      <c r="Q60" s="91"/>
    </row>
    <row r="61" spans="1:17" s="101" customFormat="1" x14ac:dyDescent="0.35">
      <c r="A61" s="90"/>
      <c r="B61" s="91"/>
      <c r="C61" s="91"/>
      <c r="D61" s="91"/>
      <c r="E61" s="91"/>
      <c r="F61" s="91"/>
      <c r="G61" s="91"/>
      <c r="H61" s="91"/>
      <c r="I61" s="91"/>
      <c r="J61" s="91"/>
      <c r="K61" s="213"/>
      <c r="L61" s="213"/>
      <c r="M61" s="213"/>
      <c r="N61" s="214"/>
      <c r="O61" s="214"/>
      <c r="P61" s="91"/>
      <c r="Q61" s="91"/>
    </row>
    <row r="62" spans="1:17" s="101" customFormat="1" x14ac:dyDescent="0.35">
      <c r="A62" s="90"/>
      <c r="B62" s="91"/>
      <c r="C62" s="91"/>
      <c r="D62" s="91"/>
      <c r="E62" s="91"/>
      <c r="F62" s="91"/>
      <c r="G62" s="91"/>
      <c r="H62" s="91"/>
      <c r="I62" s="91"/>
      <c r="J62" s="91"/>
      <c r="K62" s="213"/>
      <c r="L62" s="213"/>
      <c r="M62" s="213"/>
      <c r="N62" s="214"/>
      <c r="O62" s="214"/>
      <c r="P62" s="91"/>
      <c r="Q62" s="91"/>
    </row>
    <row r="63" spans="1:17" s="101" customFormat="1" x14ac:dyDescent="0.35">
      <c r="A63" s="90"/>
      <c r="B63" s="91"/>
      <c r="C63" s="91"/>
      <c r="D63" s="91"/>
      <c r="E63" s="91"/>
      <c r="F63" s="91"/>
      <c r="G63" s="91"/>
      <c r="H63" s="91"/>
      <c r="I63" s="91"/>
      <c r="J63" s="91"/>
      <c r="K63" s="213"/>
      <c r="L63" s="213"/>
      <c r="M63" s="213"/>
      <c r="N63" s="214"/>
      <c r="O63" s="214"/>
      <c r="P63" s="91"/>
      <c r="Q63" s="91"/>
    </row>
    <row r="64" spans="1:17" s="101" customFormat="1" x14ac:dyDescent="0.35">
      <c r="A64" s="90"/>
      <c r="B64" s="91"/>
      <c r="C64" s="91"/>
      <c r="D64" s="91"/>
      <c r="E64" s="91"/>
      <c r="F64" s="91"/>
      <c r="G64" s="91"/>
      <c r="H64" s="91"/>
      <c r="I64" s="91"/>
      <c r="J64" s="91"/>
      <c r="K64" s="213"/>
      <c r="L64" s="213"/>
      <c r="M64" s="213"/>
      <c r="N64" s="214"/>
      <c r="O64" s="214"/>
      <c r="P64" s="91"/>
      <c r="Q64" s="91"/>
    </row>
    <row r="65" spans="1:17" s="101" customFormat="1" x14ac:dyDescent="0.35">
      <c r="A65" s="90"/>
      <c r="B65" s="91"/>
      <c r="C65" s="91"/>
      <c r="D65" s="91"/>
      <c r="E65" s="91"/>
      <c r="F65" s="91"/>
      <c r="G65" s="91"/>
      <c r="H65" s="91"/>
      <c r="I65" s="91"/>
      <c r="J65" s="91"/>
      <c r="K65" s="213"/>
      <c r="L65" s="213"/>
      <c r="M65" s="213"/>
      <c r="N65" s="214"/>
      <c r="O65" s="214"/>
      <c r="P65" s="91"/>
      <c r="Q65" s="91"/>
    </row>
    <row r="66" spans="1:17" s="101" customFormat="1" x14ac:dyDescent="0.35">
      <c r="A66" s="90"/>
      <c r="B66" s="91"/>
      <c r="C66" s="91"/>
      <c r="D66" s="91"/>
      <c r="E66" s="91"/>
      <c r="F66" s="91"/>
      <c r="G66" s="91"/>
      <c r="H66" s="91"/>
      <c r="I66" s="91"/>
      <c r="J66" s="91"/>
      <c r="K66" s="213"/>
      <c r="L66" s="213"/>
      <c r="M66" s="213"/>
      <c r="N66" s="214"/>
      <c r="O66" s="214"/>
      <c r="P66" s="91"/>
      <c r="Q66" s="91"/>
    </row>
    <row r="67" spans="1:17" s="101" customFormat="1" x14ac:dyDescent="0.35">
      <c r="A67" s="90"/>
      <c r="B67" s="91"/>
      <c r="C67" s="91"/>
      <c r="D67" s="91"/>
      <c r="E67" s="91"/>
      <c r="F67" s="91"/>
      <c r="G67" s="91"/>
      <c r="H67" s="91"/>
      <c r="I67" s="91"/>
      <c r="J67" s="91"/>
      <c r="K67" s="213"/>
      <c r="L67" s="213"/>
      <c r="M67" s="213"/>
      <c r="N67" s="214"/>
      <c r="O67" s="214"/>
      <c r="P67" s="91"/>
      <c r="Q67" s="91"/>
    </row>
    <row r="68" spans="1:17" s="101" customFormat="1" x14ac:dyDescent="0.35">
      <c r="A68" s="90"/>
      <c r="B68" s="91"/>
      <c r="C68" s="91"/>
      <c r="D68" s="91"/>
      <c r="E68" s="91"/>
      <c r="F68" s="91"/>
      <c r="G68" s="91"/>
      <c r="H68" s="91"/>
      <c r="I68" s="91"/>
      <c r="J68" s="91"/>
      <c r="K68" s="213"/>
      <c r="L68" s="213"/>
      <c r="M68" s="213"/>
      <c r="N68" s="214"/>
      <c r="O68" s="214"/>
      <c r="P68" s="91"/>
      <c r="Q68" s="91"/>
    </row>
    <row r="69" spans="1:17" s="101" customFormat="1" x14ac:dyDescent="0.35">
      <c r="A69" s="90"/>
      <c r="B69" s="91"/>
      <c r="C69" s="91"/>
      <c r="D69" s="91"/>
      <c r="E69" s="91"/>
      <c r="F69" s="91"/>
      <c r="G69" s="91"/>
      <c r="H69" s="91"/>
      <c r="I69" s="91"/>
      <c r="J69" s="91"/>
      <c r="K69" s="213"/>
      <c r="L69" s="213"/>
      <c r="M69" s="213"/>
      <c r="N69" s="214"/>
      <c r="O69" s="214"/>
      <c r="P69" s="91"/>
      <c r="Q69" s="91"/>
    </row>
    <row r="70" spans="1:17" s="101" customFormat="1" x14ac:dyDescent="0.35">
      <c r="A70" s="90"/>
      <c r="B70" s="91"/>
      <c r="C70" s="91"/>
      <c r="D70" s="91"/>
      <c r="E70" s="91"/>
      <c r="F70" s="91"/>
      <c r="G70" s="91"/>
      <c r="H70" s="91"/>
      <c r="I70" s="91"/>
      <c r="J70" s="91"/>
      <c r="K70" s="213"/>
      <c r="L70" s="213"/>
      <c r="M70" s="213"/>
      <c r="N70" s="214"/>
      <c r="O70" s="214"/>
      <c r="P70" s="91"/>
      <c r="Q70" s="91"/>
    </row>
    <row r="71" spans="1:17" s="101" customFormat="1" x14ac:dyDescent="0.35">
      <c r="A71" s="90"/>
      <c r="B71" s="91"/>
      <c r="C71" s="91"/>
      <c r="D71" s="91"/>
      <c r="E71" s="91"/>
      <c r="F71" s="91"/>
      <c r="G71" s="91"/>
      <c r="H71" s="91"/>
      <c r="I71" s="91"/>
      <c r="J71" s="91"/>
      <c r="K71" s="213"/>
      <c r="L71" s="213"/>
      <c r="M71" s="213"/>
      <c r="N71" s="214"/>
      <c r="O71" s="214"/>
      <c r="P71" s="91"/>
      <c r="Q71" s="91"/>
    </row>
    <row r="72" spans="1:17" s="101" customFormat="1" x14ac:dyDescent="0.35">
      <c r="A72" s="90"/>
      <c r="B72" s="91"/>
      <c r="C72" s="91"/>
      <c r="D72" s="91"/>
      <c r="E72" s="91"/>
      <c r="F72" s="91"/>
      <c r="G72" s="91"/>
      <c r="H72" s="91"/>
      <c r="I72" s="91"/>
      <c r="J72" s="91"/>
      <c r="K72" s="213"/>
      <c r="L72" s="213"/>
      <c r="M72" s="213"/>
      <c r="N72" s="214"/>
      <c r="O72" s="214"/>
      <c r="P72" s="91"/>
      <c r="Q72" s="91"/>
    </row>
    <row r="73" spans="1:17" s="101" customFormat="1" x14ac:dyDescent="0.35">
      <c r="A73" s="215"/>
      <c r="B73" s="216"/>
      <c r="C73" s="216"/>
      <c r="D73" s="216"/>
      <c r="E73" s="216"/>
      <c r="F73" s="216"/>
      <c r="G73" s="216"/>
      <c r="H73" s="216"/>
      <c r="I73" s="216"/>
      <c r="J73" s="216"/>
      <c r="K73" s="217"/>
      <c r="L73" s="217"/>
      <c r="M73" s="217"/>
      <c r="N73" s="216"/>
      <c r="O73" s="216"/>
      <c r="P73" s="91"/>
      <c r="Q73" s="91"/>
    </row>
    <row r="74" spans="1:17" s="101" customFormat="1" x14ac:dyDescent="0.35">
      <c r="A74" s="90"/>
      <c r="B74" s="91"/>
      <c r="C74" s="91"/>
      <c r="D74" s="91"/>
      <c r="E74" s="91"/>
      <c r="F74" s="91"/>
      <c r="G74" s="91"/>
      <c r="H74" s="91"/>
      <c r="I74" s="91"/>
      <c r="J74" s="91"/>
      <c r="K74" s="213"/>
      <c r="L74" s="213"/>
      <c r="M74" s="213"/>
      <c r="N74" s="214"/>
      <c r="O74" s="214"/>
      <c r="P74" s="91"/>
      <c r="Q74" s="91"/>
    </row>
    <row r="75" spans="1:17" s="101" customFormat="1" x14ac:dyDescent="0.35">
      <c r="A75" s="90"/>
      <c r="B75" s="91"/>
      <c r="C75" s="91"/>
      <c r="D75" s="91"/>
      <c r="E75" s="91"/>
      <c r="F75" s="91"/>
      <c r="G75" s="91"/>
      <c r="H75" s="91"/>
      <c r="I75" s="91"/>
      <c r="J75" s="91"/>
      <c r="K75" s="213"/>
      <c r="L75" s="213"/>
      <c r="M75" s="213"/>
      <c r="N75" s="214"/>
      <c r="O75" s="214"/>
      <c r="P75" s="91"/>
      <c r="Q75" s="91"/>
    </row>
    <row r="76" spans="1:17" s="101" customFormat="1" x14ac:dyDescent="0.35">
      <c r="A76" s="90"/>
      <c r="B76" s="91"/>
      <c r="C76" s="91"/>
      <c r="D76" s="91"/>
      <c r="E76" s="91"/>
      <c r="F76" s="91"/>
      <c r="G76" s="91"/>
      <c r="H76" s="91"/>
      <c r="I76" s="91"/>
      <c r="J76" s="91"/>
      <c r="K76" s="213"/>
      <c r="L76" s="213"/>
      <c r="M76" s="213"/>
      <c r="N76" s="214"/>
      <c r="O76" s="214"/>
      <c r="P76" s="91"/>
      <c r="Q76" s="91"/>
    </row>
    <row r="77" spans="1:17" s="101" customFormat="1" x14ac:dyDescent="0.35">
      <c r="A77" s="90"/>
      <c r="B77" s="91"/>
      <c r="C77" s="91"/>
      <c r="D77" s="91"/>
      <c r="E77" s="91"/>
      <c r="F77" s="91"/>
      <c r="G77" s="91"/>
      <c r="H77" s="91"/>
      <c r="I77" s="91"/>
      <c r="J77" s="91"/>
      <c r="K77" s="213"/>
      <c r="L77" s="213"/>
      <c r="M77" s="213"/>
      <c r="N77" s="214"/>
      <c r="O77" s="214"/>
      <c r="P77" s="91"/>
      <c r="Q77" s="91"/>
    </row>
    <row r="78" spans="1:17" s="101" customFormat="1" x14ac:dyDescent="0.35">
      <c r="A78" s="90"/>
      <c r="B78" s="91"/>
      <c r="C78" s="91"/>
      <c r="D78" s="91"/>
      <c r="E78" s="91"/>
      <c r="F78" s="91"/>
      <c r="G78" s="91"/>
      <c r="H78" s="91"/>
      <c r="I78" s="91"/>
      <c r="J78" s="91"/>
      <c r="K78" s="213"/>
      <c r="L78" s="213"/>
      <c r="M78" s="213"/>
      <c r="N78" s="214"/>
      <c r="O78" s="214"/>
      <c r="P78" s="91"/>
      <c r="Q78" s="91"/>
    </row>
    <row r="79" spans="1:17" s="101" customFormat="1" x14ac:dyDescent="0.35">
      <c r="A79" s="90"/>
      <c r="B79" s="91"/>
      <c r="C79" s="91"/>
      <c r="D79" s="91"/>
      <c r="E79" s="91"/>
      <c r="F79" s="91"/>
      <c r="G79" s="91"/>
      <c r="H79" s="91"/>
      <c r="I79" s="91"/>
      <c r="J79" s="91"/>
      <c r="K79" s="213"/>
      <c r="L79" s="213"/>
      <c r="M79" s="213"/>
      <c r="N79" s="214"/>
      <c r="O79" s="214"/>
      <c r="P79" s="91"/>
      <c r="Q79" s="91"/>
    </row>
    <row r="80" spans="1:17" s="101" customFormat="1" x14ac:dyDescent="0.35">
      <c r="A80" s="90"/>
      <c r="B80" s="91"/>
      <c r="C80" s="91"/>
      <c r="D80" s="91"/>
      <c r="E80" s="91"/>
      <c r="F80" s="91"/>
      <c r="G80" s="91"/>
      <c r="H80" s="91"/>
      <c r="I80" s="91"/>
      <c r="J80" s="91"/>
      <c r="K80" s="213"/>
      <c r="L80" s="213"/>
      <c r="M80" s="213"/>
      <c r="N80" s="214"/>
      <c r="O80" s="214"/>
      <c r="P80" s="91"/>
      <c r="Q80" s="91"/>
    </row>
    <row r="81" spans="1:17" s="101" customFormat="1" x14ac:dyDescent="0.35">
      <c r="A81" s="90"/>
      <c r="B81" s="91"/>
      <c r="C81" s="91"/>
      <c r="D81" s="91"/>
      <c r="E81" s="91"/>
      <c r="F81" s="91"/>
      <c r="G81" s="91"/>
      <c r="H81" s="91"/>
      <c r="I81" s="91"/>
      <c r="J81" s="91"/>
      <c r="K81" s="213"/>
      <c r="L81" s="213"/>
      <c r="M81" s="213"/>
      <c r="N81" s="214"/>
      <c r="O81" s="214"/>
      <c r="P81" s="91"/>
      <c r="Q81" s="91"/>
    </row>
    <row r="82" spans="1:17" s="101" customFormat="1" x14ac:dyDescent="0.35">
      <c r="A82" s="90"/>
      <c r="B82" s="91"/>
      <c r="C82" s="91"/>
      <c r="D82" s="91"/>
      <c r="E82" s="91"/>
      <c r="F82" s="91"/>
      <c r="G82" s="91"/>
      <c r="H82" s="91"/>
      <c r="I82" s="91"/>
      <c r="J82" s="91"/>
      <c r="K82" s="213"/>
      <c r="L82" s="213"/>
      <c r="M82" s="213"/>
      <c r="N82" s="214"/>
      <c r="O82" s="214"/>
      <c r="P82" s="91"/>
      <c r="Q82" s="91"/>
    </row>
    <row r="83" spans="1:17" s="101" customFormat="1" x14ac:dyDescent="0.35">
      <c r="A83" s="90"/>
      <c r="B83" s="91"/>
      <c r="C83" s="91"/>
      <c r="D83" s="91"/>
      <c r="E83" s="91"/>
      <c r="F83" s="91"/>
      <c r="G83" s="91"/>
      <c r="H83" s="91"/>
      <c r="I83" s="91"/>
      <c r="J83" s="91"/>
      <c r="K83" s="213"/>
      <c r="L83" s="213"/>
      <c r="M83" s="213"/>
      <c r="N83" s="214"/>
      <c r="O83" s="214"/>
      <c r="P83" s="91"/>
      <c r="Q83" s="91"/>
    </row>
    <row r="84" spans="1:17" s="101" customFormat="1" x14ac:dyDescent="0.35">
      <c r="A84" s="90"/>
      <c r="B84" s="91"/>
      <c r="C84" s="91"/>
      <c r="D84" s="91"/>
      <c r="E84" s="91"/>
      <c r="F84" s="91"/>
      <c r="G84" s="91"/>
      <c r="H84" s="91"/>
      <c r="I84" s="91"/>
      <c r="J84" s="91"/>
      <c r="K84" s="213"/>
      <c r="L84" s="213"/>
      <c r="M84" s="213"/>
      <c r="N84" s="214"/>
      <c r="O84" s="214"/>
      <c r="P84" s="91"/>
      <c r="Q84" s="91"/>
    </row>
    <row r="85" spans="1:17" s="101" customFormat="1" x14ac:dyDescent="0.35">
      <c r="A85" s="90"/>
      <c r="B85" s="91"/>
      <c r="C85" s="91"/>
      <c r="D85" s="91"/>
      <c r="E85" s="91"/>
      <c r="F85" s="91"/>
      <c r="G85" s="91"/>
      <c r="H85" s="91"/>
      <c r="I85" s="91"/>
      <c r="J85" s="91"/>
      <c r="K85" s="213"/>
      <c r="L85" s="213"/>
      <c r="M85" s="213"/>
      <c r="N85" s="214"/>
      <c r="O85" s="214"/>
      <c r="P85" s="91"/>
      <c r="Q85" s="91"/>
    </row>
    <row r="86" spans="1:17" s="101" customFormat="1" x14ac:dyDescent="0.35">
      <c r="A86" s="90"/>
      <c r="B86" s="91"/>
      <c r="C86" s="91"/>
      <c r="D86" s="91"/>
      <c r="E86" s="91"/>
      <c r="F86" s="91"/>
      <c r="G86" s="91"/>
      <c r="H86" s="91"/>
      <c r="I86" s="91"/>
      <c r="J86" s="91"/>
      <c r="K86" s="213"/>
      <c r="L86" s="213"/>
      <c r="M86" s="213"/>
      <c r="N86" s="214"/>
      <c r="O86" s="214"/>
      <c r="P86" s="91"/>
      <c r="Q86" s="91"/>
    </row>
    <row r="87" spans="1:17" s="101" customFormat="1" x14ac:dyDescent="0.35">
      <c r="A87" s="90"/>
      <c r="B87" s="91"/>
      <c r="C87" s="91"/>
      <c r="D87" s="91"/>
      <c r="E87" s="91"/>
      <c r="F87" s="91"/>
      <c r="G87" s="91"/>
      <c r="H87" s="91"/>
      <c r="I87" s="91"/>
      <c r="J87" s="91"/>
      <c r="K87" s="213"/>
      <c r="L87" s="213"/>
      <c r="M87" s="213"/>
      <c r="N87" s="214"/>
      <c r="O87" s="214"/>
      <c r="P87" s="91"/>
      <c r="Q87" s="91"/>
    </row>
    <row r="88" spans="1:17" s="101" customFormat="1" x14ac:dyDescent="0.35">
      <c r="A88" s="90"/>
      <c r="B88" s="91"/>
      <c r="C88" s="91"/>
      <c r="D88" s="91"/>
      <c r="E88" s="91"/>
      <c r="F88" s="91"/>
      <c r="G88" s="91"/>
      <c r="H88" s="91"/>
      <c r="I88" s="91"/>
      <c r="J88" s="91"/>
      <c r="K88" s="213"/>
      <c r="L88" s="213"/>
      <c r="M88" s="213"/>
      <c r="N88" s="214"/>
      <c r="O88" s="214"/>
      <c r="P88" s="91"/>
      <c r="Q88" s="91"/>
    </row>
    <row r="89" spans="1:17" s="101" customFormat="1" x14ac:dyDescent="0.35">
      <c r="A89" s="90"/>
      <c r="B89" s="91"/>
      <c r="C89" s="91"/>
      <c r="D89" s="91"/>
      <c r="E89" s="91"/>
      <c r="F89" s="91"/>
      <c r="G89" s="91"/>
      <c r="H89" s="91"/>
      <c r="I89" s="91"/>
      <c r="J89" s="91"/>
      <c r="K89" s="213"/>
      <c r="L89" s="213"/>
      <c r="M89" s="213"/>
      <c r="N89" s="214"/>
      <c r="O89" s="214"/>
      <c r="P89" s="91"/>
      <c r="Q89" s="91"/>
    </row>
    <row r="90" spans="1:17" s="101" customFormat="1" x14ac:dyDescent="0.35">
      <c r="A90" s="90"/>
      <c r="B90" s="91"/>
      <c r="C90" s="91"/>
      <c r="D90" s="91"/>
      <c r="E90" s="91"/>
      <c r="F90" s="91"/>
      <c r="G90" s="91"/>
      <c r="H90" s="91"/>
      <c r="I90" s="91"/>
      <c r="J90" s="91"/>
      <c r="K90" s="213"/>
      <c r="L90" s="213"/>
      <c r="M90" s="213"/>
      <c r="N90" s="214"/>
      <c r="O90" s="214"/>
      <c r="P90" s="91"/>
      <c r="Q90" s="91"/>
    </row>
    <row r="91" spans="1:17" s="101" customFormat="1" x14ac:dyDescent="0.35">
      <c r="A91" s="90"/>
      <c r="B91" s="91"/>
      <c r="C91" s="91"/>
      <c r="D91" s="91"/>
      <c r="E91" s="91"/>
      <c r="F91" s="91"/>
      <c r="G91" s="91"/>
      <c r="H91" s="91"/>
      <c r="I91" s="91"/>
      <c r="J91" s="91"/>
      <c r="K91" s="213"/>
      <c r="L91" s="213"/>
      <c r="M91" s="213"/>
      <c r="N91" s="214"/>
      <c r="O91" s="214"/>
      <c r="P91" s="91"/>
      <c r="Q91" s="91"/>
    </row>
    <row r="92" spans="1:17" s="101" customFormat="1" x14ac:dyDescent="0.35">
      <c r="A92" s="215"/>
      <c r="B92" s="216"/>
      <c r="C92" s="216"/>
      <c r="D92" s="216"/>
      <c r="E92" s="216"/>
      <c r="F92" s="216"/>
      <c r="G92" s="216"/>
      <c r="H92" s="216"/>
      <c r="I92" s="216"/>
      <c r="J92" s="216"/>
      <c r="K92" s="217"/>
      <c r="L92" s="217"/>
      <c r="M92" s="217"/>
      <c r="N92" s="216"/>
      <c r="O92" s="216"/>
      <c r="P92" s="91"/>
      <c r="Q92" s="91"/>
    </row>
    <row r="93" spans="1:17" s="101" customFormat="1" x14ac:dyDescent="0.35">
      <c r="A93" s="90"/>
      <c r="B93" s="91"/>
      <c r="C93" s="91"/>
      <c r="D93" s="91"/>
      <c r="E93" s="91"/>
      <c r="F93" s="91"/>
      <c r="G93" s="91"/>
      <c r="H93" s="91"/>
      <c r="I93" s="91"/>
      <c r="J93" s="91"/>
      <c r="K93" s="213"/>
      <c r="L93" s="213"/>
      <c r="M93" s="213"/>
      <c r="N93" s="214"/>
      <c r="O93" s="214"/>
      <c r="P93" s="91"/>
      <c r="Q93" s="91"/>
    </row>
    <row r="94" spans="1:17" s="101" customFormat="1" x14ac:dyDescent="0.35">
      <c r="A94" s="90"/>
      <c r="B94" s="91"/>
      <c r="C94" s="91"/>
      <c r="D94" s="91"/>
      <c r="E94" s="91"/>
      <c r="F94" s="91"/>
      <c r="G94" s="91"/>
      <c r="H94" s="91"/>
      <c r="I94" s="91"/>
      <c r="J94" s="91"/>
      <c r="K94" s="213"/>
      <c r="L94" s="213"/>
      <c r="M94" s="213"/>
      <c r="N94" s="214"/>
      <c r="O94" s="214"/>
      <c r="P94" s="91"/>
      <c r="Q94" s="91"/>
    </row>
    <row r="95" spans="1:17" s="101" customFormat="1" x14ac:dyDescent="0.35">
      <c r="A95" s="90"/>
      <c r="B95" s="91"/>
      <c r="C95" s="91"/>
      <c r="D95" s="91"/>
      <c r="E95" s="91"/>
      <c r="F95" s="91"/>
      <c r="G95" s="91"/>
      <c r="H95" s="91"/>
      <c r="I95" s="91"/>
      <c r="J95" s="91"/>
      <c r="K95" s="213"/>
      <c r="L95" s="213"/>
      <c r="M95" s="213"/>
      <c r="N95" s="214"/>
      <c r="O95" s="214"/>
      <c r="P95" s="91"/>
      <c r="Q95" s="91"/>
    </row>
    <row r="96" spans="1:17" s="101" customFormat="1" x14ac:dyDescent="0.35">
      <c r="A96" s="90"/>
      <c r="B96" s="91"/>
      <c r="C96" s="91"/>
      <c r="D96" s="91"/>
      <c r="E96" s="91"/>
      <c r="F96" s="91"/>
      <c r="G96" s="91"/>
      <c r="H96" s="91"/>
      <c r="I96" s="91"/>
      <c r="J96" s="91"/>
      <c r="K96" s="213"/>
      <c r="L96" s="213"/>
      <c r="M96" s="213"/>
      <c r="N96" s="214"/>
      <c r="O96" s="214"/>
      <c r="P96" s="91"/>
      <c r="Q96" s="91"/>
    </row>
    <row r="97" spans="1:17" s="101" customFormat="1" x14ac:dyDescent="0.35">
      <c r="A97" s="90"/>
      <c r="B97" s="91"/>
      <c r="C97" s="91"/>
      <c r="D97" s="91"/>
      <c r="E97" s="91"/>
      <c r="F97" s="91"/>
      <c r="G97" s="91"/>
      <c r="H97" s="91"/>
      <c r="I97" s="91"/>
      <c r="J97" s="91"/>
      <c r="K97" s="213"/>
      <c r="L97" s="213"/>
      <c r="M97" s="213"/>
      <c r="N97" s="214"/>
      <c r="O97" s="214"/>
      <c r="P97" s="91"/>
      <c r="Q97" s="91"/>
    </row>
    <row r="98" spans="1:17" s="101" customFormat="1" x14ac:dyDescent="0.35">
      <c r="A98" s="90"/>
      <c r="B98" s="91"/>
      <c r="C98" s="91"/>
      <c r="D98" s="91"/>
      <c r="E98" s="91"/>
      <c r="F98" s="91"/>
      <c r="G98" s="91"/>
      <c r="H98" s="91"/>
      <c r="I98" s="91"/>
      <c r="J98" s="91"/>
      <c r="K98" s="213"/>
      <c r="L98" s="213"/>
      <c r="M98" s="213"/>
      <c r="N98" s="214"/>
      <c r="O98" s="214"/>
      <c r="P98" s="91"/>
      <c r="Q98" s="91"/>
    </row>
    <row r="99" spans="1:17" s="101" customFormat="1" x14ac:dyDescent="0.35">
      <c r="A99" s="90"/>
      <c r="B99" s="91"/>
      <c r="C99" s="91"/>
      <c r="D99" s="91"/>
      <c r="E99" s="91"/>
      <c r="F99" s="91"/>
      <c r="G99" s="91"/>
      <c r="H99" s="91"/>
      <c r="I99" s="91"/>
      <c r="J99" s="91"/>
      <c r="K99" s="213"/>
      <c r="L99" s="213"/>
      <c r="M99" s="213"/>
      <c r="N99" s="214"/>
      <c r="O99" s="214"/>
      <c r="P99" s="91"/>
      <c r="Q99" s="91"/>
    </row>
    <row r="100" spans="1:17" s="101" customFormat="1" x14ac:dyDescent="0.35">
      <c r="A100" s="90"/>
      <c r="B100" s="91"/>
      <c r="C100" s="91"/>
      <c r="D100" s="91"/>
      <c r="E100" s="91"/>
      <c r="F100" s="91"/>
      <c r="G100" s="91"/>
      <c r="H100" s="91"/>
      <c r="I100" s="91"/>
      <c r="J100" s="91"/>
      <c r="K100" s="213"/>
      <c r="L100" s="213"/>
      <c r="M100" s="213"/>
      <c r="N100" s="214"/>
      <c r="O100" s="214"/>
      <c r="P100" s="91"/>
      <c r="Q100" s="91"/>
    </row>
    <row r="101" spans="1:17" s="101" customFormat="1" x14ac:dyDescent="0.35">
      <c r="A101" s="90"/>
      <c r="B101" s="91"/>
      <c r="C101" s="91"/>
      <c r="D101" s="91"/>
      <c r="E101" s="91"/>
      <c r="F101" s="91"/>
      <c r="G101" s="91"/>
      <c r="H101" s="91"/>
      <c r="I101" s="91"/>
      <c r="J101" s="91"/>
      <c r="K101" s="213"/>
      <c r="L101" s="213"/>
      <c r="M101" s="213"/>
      <c r="N101" s="214"/>
      <c r="O101" s="214"/>
      <c r="P101" s="91"/>
      <c r="Q101" s="91"/>
    </row>
    <row r="102" spans="1:17" s="101" customFormat="1" x14ac:dyDescent="0.35">
      <c r="A102" s="90"/>
      <c r="B102" s="91"/>
      <c r="C102" s="91"/>
      <c r="D102" s="91"/>
      <c r="E102" s="91"/>
      <c r="F102" s="91"/>
      <c r="G102" s="91"/>
      <c r="H102" s="91"/>
      <c r="I102" s="91"/>
      <c r="J102" s="91"/>
      <c r="K102" s="213"/>
      <c r="L102" s="213"/>
      <c r="M102" s="213"/>
      <c r="N102" s="214"/>
      <c r="O102" s="214"/>
      <c r="P102" s="91"/>
      <c r="Q102" s="91"/>
    </row>
    <row r="103" spans="1:17" s="101" customFormat="1" x14ac:dyDescent="0.35">
      <c r="A103" s="90"/>
      <c r="B103" s="91"/>
      <c r="C103" s="91"/>
      <c r="D103" s="91"/>
      <c r="E103" s="91"/>
      <c r="F103" s="91"/>
      <c r="G103" s="91"/>
      <c r="H103" s="91"/>
      <c r="I103" s="91"/>
      <c r="J103" s="91"/>
      <c r="K103" s="213"/>
      <c r="L103" s="213"/>
      <c r="M103" s="213"/>
      <c r="N103" s="214"/>
      <c r="O103" s="214"/>
      <c r="P103" s="91"/>
      <c r="Q103" s="91"/>
    </row>
    <row r="104" spans="1:17" s="101" customFormat="1" x14ac:dyDescent="0.35">
      <c r="A104" s="90"/>
      <c r="B104" s="91"/>
      <c r="C104" s="91"/>
      <c r="D104" s="91"/>
      <c r="E104" s="91"/>
      <c r="F104" s="91"/>
      <c r="G104" s="91"/>
      <c r="H104" s="91"/>
      <c r="I104" s="91"/>
      <c r="J104" s="91"/>
      <c r="K104" s="213"/>
      <c r="L104" s="213"/>
      <c r="M104" s="213"/>
      <c r="N104" s="214"/>
      <c r="O104" s="214"/>
      <c r="P104" s="91"/>
      <c r="Q104" s="91"/>
    </row>
    <row r="105" spans="1:17" s="101" customFormat="1" x14ac:dyDescent="0.35">
      <c r="A105" s="90"/>
      <c r="B105" s="91"/>
      <c r="C105" s="91"/>
      <c r="D105" s="91"/>
      <c r="E105" s="91"/>
      <c r="F105" s="91"/>
      <c r="G105" s="91"/>
      <c r="H105" s="91"/>
      <c r="I105" s="91"/>
      <c r="J105" s="91"/>
      <c r="K105" s="213"/>
      <c r="L105" s="213"/>
      <c r="M105" s="213"/>
      <c r="N105" s="214"/>
      <c r="O105" s="214"/>
      <c r="P105" s="91"/>
      <c r="Q105" s="91"/>
    </row>
    <row r="106" spans="1:17" s="101" customFormat="1" x14ac:dyDescent="0.35">
      <c r="A106" s="90"/>
      <c r="B106" s="91"/>
      <c r="C106" s="91"/>
      <c r="D106" s="91"/>
      <c r="E106" s="91"/>
      <c r="F106" s="91"/>
      <c r="G106" s="91"/>
      <c r="H106" s="91"/>
      <c r="I106" s="91"/>
      <c r="J106" s="91"/>
      <c r="K106" s="213"/>
      <c r="L106" s="213"/>
      <c r="M106" s="213"/>
      <c r="N106" s="214"/>
      <c r="O106" s="214"/>
      <c r="P106" s="91"/>
      <c r="Q106" s="91"/>
    </row>
    <row r="107" spans="1:17" s="101" customFormat="1" x14ac:dyDescent="0.35">
      <c r="A107" s="90"/>
      <c r="B107" s="91"/>
      <c r="C107" s="91"/>
      <c r="D107" s="91"/>
      <c r="E107" s="91"/>
      <c r="F107" s="91"/>
      <c r="G107" s="91"/>
      <c r="H107" s="91"/>
      <c r="I107" s="91"/>
      <c r="J107" s="91"/>
      <c r="K107" s="213"/>
      <c r="L107" s="213"/>
      <c r="M107" s="213"/>
      <c r="N107" s="214"/>
      <c r="O107" s="214"/>
      <c r="P107" s="91"/>
      <c r="Q107" s="91"/>
    </row>
    <row r="108" spans="1:17" s="101" customFormat="1" x14ac:dyDescent="0.35">
      <c r="A108" s="90"/>
      <c r="B108" s="91"/>
      <c r="C108" s="91"/>
      <c r="D108" s="91"/>
      <c r="E108" s="91"/>
      <c r="F108" s="91"/>
      <c r="G108" s="91"/>
      <c r="H108" s="91"/>
      <c r="I108" s="91"/>
      <c r="J108" s="91"/>
      <c r="K108" s="213"/>
      <c r="L108" s="213"/>
      <c r="M108" s="213"/>
      <c r="N108" s="214"/>
      <c r="O108" s="214"/>
      <c r="P108" s="91"/>
      <c r="Q108" s="91"/>
    </row>
    <row r="109" spans="1:17" s="101" customFormat="1" x14ac:dyDescent="0.35">
      <c r="A109" s="90"/>
      <c r="B109" s="91"/>
      <c r="C109" s="91"/>
      <c r="D109" s="91"/>
      <c r="E109" s="91"/>
      <c r="F109" s="91"/>
      <c r="G109" s="91"/>
      <c r="H109" s="91"/>
      <c r="I109" s="91"/>
      <c r="J109" s="91"/>
      <c r="K109" s="213"/>
      <c r="L109" s="213"/>
      <c r="M109" s="213"/>
      <c r="N109" s="214"/>
      <c r="O109" s="214"/>
      <c r="P109" s="91"/>
      <c r="Q109" s="91"/>
    </row>
    <row r="110" spans="1:17" s="101" customFormat="1" x14ac:dyDescent="0.35">
      <c r="A110" s="90"/>
      <c r="B110" s="91"/>
      <c r="C110" s="91"/>
      <c r="D110" s="91"/>
      <c r="E110" s="91"/>
      <c r="F110" s="91"/>
      <c r="G110" s="91"/>
      <c r="H110" s="91"/>
      <c r="I110" s="91"/>
      <c r="J110" s="91"/>
      <c r="K110" s="213"/>
      <c r="L110" s="213"/>
      <c r="M110" s="213"/>
      <c r="N110" s="214"/>
      <c r="O110" s="214"/>
      <c r="P110" s="91"/>
      <c r="Q110" s="91"/>
    </row>
    <row r="111" spans="1:17" s="101" customFormat="1" x14ac:dyDescent="0.35">
      <c r="A111" s="90"/>
      <c r="B111" s="91"/>
      <c r="C111" s="91"/>
      <c r="D111" s="91"/>
      <c r="E111" s="91"/>
      <c r="F111" s="91"/>
      <c r="G111" s="91"/>
      <c r="H111" s="91"/>
      <c r="I111" s="91"/>
      <c r="J111" s="91"/>
      <c r="K111" s="213"/>
      <c r="L111" s="213"/>
      <c r="M111" s="213"/>
      <c r="N111" s="214"/>
      <c r="O111" s="214"/>
      <c r="P111" s="91"/>
      <c r="Q111" s="91"/>
    </row>
    <row r="112" spans="1:17" s="101" customFormat="1" x14ac:dyDescent="0.35">
      <c r="A112" s="90"/>
      <c r="B112" s="91"/>
      <c r="C112" s="91"/>
      <c r="D112" s="91"/>
      <c r="E112" s="91"/>
      <c r="F112" s="91"/>
      <c r="G112" s="91"/>
      <c r="H112" s="91"/>
      <c r="I112" s="91"/>
      <c r="J112" s="91"/>
      <c r="K112" s="213"/>
      <c r="L112" s="213"/>
      <c r="M112" s="213"/>
      <c r="N112" s="214"/>
      <c r="O112" s="214"/>
      <c r="P112" s="91"/>
      <c r="Q112" s="91"/>
    </row>
    <row r="113" spans="1:17" s="101" customFormat="1" x14ac:dyDescent="0.35">
      <c r="A113" s="90"/>
      <c r="B113" s="91"/>
      <c r="C113" s="91"/>
      <c r="D113" s="91"/>
      <c r="E113" s="91"/>
      <c r="F113" s="91"/>
      <c r="G113" s="91"/>
      <c r="H113" s="91"/>
      <c r="I113" s="91"/>
      <c r="J113" s="91"/>
      <c r="K113" s="213"/>
      <c r="L113" s="213"/>
      <c r="M113" s="213"/>
      <c r="N113" s="214"/>
      <c r="O113" s="214"/>
      <c r="P113" s="91"/>
      <c r="Q113" s="91"/>
    </row>
    <row r="114" spans="1:17" s="101" customFormat="1" x14ac:dyDescent="0.35">
      <c r="A114" s="90"/>
      <c r="B114" s="91"/>
      <c r="C114" s="91"/>
      <c r="D114" s="91"/>
      <c r="E114" s="91"/>
      <c r="F114" s="91"/>
      <c r="G114" s="91"/>
      <c r="H114" s="91"/>
      <c r="I114" s="91"/>
      <c r="J114" s="91"/>
      <c r="K114" s="213"/>
      <c r="L114" s="213"/>
      <c r="M114" s="213"/>
      <c r="N114" s="214"/>
      <c r="O114" s="214"/>
      <c r="P114" s="91"/>
      <c r="Q114" s="91"/>
    </row>
    <row r="115" spans="1:17" s="101" customFormat="1" x14ac:dyDescent="0.35">
      <c r="A115" s="215"/>
      <c r="B115" s="216"/>
      <c r="C115" s="216"/>
      <c r="D115" s="216"/>
      <c r="E115" s="216"/>
      <c r="F115" s="216"/>
      <c r="G115" s="216"/>
      <c r="H115" s="216"/>
      <c r="I115" s="216"/>
      <c r="J115" s="216"/>
      <c r="K115" s="217"/>
      <c r="L115" s="217"/>
      <c r="M115" s="217"/>
      <c r="N115" s="216"/>
      <c r="O115" s="216"/>
      <c r="P115" s="91"/>
      <c r="Q115" s="91"/>
    </row>
    <row r="116" spans="1:17" s="101" customFormat="1" x14ac:dyDescent="0.35">
      <c r="A116" s="90"/>
      <c r="B116" s="91"/>
      <c r="C116" s="91"/>
      <c r="D116" s="91"/>
      <c r="E116" s="91"/>
      <c r="F116" s="91"/>
      <c r="G116" s="91"/>
      <c r="H116" s="91"/>
      <c r="I116" s="91"/>
      <c r="J116" s="91"/>
      <c r="K116" s="213"/>
      <c r="L116" s="213"/>
      <c r="M116" s="213"/>
      <c r="N116" s="214"/>
      <c r="O116" s="214"/>
      <c r="P116" s="91"/>
      <c r="Q116" s="91"/>
    </row>
    <row r="117" spans="1:17" s="101" customFormat="1" x14ac:dyDescent="0.35">
      <c r="A117" s="90"/>
      <c r="B117" s="91"/>
      <c r="C117" s="91"/>
      <c r="D117" s="91"/>
      <c r="E117" s="91"/>
      <c r="F117" s="91"/>
      <c r="G117" s="91"/>
      <c r="H117" s="91"/>
      <c r="I117" s="91"/>
      <c r="J117" s="91"/>
      <c r="K117" s="213"/>
      <c r="L117" s="213"/>
      <c r="M117" s="213"/>
      <c r="N117" s="214"/>
      <c r="O117" s="214"/>
      <c r="P117" s="91"/>
      <c r="Q117" s="91"/>
    </row>
    <row r="118" spans="1:17" s="101" customFormat="1" x14ac:dyDescent="0.35">
      <c r="A118" s="90"/>
      <c r="B118" s="91"/>
      <c r="C118" s="91"/>
      <c r="D118" s="91"/>
      <c r="E118" s="91"/>
      <c r="F118" s="91"/>
      <c r="G118" s="91"/>
      <c r="H118" s="91"/>
      <c r="I118" s="91"/>
      <c r="J118" s="91"/>
      <c r="K118" s="213"/>
      <c r="L118" s="213"/>
      <c r="M118" s="213"/>
      <c r="N118" s="214"/>
      <c r="O118" s="214"/>
      <c r="P118" s="91"/>
      <c r="Q118" s="91"/>
    </row>
    <row r="119" spans="1:17" s="101" customFormat="1" x14ac:dyDescent="0.35">
      <c r="A119" s="90"/>
      <c r="B119" s="91"/>
      <c r="C119" s="91"/>
      <c r="D119" s="91"/>
      <c r="E119" s="91"/>
      <c r="F119" s="91"/>
      <c r="G119" s="91"/>
      <c r="H119" s="91"/>
      <c r="I119" s="91"/>
      <c r="J119" s="91"/>
      <c r="K119" s="213"/>
      <c r="L119" s="213"/>
      <c r="M119" s="213"/>
      <c r="N119" s="214"/>
      <c r="O119" s="214"/>
      <c r="P119" s="91"/>
      <c r="Q119" s="91"/>
    </row>
    <row r="120" spans="1:17" s="101" customFormat="1" x14ac:dyDescent="0.35">
      <c r="A120" s="90"/>
      <c r="B120" s="91"/>
      <c r="C120" s="91"/>
      <c r="D120" s="91"/>
      <c r="E120" s="91"/>
      <c r="F120" s="91"/>
      <c r="G120" s="91"/>
      <c r="H120" s="91"/>
      <c r="I120" s="91"/>
      <c r="J120" s="91"/>
      <c r="K120" s="213"/>
      <c r="L120" s="213"/>
      <c r="M120" s="213"/>
      <c r="N120" s="214"/>
      <c r="O120" s="214"/>
      <c r="P120" s="91"/>
      <c r="Q120" s="91"/>
    </row>
    <row r="121" spans="1:17" s="101" customFormat="1" x14ac:dyDescent="0.35">
      <c r="A121" s="90"/>
      <c r="B121" s="91"/>
      <c r="C121" s="91"/>
      <c r="D121" s="91"/>
      <c r="E121" s="91"/>
      <c r="F121" s="91"/>
      <c r="G121" s="91"/>
      <c r="H121" s="91"/>
      <c r="I121" s="91"/>
      <c r="J121" s="91"/>
      <c r="K121" s="213"/>
      <c r="L121" s="213"/>
      <c r="M121" s="213"/>
      <c r="N121" s="214"/>
      <c r="O121" s="214"/>
      <c r="P121" s="91"/>
      <c r="Q121" s="91"/>
    </row>
    <row r="122" spans="1:17" s="101" customFormat="1" x14ac:dyDescent="0.35">
      <c r="A122" s="90"/>
      <c r="B122" s="91"/>
      <c r="C122" s="91"/>
      <c r="D122" s="91"/>
      <c r="E122" s="91"/>
      <c r="F122" s="91"/>
      <c r="G122" s="91"/>
      <c r="H122" s="91"/>
      <c r="I122" s="91"/>
      <c r="J122" s="91"/>
      <c r="K122" s="213"/>
      <c r="L122" s="213"/>
      <c r="M122" s="213"/>
      <c r="N122" s="214"/>
      <c r="O122" s="214"/>
      <c r="P122" s="91"/>
      <c r="Q122" s="91"/>
    </row>
    <row r="123" spans="1:17" s="101" customFormat="1" x14ac:dyDescent="0.35">
      <c r="A123" s="90"/>
      <c r="B123" s="91"/>
      <c r="C123" s="91"/>
      <c r="D123" s="91"/>
      <c r="E123" s="91"/>
      <c r="F123" s="91"/>
      <c r="G123" s="91"/>
      <c r="H123" s="91"/>
      <c r="I123" s="91"/>
      <c r="J123" s="91"/>
      <c r="K123" s="213"/>
      <c r="L123" s="213"/>
      <c r="M123" s="213"/>
      <c r="N123" s="214"/>
      <c r="O123" s="214"/>
      <c r="P123" s="91"/>
      <c r="Q123" s="91"/>
    </row>
    <row r="124" spans="1:17" s="101" customFormat="1" x14ac:dyDescent="0.35">
      <c r="A124" s="90"/>
      <c r="B124" s="91"/>
      <c r="C124" s="91"/>
      <c r="D124" s="91"/>
      <c r="E124" s="91"/>
      <c r="F124" s="91"/>
      <c r="G124" s="91"/>
      <c r="H124" s="91"/>
      <c r="I124" s="91"/>
      <c r="J124" s="91"/>
      <c r="K124" s="213"/>
      <c r="L124" s="213"/>
      <c r="M124" s="213"/>
      <c r="N124" s="214"/>
      <c r="O124" s="214"/>
      <c r="P124" s="91"/>
      <c r="Q124" s="91"/>
    </row>
    <row r="125" spans="1:17" s="101" customFormat="1" x14ac:dyDescent="0.35">
      <c r="A125" s="90"/>
      <c r="B125" s="91"/>
      <c r="C125" s="91"/>
      <c r="D125" s="91"/>
      <c r="E125" s="91"/>
      <c r="F125" s="91"/>
      <c r="G125" s="91"/>
      <c r="H125" s="91"/>
      <c r="I125" s="91"/>
      <c r="J125" s="91"/>
      <c r="K125" s="213"/>
      <c r="L125" s="213"/>
      <c r="M125" s="213"/>
      <c r="N125" s="214"/>
      <c r="O125" s="214"/>
      <c r="P125" s="91"/>
      <c r="Q125" s="91"/>
    </row>
    <row r="126" spans="1:17" s="101" customFormat="1" x14ac:dyDescent="0.35">
      <c r="A126" s="90"/>
      <c r="B126" s="91"/>
      <c r="C126" s="91"/>
      <c r="D126" s="91"/>
      <c r="E126" s="91"/>
      <c r="F126" s="91"/>
      <c r="G126" s="91"/>
      <c r="H126" s="91"/>
      <c r="I126" s="91"/>
      <c r="J126" s="91"/>
      <c r="K126" s="213"/>
      <c r="L126" s="213"/>
      <c r="M126" s="213"/>
      <c r="N126" s="214"/>
      <c r="O126" s="214"/>
      <c r="P126" s="91"/>
      <c r="Q126" s="91"/>
    </row>
    <row r="127" spans="1:17" s="101" customFormat="1" x14ac:dyDescent="0.35">
      <c r="A127" s="90"/>
      <c r="B127" s="91"/>
      <c r="C127" s="91"/>
      <c r="D127" s="91"/>
      <c r="E127" s="91"/>
      <c r="F127" s="91"/>
      <c r="G127" s="91"/>
      <c r="H127" s="91"/>
      <c r="I127" s="91"/>
      <c r="J127" s="91"/>
      <c r="K127" s="213"/>
      <c r="L127" s="213"/>
      <c r="M127" s="213"/>
      <c r="N127" s="214"/>
      <c r="O127" s="214"/>
      <c r="P127" s="91"/>
      <c r="Q127" s="91"/>
    </row>
    <row r="128" spans="1:17" s="101" customFormat="1" x14ac:dyDescent="0.35">
      <c r="A128" s="90"/>
      <c r="B128" s="91"/>
      <c r="C128" s="91"/>
      <c r="D128" s="91"/>
      <c r="E128" s="91"/>
      <c r="F128" s="91"/>
      <c r="G128" s="91"/>
      <c r="H128" s="91"/>
      <c r="I128" s="91"/>
      <c r="J128" s="91"/>
      <c r="K128" s="213"/>
      <c r="L128" s="213"/>
      <c r="M128" s="213"/>
      <c r="N128" s="214"/>
      <c r="O128" s="214"/>
      <c r="P128" s="91"/>
      <c r="Q128" s="91"/>
    </row>
    <row r="129" spans="1:17" s="101" customFormat="1" x14ac:dyDescent="0.35">
      <c r="A129" s="90"/>
      <c r="B129" s="91"/>
      <c r="C129" s="91"/>
      <c r="D129" s="91"/>
      <c r="E129" s="91"/>
      <c r="F129" s="91"/>
      <c r="G129" s="91"/>
      <c r="H129" s="91"/>
      <c r="I129" s="91"/>
      <c r="J129" s="91"/>
      <c r="K129" s="213"/>
      <c r="L129" s="213"/>
      <c r="M129" s="213"/>
      <c r="N129" s="214"/>
      <c r="O129" s="214"/>
      <c r="P129" s="91"/>
      <c r="Q129" s="91"/>
    </row>
    <row r="130" spans="1:17" s="101" customFormat="1" x14ac:dyDescent="0.35">
      <c r="A130" s="90"/>
      <c r="B130" s="91"/>
      <c r="C130" s="91"/>
      <c r="D130" s="91"/>
      <c r="E130" s="91"/>
      <c r="F130" s="91"/>
      <c r="G130" s="91"/>
      <c r="H130" s="91"/>
      <c r="I130" s="91"/>
      <c r="J130" s="91"/>
      <c r="K130" s="213"/>
      <c r="L130" s="213"/>
      <c r="M130" s="213"/>
      <c r="N130" s="214"/>
      <c r="O130" s="214"/>
      <c r="P130" s="91"/>
      <c r="Q130" s="91"/>
    </row>
    <row r="131" spans="1:17" s="101" customFormat="1" x14ac:dyDescent="0.35">
      <c r="A131" s="90"/>
      <c r="B131" s="91"/>
      <c r="C131" s="91"/>
      <c r="D131" s="91"/>
      <c r="E131" s="91"/>
      <c r="F131" s="91"/>
      <c r="G131" s="91"/>
      <c r="H131" s="91"/>
      <c r="I131" s="91"/>
      <c r="J131" s="91"/>
      <c r="K131" s="213"/>
      <c r="L131" s="213"/>
      <c r="M131" s="213"/>
      <c r="N131" s="214"/>
      <c r="O131" s="214"/>
      <c r="P131" s="91"/>
      <c r="Q131" s="91"/>
    </row>
    <row r="132" spans="1:17" s="101" customFormat="1" x14ac:dyDescent="0.35">
      <c r="A132" s="90"/>
      <c r="B132" s="91"/>
      <c r="C132" s="91"/>
      <c r="D132" s="91"/>
      <c r="E132" s="91"/>
      <c r="F132" s="91"/>
      <c r="G132" s="91"/>
      <c r="H132" s="91"/>
      <c r="I132" s="91"/>
      <c r="J132" s="91"/>
      <c r="K132" s="213"/>
      <c r="L132" s="213"/>
      <c r="M132" s="213"/>
      <c r="N132" s="214"/>
      <c r="O132" s="214"/>
      <c r="P132" s="91"/>
      <c r="Q132" s="91"/>
    </row>
    <row r="133" spans="1:17" s="101" customFormat="1" x14ac:dyDescent="0.35">
      <c r="A133" s="90"/>
      <c r="B133" s="91"/>
      <c r="C133" s="91"/>
      <c r="D133" s="91"/>
      <c r="E133" s="91"/>
      <c r="F133" s="91"/>
      <c r="G133" s="91"/>
      <c r="H133" s="91"/>
      <c r="I133" s="91"/>
      <c r="J133" s="91"/>
      <c r="K133" s="213"/>
      <c r="L133" s="213"/>
      <c r="M133" s="213"/>
      <c r="N133" s="214"/>
      <c r="O133" s="214"/>
      <c r="P133" s="91"/>
      <c r="Q133" s="91"/>
    </row>
    <row r="134" spans="1:17" s="101" customFormat="1" x14ac:dyDescent="0.35">
      <c r="A134" s="90"/>
      <c r="B134" s="91"/>
      <c r="C134" s="91"/>
      <c r="D134" s="91"/>
      <c r="E134" s="91"/>
      <c r="F134" s="91"/>
      <c r="G134" s="91"/>
      <c r="H134" s="91"/>
      <c r="I134" s="91"/>
      <c r="J134" s="91"/>
      <c r="K134" s="213"/>
      <c r="L134" s="213"/>
      <c r="M134" s="213"/>
      <c r="N134" s="214"/>
      <c r="O134" s="214"/>
      <c r="P134" s="91"/>
      <c r="Q134" s="91"/>
    </row>
    <row r="135" spans="1:17" s="101" customFormat="1" x14ac:dyDescent="0.35">
      <c r="A135" s="90"/>
      <c r="B135" s="91"/>
      <c r="C135" s="91"/>
      <c r="D135" s="91"/>
      <c r="E135" s="91"/>
      <c r="F135" s="91"/>
      <c r="G135" s="91"/>
      <c r="H135" s="91"/>
      <c r="I135" s="91"/>
      <c r="J135" s="91"/>
      <c r="K135" s="213"/>
      <c r="L135" s="213"/>
      <c r="M135" s="213"/>
      <c r="N135" s="214"/>
      <c r="O135" s="214"/>
      <c r="P135" s="91"/>
      <c r="Q135" s="91"/>
    </row>
    <row r="136" spans="1:17" s="101" customFormat="1" x14ac:dyDescent="0.35">
      <c r="A136" s="90"/>
      <c r="B136" s="91"/>
      <c r="C136" s="91"/>
      <c r="D136" s="91"/>
      <c r="E136" s="91"/>
      <c r="F136" s="91"/>
      <c r="G136" s="91"/>
      <c r="H136" s="91"/>
      <c r="I136" s="91"/>
      <c r="J136" s="91"/>
      <c r="K136" s="213"/>
      <c r="L136" s="213"/>
      <c r="M136" s="213"/>
      <c r="N136" s="214"/>
      <c r="O136" s="214"/>
      <c r="P136" s="91"/>
      <c r="Q136" s="91"/>
    </row>
    <row r="137" spans="1:17" s="101" customFormat="1" x14ac:dyDescent="0.35">
      <c r="A137" s="90"/>
      <c r="B137" s="91"/>
      <c r="C137" s="91"/>
      <c r="D137" s="91"/>
      <c r="E137" s="91"/>
      <c r="F137" s="91"/>
      <c r="G137" s="91"/>
      <c r="H137" s="91"/>
      <c r="I137" s="91"/>
      <c r="J137" s="91"/>
      <c r="K137" s="213"/>
      <c r="L137" s="213"/>
      <c r="M137" s="213"/>
      <c r="N137" s="214"/>
      <c r="O137" s="214"/>
      <c r="P137" s="91"/>
      <c r="Q137" s="91"/>
    </row>
    <row r="138" spans="1:17" s="101" customFormat="1" x14ac:dyDescent="0.35">
      <c r="A138" s="90"/>
      <c r="B138" s="91"/>
      <c r="C138" s="91"/>
      <c r="D138" s="91"/>
      <c r="E138" s="91"/>
      <c r="F138" s="91"/>
      <c r="G138" s="91"/>
      <c r="H138" s="91"/>
      <c r="I138" s="91"/>
      <c r="J138" s="91"/>
      <c r="K138" s="213"/>
      <c r="L138" s="213"/>
      <c r="M138" s="213"/>
      <c r="N138" s="214"/>
      <c r="O138" s="214"/>
      <c r="P138" s="91"/>
      <c r="Q138" s="91"/>
    </row>
    <row r="139" spans="1:17" s="101" customFormat="1" x14ac:dyDescent="0.35">
      <c r="A139" s="90"/>
      <c r="B139" s="91"/>
      <c r="C139" s="91"/>
      <c r="D139" s="91"/>
      <c r="E139" s="91"/>
      <c r="F139" s="91"/>
      <c r="G139" s="91"/>
      <c r="H139" s="91"/>
      <c r="I139" s="91"/>
      <c r="J139" s="91"/>
      <c r="K139" s="213"/>
      <c r="L139" s="213"/>
      <c r="M139" s="213"/>
      <c r="N139" s="214"/>
      <c r="O139" s="214"/>
      <c r="P139" s="91"/>
      <c r="Q139" s="91"/>
    </row>
    <row r="140" spans="1:17" s="101" customFormat="1" x14ac:dyDescent="0.35">
      <c r="A140" s="90"/>
      <c r="B140" s="91"/>
      <c r="C140" s="91"/>
      <c r="D140" s="91"/>
      <c r="E140" s="91"/>
      <c r="F140" s="91"/>
      <c r="G140" s="91"/>
      <c r="H140" s="91"/>
      <c r="I140" s="91"/>
      <c r="J140" s="91"/>
      <c r="K140" s="213"/>
      <c r="L140" s="213"/>
      <c r="M140" s="213"/>
      <c r="N140" s="214"/>
      <c r="O140" s="214"/>
      <c r="P140" s="91"/>
      <c r="Q140" s="91"/>
    </row>
    <row r="141" spans="1:17" s="101" customFormat="1" x14ac:dyDescent="0.35">
      <c r="A141" s="90"/>
      <c r="B141" s="91"/>
      <c r="C141" s="91"/>
      <c r="D141" s="91"/>
      <c r="E141" s="91"/>
      <c r="F141" s="91"/>
      <c r="G141" s="91"/>
      <c r="H141" s="91"/>
      <c r="I141" s="91"/>
      <c r="J141" s="91"/>
      <c r="K141" s="213"/>
      <c r="L141" s="213"/>
      <c r="M141" s="213"/>
      <c r="N141" s="214"/>
      <c r="O141" s="214"/>
      <c r="P141" s="91"/>
      <c r="Q141" s="91"/>
    </row>
    <row r="142" spans="1:17" s="101" customFormat="1" x14ac:dyDescent="0.35">
      <c r="A142" s="90"/>
      <c r="B142" s="91"/>
      <c r="C142" s="91"/>
      <c r="D142" s="91"/>
      <c r="E142" s="91"/>
      <c r="F142" s="91"/>
      <c r="G142" s="91"/>
      <c r="H142" s="91"/>
      <c r="I142" s="91"/>
      <c r="J142" s="91"/>
      <c r="K142" s="213"/>
      <c r="L142" s="213"/>
      <c r="M142" s="213"/>
      <c r="N142" s="214"/>
      <c r="O142" s="214"/>
      <c r="P142" s="91"/>
      <c r="Q142" s="91"/>
    </row>
    <row r="143" spans="1:17" s="101" customFormat="1" x14ac:dyDescent="0.35">
      <c r="A143" s="90"/>
      <c r="B143" s="91"/>
      <c r="C143" s="91"/>
      <c r="D143" s="91"/>
      <c r="E143" s="91"/>
      <c r="F143" s="91"/>
      <c r="G143" s="91"/>
      <c r="H143" s="91"/>
      <c r="I143" s="91"/>
      <c r="J143" s="91"/>
      <c r="K143" s="213"/>
      <c r="L143" s="213"/>
      <c r="M143" s="213"/>
      <c r="N143" s="214"/>
      <c r="O143" s="214"/>
      <c r="P143" s="91"/>
      <c r="Q143" s="91"/>
    </row>
    <row r="144" spans="1:17" s="101" customFormat="1" x14ac:dyDescent="0.35">
      <c r="A144" s="90"/>
      <c r="B144" s="91"/>
      <c r="C144" s="91"/>
      <c r="D144" s="91"/>
      <c r="E144" s="91"/>
      <c r="F144" s="91"/>
      <c r="G144" s="91"/>
      <c r="H144" s="91"/>
      <c r="I144" s="91"/>
      <c r="J144" s="91"/>
      <c r="K144" s="213"/>
      <c r="L144" s="213"/>
      <c r="M144" s="213"/>
      <c r="N144" s="214"/>
      <c r="O144" s="214"/>
      <c r="P144" s="91"/>
      <c r="Q144" s="91"/>
    </row>
    <row r="145" spans="1:17" s="101" customFormat="1" x14ac:dyDescent="0.35">
      <c r="A145" s="90"/>
      <c r="B145" s="91"/>
      <c r="C145" s="91"/>
      <c r="D145" s="91"/>
      <c r="E145" s="91"/>
      <c r="F145" s="91"/>
      <c r="G145" s="91"/>
      <c r="H145" s="91"/>
      <c r="I145" s="91"/>
      <c r="J145" s="91"/>
      <c r="K145" s="213"/>
      <c r="L145" s="213"/>
      <c r="M145" s="213"/>
      <c r="N145" s="214"/>
      <c r="O145" s="214"/>
      <c r="P145" s="91"/>
      <c r="Q145" s="91"/>
    </row>
    <row r="146" spans="1:17" s="101" customFormat="1" x14ac:dyDescent="0.35">
      <c r="A146" s="90"/>
      <c r="B146" s="91"/>
      <c r="C146" s="91"/>
      <c r="D146" s="91"/>
      <c r="E146" s="91"/>
      <c r="F146" s="91"/>
      <c r="G146" s="91"/>
      <c r="H146" s="91"/>
      <c r="I146" s="91"/>
      <c r="J146" s="91"/>
      <c r="K146" s="213"/>
      <c r="L146" s="213"/>
      <c r="M146" s="213"/>
      <c r="N146" s="214"/>
      <c r="O146" s="214"/>
      <c r="P146" s="91"/>
      <c r="Q146" s="91"/>
    </row>
    <row r="147" spans="1:17" s="101" customFormat="1" x14ac:dyDescent="0.35">
      <c r="A147" s="90"/>
      <c r="B147" s="91"/>
      <c r="C147" s="91"/>
      <c r="D147" s="91"/>
      <c r="E147" s="91"/>
      <c r="F147" s="91"/>
      <c r="G147" s="91"/>
      <c r="H147" s="91"/>
      <c r="I147" s="91"/>
      <c r="J147" s="91"/>
      <c r="K147" s="213"/>
      <c r="L147" s="213"/>
      <c r="M147" s="213"/>
      <c r="N147" s="214"/>
      <c r="O147" s="214"/>
      <c r="P147" s="91"/>
      <c r="Q147" s="91"/>
    </row>
    <row r="148" spans="1:17" s="101" customFormat="1" x14ac:dyDescent="0.35">
      <c r="A148" s="90"/>
      <c r="B148" s="91"/>
      <c r="C148" s="91"/>
      <c r="D148" s="91"/>
      <c r="E148" s="91"/>
      <c r="F148" s="91"/>
      <c r="G148" s="91"/>
      <c r="H148" s="91"/>
      <c r="I148" s="91"/>
      <c r="J148" s="91"/>
      <c r="K148" s="213"/>
      <c r="L148" s="213"/>
      <c r="M148" s="213"/>
      <c r="N148" s="214"/>
      <c r="O148" s="214"/>
      <c r="P148" s="91"/>
      <c r="Q148" s="91"/>
    </row>
    <row r="149" spans="1:17" s="101" customFormat="1" x14ac:dyDescent="0.35">
      <c r="A149" s="90"/>
      <c r="B149" s="91"/>
      <c r="C149" s="91"/>
      <c r="D149" s="91"/>
      <c r="E149" s="91"/>
      <c r="F149" s="91"/>
      <c r="G149" s="91"/>
      <c r="H149" s="91"/>
      <c r="I149" s="91"/>
      <c r="J149" s="91"/>
      <c r="K149" s="213"/>
      <c r="L149" s="213"/>
      <c r="M149" s="213"/>
      <c r="N149" s="214"/>
      <c r="O149" s="214"/>
      <c r="P149" s="91"/>
      <c r="Q149" s="91"/>
    </row>
    <row r="150" spans="1:17" s="101" customFormat="1" x14ac:dyDescent="0.35">
      <c r="A150" s="90"/>
      <c r="B150" s="91"/>
      <c r="C150" s="91"/>
      <c r="D150" s="91"/>
      <c r="E150" s="91"/>
      <c r="F150" s="91"/>
      <c r="G150" s="91"/>
      <c r="H150" s="91"/>
      <c r="I150" s="91"/>
      <c r="J150" s="91"/>
      <c r="K150" s="213"/>
      <c r="L150" s="213"/>
      <c r="M150" s="213"/>
      <c r="N150" s="214"/>
      <c r="O150" s="214"/>
      <c r="P150" s="91"/>
      <c r="Q150" s="91"/>
    </row>
    <row r="151" spans="1:17" s="101" customFormat="1" x14ac:dyDescent="0.35">
      <c r="A151" s="218"/>
      <c r="B151" s="219"/>
      <c r="C151" s="219"/>
      <c r="D151" s="219"/>
      <c r="E151" s="219"/>
      <c r="F151" s="219"/>
      <c r="G151" s="219"/>
      <c r="H151" s="219"/>
      <c r="I151" s="219"/>
      <c r="J151" s="219"/>
      <c r="K151" s="217"/>
      <c r="L151" s="217"/>
      <c r="M151" s="217"/>
      <c r="N151" s="216"/>
      <c r="O151" s="216"/>
      <c r="P151" s="91"/>
      <c r="Q151" s="91"/>
    </row>
    <row r="152" spans="1:17" s="101" customFormat="1" x14ac:dyDescent="0.35">
      <c r="A152" s="212"/>
      <c r="B152" s="91"/>
      <c r="C152" s="91"/>
      <c r="D152" s="91"/>
      <c r="E152" s="91"/>
      <c r="F152" s="91"/>
      <c r="G152" s="91"/>
      <c r="H152" s="91"/>
      <c r="I152" s="91"/>
      <c r="J152" s="91"/>
      <c r="K152" s="213"/>
      <c r="L152" s="213"/>
      <c r="M152" s="213"/>
      <c r="N152" s="214"/>
      <c r="O152" s="214"/>
      <c r="P152" s="91"/>
      <c r="Q152" s="91"/>
    </row>
    <row r="153" spans="1:17" s="101" customFormat="1" x14ac:dyDescent="0.35">
      <c r="A153" s="90"/>
      <c r="B153" s="91"/>
      <c r="C153" s="91"/>
      <c r="D153" s="91"/>
      <c r="E153" s="91"/>
      <c r="F153" s="91"/>
      <c r="G153" s="91"/>
      <c r="H153" s="91"/>
      <c r="I153" s="91"/>
      <c r="J153" s="91"/>
      <c r="K153" s="213"/>
      <c r="L153" s="213"/>
      <c r="M153" s="213"/>
      <c r="N153" s="214"/>
      <c r="O153" s="214"/>
      <c r="P153" s="91"/>
      <c r="Q153" s="91"/>
    </row>
    <row r="154" spans="1:17" s="101" customFormat="1" x14ac:dyDescent="0.35">
      <c r="A154" s="90"/>
      <c r="B154" s="91"/>
      <c r="C154" s="91"/>
      <c r="D154" s="91"/>
      <c r="E154" s="91"/>
      <c r="F154" s="91"/>
      <c r="G154" s="91"/>
      <c r="H154" s="91"/>
      <c r="I154" s="91"/>
      <c r="J154" s="91"/>
      <c r="K154" s="213"/>
      <c r="L154" s="213"/>
      <c r="M154" s="213"/>
      <c r="N154" s="214"/>
      <c r="O154" s="214"/>
      <c r="P154" s="91"/>
      <c r="Q154" s="91"/>
    </row>
    <row r="155" spans="1:17" s="101" customFormat="1" x14ac:dyDescent="0.35">
      <c r="A155" s="90"/>
      <c r="B155" s="91"/>
      <c r="C155" s="91"/>
      <c r="D155" s="91"/>
      <c r="E155" s="91"/>
      <c r="F155" s="91"/>
      <c r="G155" s="91"/>
      <c r="H155" s="91"/>
      <c r="I155" s="91"/>
      <c r="J155" s="91"/>
      <c r="K155" s="213"/>
      <c r="L155" s="213"/>
      <c r="M155" s="213"/>
      <c r="N155" s="214"/>
      <c r="O155" s="214"/>
      <c r="P155" s="91"/>
      <c r="Q155" s="91"/>
    </row>
    <row r="156" spans="1:17" s="101" customFormat="1" x14ac:dyDescent="0.35">
      <c r="A156" s="90"/>
      <c r="B156" s="91"/>
      <c r="C156" s="91"/>
      <c r="D156" s="91"/>
      <c r="E156" s="91"/>
      <c r="F156" s="91"/>
      <c r="G156" s="91"/>
      <c r="H156" s="91"/>
      <c r="I156" s="91"/>
      <c r="J156" s="91"/>
      <c r="K156" s="213"/>
      <c r="L156" s="213"/>
      <c r="M156" s="213"/>
      <c r="N156" s="214"/>
      <c r="O156" s="214"/>
      <c r="P156" s="91"/>
      <c r="Q156" s="91"/>
    </row>
    <row r="157" spans="1:17" s="101" customFormat="1" x14ac:dyDescent="0.35">
      <c r="A157" s="90"/>
      <c r="B157" s="91"/>
      <c r="C157" s="91"/>
      <c r="D157" s="91"/>
      <c r="E157" s="91"/>
      <c r="F157" s="91"/>
      <c r="G157" s="91"/>
      <c r="H157" s="91"/>
      <c r="I157" s="91"/>
      <c r="J157" s="91"/>
      <c r="K157" s="213"/>
      <c r="L157" s="213"/>
      <c r="M157" s="213"/>
      <c r="N157" s="214"/>
      <c r="O157" s="214"/>
      <c r="P157" s="91"/>
      <c r="Q157" s="91"/>
    </row>
    <row r="158" spans="1:17" s="101" customFormat="1" x14ac:dyDescent="0.35">
      <c r="A158" s="90"/>
      <c r="B158" s="91"/>
      <c r="C158" s="91"/>
      <c r="D158" s="91"/>
      <c r="E158" s="91"/>
      <c r="F158" s="91"/>
      <c r="G158" s="91"/>
      <c r="H158" s="91"/>
      <c r="I158" s="91"/>
      <c r="J158" s="91"/>
      <c r="K158" s="213"/>
      <c r="L158" s="213"/>
      <c r="M158" s="213"/>
      <c r="N158" s="214"/>
      <c r="O158" s="214"/>
      <c r="P158" s="91"/>
      <c r="Q158" s="91"/>
    </row>
    <row r="159" spans="1:17" s="101" customFormat="1" x14ac:dyDescent="0.35">
      <c r="A159" s="90"/>
      <c r="B159" s="91"/>
      <c r="C159" s="91"/>
      <c r="D159" s="91"/>
      <c r="E159" s="91"/>
      <c r="F159" s="91"/>
      <c r="G159" s="91"/>
      <c r="H159" s="91"/>
      <c r="I159" s="91"/>
      <c r="J159" s="91"/>
      <c r="K159" s="213"/>
      <c r="L159" s="213"/>
      <c r="M159" s="213"/>
      <c r="N159" s="214"/>
      <c r="O159" s="214"/>
      <c r="P159" s="91"/>
      <c r="Q159" s="91"/>
    </row>
    <row r="160" spans="1:17" s="101" customFormat="1" x14ac:dyDescent="0.35">
      <c r="A160" s="90"/>
      <c r="B160" s="91"/>
      <c r="C160" s="91"/>
      <c r="D160" s="91"/>
      <c r="E160" s="91"/>
      <c r="F160" s="91"/>
      <c r="G160" s="91"/>
      <c r="H160" s="91"/>
      <c r="I160" s="91"/>
      <c r="J160" s="91"/>
      <c r="K160" s="213"/>
      <c r="L160" s="213"/>
      <c r="M160" s="213"/>
      <c r="N160" s="214"/>
      <c r="O160" s="214"/>
      <c r="P160" s="91"/>
      <c r="Q160" s="91"/>
    </row>
    <row r="161" spans="1:17" s="101" customFormat="1" x14ac:dyDescent="0.35">
      <c r="A161" s="90"/>
      <c r="B161" s="91"/>
      <c r="C161" s="91"/>
      <c r="D161" s="91"/>
      <c r="E161" s="91"/>
      <c r="F161" s="91"/>
      <c r="G161" s="91"/>
      <c r="H161" s="91"/>
      <c r="I161" s="91"/>
      <c r="J161" s="91"/>
      <c r="K161" s="94"/>
      <c r="L161" s="94"/>
      <c r="M161" s="94"/>
      <c r="N161" s="91"/>
      <c r="O161" s="91"/>
      <c r="P161" s="91"/>
      <c r="Q161" s="91"/>
    </row>
    <row r="162" spans="1:17" s="101" customFormat="1" x14ac:dyDescent="0.35">
      <c r="A162" s="90"/>
      <c r="B162" s="91"/>
      <c r="C162" s="91"/>
      <c r="D162" s="91"/>
      <c r="E162" s="91"/>
      <c r="F162" s="91"/>
      <c r="G162" s="91"/>
      <c r="H162" s="91"/>
      <c r="I162" s="91"/>
      <c r="J162" s="91"/>
      <c r="K162" s="94"/>
      <c r="L162" s="94"/>
      <c r="M162" s="94"/>
      <c r="N162" s="91"/>
      <c r="O162" s="91"/>
      <c r="P162" s="91"/>
      <c r="Q162" s="91"/>
    </row>
    <row r="163" spans="1:17" s="101" customFormat="1" x14ac:dyDescent="0.35">
      <c r="A163" s="90"/>
      <c r="B163" s="91"/>
      <c r="C163" s="91"/>
      <c r="D163" s="91"/>
      <c r="E163" s="91"/>
      <c r="F163" s="91"/>
      <c r="G163" s="91"/>
      <c r="H163" s="91"/>
      <c r="I163" s="91"/>
      <c r="J163" s="91"/>
      <c r="K163" s="94"/>
      <c r="L163" s="94"/>
      <c r="M163" s="94"/>
      <c r="N163" s="91"/>
      <c r="O163" s="91"/>
      <c r="P163" s="91"/>
      <c r="Q163" s="91"/>
    </row>
    <row r="164" spans="1:17" s="101" customFormat="1" x14ac:dyDescent="0.35">
      <c r="A164" s="90"/>
      <c r="B164" s="91"/>
      <c r="C164" s="91"/>
      <c r="D164" s="91"/>
      <c r="E164" s="91"/>
      <c r="F164" s="91"/>
      <c r="G164" s="91"/>
      <c r="H164" s="91"/>
      <c r="I164" s="91"/>
      <c r="J164" s="91"/>
      <c r="K164" s="94"/>
      <c r="L164" s="94"/>
      <c r="M164" s="94"/>
      <c r="N164" s="91"/>
      <c r="O164" s="91"/>
      <c r="P164" s="91"/>
      <c r="Q164" s="91"/>
    </row>
    <row r="165" spans="1:17" s="101" customFormat="1" x14ac:dyDescent="0.35">
      <c r="A165" s="90"/>
      <c r="B165" s="91"/>
      <c r="C165" s="91"/>
      <c r="D165" s="91"/>
      <c r="E165" s="91"/>
      <c r="F165" s="91"/>
      <c r="G165" s="91"/>
      <c r="H165" s="91"/>
      <c r="I165" s="91"/>
      <c r="J165" s="91"/>
      <c r="K165" s="94"/>
      <c r="L165" s="94"/>
      <c r="M165" s="94"/>
      <c r="N165" s="91"/>
      <c r="O165" s="91"/>
      <c r="P165" s="91"/>
      <c r="Q165" s="91"/>
    </row>
    <row r="166" spans="1:17" s="101" customFormat="1" x14ac:dyDescent="0.35">
      <c r="A166" s="90"/>
      <c r="B166" s="91"/>
      <c r="C166" s="91"/>
      <c r="D166" s="91"/>
      <c r="E166" s="91"/>
      <c r="F166" s="91"/>
      <c r="G166" s="91"/>
      <c r="H166" s="91"/>
      <c r="I166" s="91"/>
      <c r="J166" s="91"/>
      <c r="K166" s="94"/>
      <c r="L166" s="94"/>
      <c r="M166" s="94"/>
      <c r="N166" s="91"/>
      <c r="O166" s="91"/>
      <c r="P166" s="91"/>
      <c r="Q166" s="91"/>
    </row>
    <row r="167" spans="1:17" s="101" customFormat="1" x14ac:dyDescent="0.35">
      <c r="A167" s="90"/>
      <c r="B167" s="91"/>
      <c r="C167" s="91"/>
      <c r="D167" s="91"/>
      <c r="E167" s="91"/>
      <c r="F167" s="91"/>
      <c r="G167" s="91"/>
      <c r="H167" s="91"/>
      <c r="I167" s="91"/>
      <c r="J167" s="91"/>
      <c r="K167" s="94"/>
      <c r="L167" s="94"/>
      <c r="M167" s="94"/>
      <c r="N167" s="91"/>
      <c r="O167" s="91"/>
      <c r="P167" s="91"/>
      <c r="Q167" s="91"/>
    </row>
    <row r="168" spans="1:17" s="101" customFormat="1" x14ac:dyDescent="0.35">
      <c r="A168" s="90"/>
      <c r="B168" s="91"/>
      <c r="C168" s="91"/>
      <c r="D168" s="91"/>
      <c r="E168" s="91"/>
      <c r="F168" s="91"/>
      <c r="G168" s="91"/>
      <c r="H168" s="91"/>
      <c r="I168" s="91"/>
      <c r="J168" s="91"/>
      <c r="K168" s="94"/>
      <c r="L168" s="94"/>
      <c r="M168" s="94"/>
      <c r="N168" s="91"/>
      <c r="O168" s="91"/>
      <c r="P168" s="91"/>
      <c r="Q168" s="91"/>
    </row>
    <row r="169" spans="1:17" s="101" customFormat="1" x14ac:dyDescent="0.35">
      <c r="A169" s="90"/>
      <c r="B169" s="91"/>
      <c r="C169" s="91"/>
      <c r="D169" s="91"/>
      <c r="E169" s="91"/>
      <c r="F169" s="91"/>
      <c r="G169" s="91"/>
      <c r="H169" s="91"/>
      <c r="I169" s="91"/>
      <c r="J169" s="91"/>
      <c r="K169" s="94"/>
      <c r="L169" s="94"/>
      <c r="M169" s="94"/>
      <c r="N169" s="91"/>
      <c r="O169" s="91"/>
      <c r="P169" s="91"/>
      <c r="Q169" s="91"/>
    </row>
    <row r="170" spans="1:17" s="101"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row>
    <row r="189" spans="1:17" x14ac:dyDescent="0.35">
      <c r="A189" s="90"/>
      <c r="B189" s="91"/>
      <c r="C189" s="91"/>
      <c r="D189" s="91"/>
      <c r="E189" s="91"/>
      <c r="F189" s="91"/>
      <c r="G189" s="91"/>
      <c r="H189" s="91"/>
      <c r="I189" s="91"/>
      <c r="J189" s="91"/>
      <c r="K189" s="91"/>
      <c r="L189" s="91"/>
      <c r="M189" s="91"/>
      <c r="N189" s="91"/>
      <c r="O189" s="91"/>
    </row>
    <row r="190" spans="1:17" x14ac:dyDescent="0.35">
      <c r="A190" s="90"/>
      <c r="B190" s="91"/>
      <c r="C190" s="91"/>
      <c r="D190" s="91"/>
      <c r="E190" s="91"/>
      <c r="F190" s="91"/>
      <c r="G190" s="91"/>
      <c r="H190" s="91"/>
      <c r="I190" s="91"/>
      <c r="J190" s="91"/>
      <c r="K190" s="91"/>
      <c r="L190" s="91"/>
      <c r="M190" s="91"/>
      <c r="N190" s="91"/>
      <c r="O190" s="91"/>
    </row>
    <row r="191" spans="1:17" x14ac:dyDescent="0.35">
      <c r="A191" s="90"/>
      <c r="B191" s="91"/>
      <c r="C191" s="91"/>
      <c r="D191" s="91"/>
      <c r="E191" s="91"/>
      <c r="F191" s="91"/>
      <c r="G191" s="91"/>
      <c r="H191" s="91"/>
      <c r="I191" s="91"/>
      <c r="J191" s="91"/>
      <c r="K191" s="91"/>
      <c r="L191" s="91"/>
      <c r="M191" s="91"/>
      <c r="N191" s="91"/>
      <c r="O191" s="91"/>
    </row>
    <row r="192" spans="1:17" x14ac:dyDescent="0.35">
      <c r="A192" s="90"/>
      <c r="B192" s="91"/>
      <c r="C192" s="91"/>
      <c r="D192" s="91"/>
      <c r="E192" s="91"/>
      <c r="F192" s="91"/>
      <c r="G192" s="91"/>
      <c r="H192" s="91"/>
      <c r="I192" s="91"/>
      <c r="J192" s="91"/>
      <c r="K192" s="91"/>
      <c r="L192" s="91"/>
      <c r="M192" s="91"/>
      <c r="N192" s="91"/>
      <c r="O192" s="91"/>
    </row>
    <row r="193" spans="1:15" x14ac:dyDescent="0.35">
      <c r="A193" s="90"/>
      <c r="B193" s="91"/>
      <c r="C193" s="91"/>
      <c r="D193" s="91"/>
      <c r="E193" s="91"/>
      <c r="F193" s="91"/>
      <c r="G193" s="91"/>
      <c r="H193" s="91"/>
      <c r="I193" s="91"/>
      <c r="J193" s="91"/>
      <c r="K193" s="91"/>
      <c r="L193" s="91"/>
      <c r="M193" s="91"/>
      <c r="N193" s="91"/>
      <c r="O193" s="91"/>
    </row>
    <row r="194" spans="1:15" x14ac:dyDescent="0.35">
      <c r="A194" s="90"/>
      <c r="B194" s="91"/>
      <c r="C194" s="91"/>
      <c r="D194" s="91"/>
      <c r="E194" s="91"/>
      <c r="F194" s="91"/>
      <c r="G194" s="91"/>
      <c r="H194" s="91"/>
      <c r="I194" s="91"/>
      <c r="J194" s="91"/>
      <c r="K194" s="91"/>
      <c r="L194" s="91"/>
      <c r="M194" s="91"/>
      <c r="N194" s="91"/>
      <c r="O194" s="91"/>
    </row>
    <row r="195" spans="1:15" x14ac:dyDescent="0.35">
      <c r="A195" s="90"/>
      <c r="B195" s="91"/>
      <c r="C195" s="91"/>
      <c r="D195" s="91"/>
      <c r="E195" s="91"/>
      <c r="F195" s="91"/>
      <c r="G195" s="91"/>
      <c r="H195" s="91"/>
      <c r="I195" s="91"/>
      <c r="J195" s="91"/>
      <c r="K195" s="91"/>
      <c r="L195" s="91"/>
      <c r="M195" s="91"/>
      <c r="N195" s="91"/>
      <c r="O195" s="91"/>
    </row>
    <row r="196" spans="1:15" x14ac:dyDescent="0.35">
      <c r="A196" s="90"/>
      <c r="B196" s="91"/>
      <c r="C196" s="91"/>
      <c r="D196" s="91"/>
      <c r="E196" s="91"/>
      <c r="F196" s="91"/>
      <c r="G196" s="91"/>
      <c r="H196" s="91"/>
      <c r="I196" s="91"/>
      <c r="J196" s="91"/>
      <c r="K196" s="91"/>
      <c r="L196" s="91"/>
      <c r="M196" s="91"/>
      <c r="N196" s="91"/>
      <c r="O196" s="91"/>
    </row>
    <row r="197" spans="1:15" x14ac:dyDescent="0.35">
      <c r="A197" s="90"/>
      <c r="B197" s="91"/>
      <c r="C197" s="91"/>
      <c r="D197" s="91"/>
      <c r="E197" s="91"/>
      <c r="F197" s="91"/>
      <c r="G197" s="91"/>
      <c r="H197" s="91"/>
      <c r="I197" s="91"/>
      <c r="J197" s="91"/>
      <c r="K197" s="91"/>
      <c r="L197" s="91"/>
      <c r="M197" s="91"/>
      <c r="N197" s="91"/>
      <c r="O197" s="91"/>
    </row>
    <row r="198" spans="1:15" x14ac:dyDescent="0.35">
      <c r="A198" s="90"/>
      <c r="B198" s="91"/>
      <c r="C198" s="91"/>
      <c r="D198" s="91"/>
      <c r="E198" s="91"/>
      <c r="F198" s="91"/>
      <c r="G198" s="91"/>
      <c r="H198" s="91"/>
      <c r="I198" s="91"/>
      <c r="J198" s="91"/>
      <c r="K198" s="91"/>
      <c r="L198" s="91"/>
      <c r="M198" s="91"/>
      <c r="N198" s="91"/>
      <c r="O198" s="91"/>
    </row>
    <row r="199" spans="1:15" x14ac:dyDescent="0.35">
      <c r="A199" s="90"/>
      <c r="B199" s="91"/>
      <c r="C199" s="91"/>
      <c r="D199" s="91"/>
      <c r="E199" s="91"/>
      <c r="F199" s="91"/>
      <c r="G199" s="91"/>
      <c r="H199" s="91"/>
      <c r="I199" s="91"/>
      <c r="J199" s="91"/>
      <c r="K199" s="91"/>
      <c r="L199" s="91"/>
      <c r="M199" s="91"/>
      <c r="N199" s="91"/>
      <c r="O199" s="91"/>
    </row>
    <row r="200" spans="1:15" x14ac:dyDescent="0.35">
      <c r="A200" s="90"/>
      <c r="B200" s="91"/>
      <c r="C200" s="91"/>
      <c r="D200" s="91"/>
      <c r="E200" s="91"/>
      <c r="F200" s="91"/>
      <c r="G200" s="91"/>
      <c r="H200" s="91"/>
      <c r="I200" s="91"/>
      <c r="J200" s="91"/>
      <c r="K200" s="91"/>
      <c r="L200" s="91"/>
      <c r="M200" s="91"/>
      <c r="N200" s="91"/>
      <c r="O200" s="91"/>
    </row>
    <row r="201" spans="1:15" x14ac:dyDescent="0.35">
      <c r="A201" s="90"/>
      <c r="B201" s="91"/>
      <c r="C201" s="91"/>
      <c r="D201" s="91"/>
      <c r="E201" s="91"/>
      <c r="F201" s="91"/>
      <c r="G201" s="91"/>
      <c r="H201" s="91"/>
      <c r="I201" s="91"/>
      <c r="J201" s="91"/>
      <c r="K201" s="91"/>
      <c r="L201" s="91"/>
      <c r="M201" s="91"/>
      <c r="N201" s="91"/>
      <c r="O201" s="91"/>
    </row>
    <row r="202" spans="1:15" x14ac:dyDescent="0.35">
      <c r="A202" s="90"/>
      <c r="B202" s="91"/>
      <c r="C202" s="91"/>
      <c r="D202" s="91"/>
      <c r="E202" s="91"/>
      <c r="F202" s="91"/>
      <c r="G202" s="91"/>
      <c r="H202" s="91"/>
      <c r="I202" s="91"/>
      <c r="J202" s="91"/>
      <c r="K202" s="91"/>
      <c r="L202" s="91"/>
      <c r="M202" s="91"/>
      <c r="N202" s="91"/>
      <c r="O202" s="91"/>
    </row>
    <row r="203" spans="1:15" x14ac:dyDescent="0.35">
      <c r="A203" s="90"/>
      <c r="B203" s="91"/>
      <c r="C203" s="91"/>
      <c r="D203" s="91"/>
      <c r="E203" s="91"/>
      <c r="F203" s="91"/>
      <c r="G203" s="91"/>
      <c r="H203" s="91"/>
      <c r="I203" s="91"/>
      <c r="J203" s="91"/>
      <c r="K203" s="91"/>
      <c r="L203" s="91"/>
      <c r="M203" s="91"/>
      <c r="N203" s="91"/>
      <c r="O203" s="91"/>
    </row>
    <row r="204" spans="1:15" x14ac:dyDescent="0.35">
      <c r="A204" s="90"/>
      <c r="B204" s="91"/>
      <c r="C204" s="91"/>
      <c r="D204" s="91"/>
      <c r="E204" s="91"/>
      <c r="F204" s="91"/>
      <c r="G204" s="91"/>
      <c r="H204" s="91"/>
      <c r="I204" s="91"/>
      <c r="J204" s="91"/>
      <c r="K204" s="91"/>
      <c r="L204" s="91"/>
      <c r="M204" s="91"/>
      <c r="N204" s="91"/>
      <c r="O204" s="91"/>
    </row>
    <row r="205" spans="1:15" x14ac:dyDescent="0.35">
      <c r="A205" s="90"/>
      <c r="B205" s="91"/>
      <c r="C205" s="91"/>
      <c r="D205" s="91"/>
      <c r="E205" s="91"/>
      <c r="F205" s="91"/>
      <c r="G205" s="91"/>
      <c r="H205" s="91"/>
      <c r="I205" s="91"/>
      <c r="J205" s="91"/>
      <c r="K205" s="91"/>
      <c r="L205" s="91"/>
      <c r="M205" s="91"/>
      <c r="N205" s="91"/>
      <c r="O205" s="91"/>
    </row>
    <row r="207" spans="1:15" x14ac:dyDescent="0.35">
      <c r="A207" s="92"/>
    </row>
    <row r="208" spans="1:15"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5:Q150 P151:Q187 B151:O205">
    <cfRule type="cellIs" dxfId="1" priority="1" stopIfTrue="1" operator="equal">
      <formula>0</formula>
    </cfRule>
  </conditionalFormatting>
  <conditionalFormatting sqref="B5:J176">
    <cfRule type="cellIs" priority="2" stopIfTrue="1" operator="equal">
      <formula>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2"/>
  </sheetPr>
  <dimension ref="A2:Q216"/>
  <sheetViews>
    <sheetView showGridLines="0" showRowColHeaders="0" zoomScale="85" zoomScaleNormal="85" workbookViewId="0">
      <pane xSplit="1" ySplit="4" topLeftCell="B130" activePane="bottomRight" state="frozen"/>
      <selection activeCell="C35" sqref="C35"/>
      <selection pane="topRight" activeCell="C35" sqref="C35"/>
      <selection pane="bottomLeft" activeCell="C35" sqref="C35"/>
      <selection pane="bottomRight" activeCell="A4" sqref="A4:O171"/>
    </sheetView>
  </sheetViews>
  <sheetFormatPr defaultColWidth="0" defaultRowHeight="14.5" x14ac:dyDescent="0.35"/>
  <cols>
    <col min="1" max="1" width="30.6328125" style="89" customWidth="1"/>
    <col min="2" max="16" width="10.6328125" style="89" customWidth="1"/>
    <col min="17" max="17" width="2.1796875" style="89" customWidth="1"/>
    <col min="18" max="16384" width="8.90625" style="89" hidden="1"/>
  </cols>
  <sheetData>
    <row r="2" spans="1:17" ht="15.5" x14ac:dyDescent="0.35">
      <c r="A2" s="88" t="s">
        <v>176</v>
      </c>
    </row>
    <row r="4" spans="1:17" s="93" customFormat="1" x14ac:dyDescent="0.35">
      <c r="A4" s="212"/>
      <c r="B4" s="212"/>
      <c r="C4" s="212"/>
      <c r="D4" s="212"/>
      <c r="E4" s="212"/>
      <c r="F4" s="212"/>
      <c r="G4" s="212"/>
      <c r="H4" s="212"/>
      <c r="I4" s="212"/>
      <c r="J4" s="212"/>
      <c r="K4" s="212"/>
      <c r="L4" s="212"/>
      <c r="M4" s="212"/>
      <c r="N4" s="212"/>
      <c r="O4" s="212"/>
      <c r="P4" s="90"/>
      <c r="Q4" s="101"/>
    </row>
    <row r="5" spans="1:17" s="93" customFormat="1" x14ac:dyDescent="0.35">
      <c r="A5" s="212"/>
      <c r="B5" s="214"/>
      <c r="C5" s="214"/>
      <c r="D5" s="214"/>
      <c r="E5" s="214"/>
      <c r="F5" s="214"/>
      <c r="G5" s="214"/>
      <c r="H5" s="214"/>
      <c r="I5" s="214"/>
      <c r="J5" s="214"/>
      <c r="K5" s="213"/>
      <c r="L5" s="213"/>
      <c r="M5" s="213"/>
      <c r="N5" s="214"/>
      <c r="O5" s="214"/>
      <c r="P5" s="91"/>
      <c r="Q5" s="91"/>
    </row>
    <row r="6" spans="1:17" s="93" customFormat="1" x14ac:dyDescent="0.35">
      <c r="A6" s="215"/>
      <c r="B6" s="216"/>
      <c r="C6" s="216"/>
      <c r="D6" s="216"/>
      <c r="E6" s="216"/>
      <c r="F6" s="216"/>
      <c r="G6" s="216"/>
      <c r="H6" s="216"/>
      <c r="I6" s="216"/>
      <c r="J6" s="216"/>
      <c r="K6" s="217"/>
      <c r="L6" s="217"/>
      <c r="M6" s="217"/>
      <c r="N6" s="216"/>
      <c r="O6" s="216"/>
      <c r="P6" s="91"/>
      <c r="Q6" s="91"/>
    </row>
    <row r="7" spans="1:17" s="93" customFormat="1" x14ac:dyDescent="0.35">
      <c r="A7" s="90"/>
      <c r="B7" s="91"/>
      <c r="C7" s="91"/>
      <c r="D7" s="91"/>
      <c r="E7" s="91"/>
      <c r="F7" s="91"/>
      <c r="G7" s="91"/>
      <c r="H7" s="91"/>
      <c r="I7" s="91"/>
      <c r="J7" s="91"/>
      <c r="K7" s="213"/>
      <c r="L7" s="213"/>
      <c r="M7" s="213"/>
      <c r="N7" s="214"/>
      <c r="O7" s="214"/>
      <c r="P7" s="91"/>
      <c r="Q7" s="91"/>
    </row>
    <row r="8" spans="1:17" s="93" customFormat="1" x14ac:dyDescent="0.35">
      <c r="A8" s="90"/>
      <c r="B8" s="91"/>
      <c r="C8" s="91"/>
      <c r="D8" s="91"/>
      <c r="E8" s="91"/>
      <c r="F8" s="91"/>
      <c r="G8" s="91"/>
      <c r="H8" s="91"/>
      <c r="I8" s="91"/>
      <c r="J8" s="91"/>
      <c r="K8" s="213"/>
      <c r="L8" s="213"/>
      <c r="M8" s="213"/>
      <c r="N8" s="214"/>
      <c r="O8" s="214"/>
      <c r="P8" s="91"/>
      <c r="Q8" s="91"/>
    </row>
    <row r="9" spans="1:17" s="93" customFormat="1" x14ac:dyDescent="0.35">
      <c r="A9" s="90"/>
      <c r="B9" s="91"/>
      <c r="C9" s="91"/>
      <c r="D9" s="91"/>
      <c r="E9" s="91"/>
      <c r="F9" s="91"/>
      <c r="G9" s="91"/>
      <c r="H9" s="91"/>
      <c r="I9" s="91"/>
      <c r="J9" s="91"/>
      <c r="K9" s="213"/>
      <c r="L9" s="213"/>
      <c r="M9" s="213"/>
      <c r="N9" s="214"/>
      <c r="O9" s="214"/>
      <c r="P9" s="91"/>
      <c r="Q9" s="91"/>
    </row>
    <row r="10" spans="1:17" s="93" customFormat="1" x14ac:dyDescent="0.35">
      <c r="A10" s="90"/>
      <c r="B10" s="91"/>
      <c r="C10" s="91"/>
      <c r="D10" s="91"/>
      <c r="E10" s="91"/>
      <c r="F10" s="91"/>
      <c r="G10" s="91"/>
      <c r="H10" s="91"/>
      <c r="I10" s="91"/>
      <c r="J10" s="91"/>
      <c r="K10" s="213"/>
      <c r="L10" s="213"/>
      <c r="M10" s="213"/>
      <c r="N10" s="214"/>
      <c r="O10" s="214"/>
      <c r="P10" s="91"/>
      <c r="Q10" s="91"/>
    </row>
    <row r="11" spans="1:17" s="93" customFormat="1" x14ac:dyDescent="0.35">
      <c r="A11" s="90"/>
      <c r="B11" s="91"/>
      <c r="C11" s="91"/>
      <c r="D11" s="91"/>
      <c r="E11" s="91"/>
      <c r="F11" s="91"/>
      <c r="G11" s="91"/>
      <c r="H11" s="91"/>
      <c r="I11" s="91"/>
      <c r="J11" s="91"/>
      <c r="K11" s="213"/>
      <c r="L11" s="213"/>
      <c r="M11" s="213"/>
      <c r="N11" s="214"/>
      <c r="O11" s="214"/>
      <c r="P11" s="91"/>
      <c r="Q11" s="91"/>
    </row>
    <row r="12" spans="1:17" s="93" customFormat="1" x14ac:dyDescent="0.35">
      <c r="A12" s="90"/>
      <c r="B12" s="91"/>
      <c r="C12" s="91"/>
      <c r="D12" s="91"/>
      <c r="E12" s="91"/>
      <c r="F12" s="91"/>
      <c r="G12" s="91"/>
      <c r="H12" s="91"/>
      <c r="I12" s="91"/>
      <c r="J12" s="91"/>
      <c r="K12" s="213"/>
      <c r="L12" s="213"/>
      <c r="M12" s="213"/>
      <c r="N12" s="214"/>
      <c r="O12" s="214"/>
      <c r="P12" s="91"/>
      <c r="Q12" s="91"/>
    </row>
    <row r="13" spans="1:17" s="93" customFormat="1" x14ac:dyDescent="0.35">
      <c r="A13" s="90"/>
      <c r="B13" s="91"/>
      <c r="C13" s="91"/>
      <c r="D13" s="91"/>
      <c r="E13" s="91"/>
      <c r="F13" s="91"/>
      <c r="G13" s="91"/>
      <c r="H13" s="91"/>
      <c r="I13" s="91"/>
      <c r="J13" s="91"/>
      <c r="K13" s="213"/>
      <c r="L13" s="213"/>
      <c r="M13" s="213"/>
      <c r="N13" s="214"/>
      <c r="O13" s="214"/>
      <c r="P13" s="91"/>
      <c r="Q13" s="91"/>
    </row>
    <row r="14" spans="1:17" s="93" customFormat="1" x14ac:dyDescent="0.35">
      <c r="A14" s="90"/>
      <c r="B14" s="91"/>
      <c r="C14" s="91"/>
      <c r="D14" s="91"/>
      <c r="E14" s="91"/>
      <c r="F14" s="91"/>
      <c r="G14" s="91"/>
      <c r="H14" s="91"/>
      <c r="I14" s="91"/>
      <c r="J14" s="91"/>
      <c r="K14" s="213"/>
      <c r="L14" s="213"/>
      <c r="M14" s="213"/>
      <c r="N14" s="214"/>
      <c r="O14" s="214"/>
      <c r="P14" s="91"/>
      <c r="Q14" s="91"/>
    </row>
    <row r="15" spans="1:17" s="93" customFormat="1" x14ac:dyDescent="0.35">
      <c r="A15" s="90"/>
      <c r="B15" s="91"/>
      <c r="C15" s="91"/>
      <c r="D15" s="91"/>
      <c r="E15" s="91"/>
      <c r="F15" s="91"/>
      <c r="G15" s="91"/>
      <c r="H15" s="91"/>
      <c r="I15" s="91"/>
      <c r="J15" s="91"/>
      <c r="K15" s="213"/>
      <c r="L15" s="213"/>
      <c r="M15" s="213"/>
      <c r="N15" s="214"/>
      <c r="O15" s="214"/>
      <c r="P15" s="91"/>
      <c r="Q15" s="91"/>
    </row>
    <row r="16" spans="1:17" s="93" customFormat="1" x14ac:dyDescent="0.35">
      <c r="A16" s="90"/>
      <c r="B16" s="91"/>
      <c r="C16" s="91"/>
      <c r="D16" s="91"/>
      <c r="E16" s="91"/>
      <c r="F16" s="91"/>
      <c r="G16" s="91"/>
      <c r="H16" s="91"/>
      <c r="I16" s="91"/>
      <c r="J16" s="91"/>
      <c r="K16" s="213"/>
      <c r="L16" s="213"/>
      <c r="M16" s="213"/>
      <c r="N16" s="214"/>
      <c r="O16" s="214"/>
      <c r="P16" s="91"/>
      <c r="Q16" s="91"/>
    </row>
    <row r="17" spans="1:17" s="93" customFormat="1" x14ac:dyDescent="0.35">
      <c r="A17" s="90"/>
      <c r="B17" s="91"/>
      <c r="C17" s="91"/>
      <c r="D17" s="91"/>
      <c r="E17" s="91"/>
      <c r="F17" s="91"/>
      <c r="G17" s="91"/>
      <c r="H17" s="91"/>
      <c r="I17" s="91"/>
      <c r="J17" s="91"/>
      <c r="K17" s="213"/>
      <c r="L17" s="213"/>
      <c r="M17" s="213"/>
      <c r="N17" s="214"/>
      <c r="O17" s="214"/>
      <c r="P17" s="91"/>
      <c r="Q17" s="91"/>
    </row>
    <row r="18" spans="1:17" s="93" customFormat="1" x14ac:dyDescent="0.35">
      <c r="A18" s="90"/>
      <c r="B18" s="91"/>
      <c r="C18" s="91"/>
      <c r="D18" s="91"/>
      <c r="E18" s="91"/>
      <c r="F18" s="91"/>
      <c r="G18" s="91"/>
      <c r="H18" s="91"/>
      <c r="I18" s="91"/>
      <c r="J18" s="91"/>
      <c r="K18" s="213"/>
      <c r="L18" s="213"/>
      <c r="M18" s="213"/>
      <c r="N18" s="214"/>
      <c r="O18" s="214"/>
      <c r="P18" s="91"/>
      <c r="Q18" s="91"/>
    </row>
    <row r="19" spans="1:17" s="93" customFormat="1" x14ac:dyDescent="0.35">
      <c r="A19" s="90"/>
      <c r="B19" s="91"/>
      <c r="C19" s="91"/>
      <c r="D19" s="91"/>
      <c r="E19" s="91"/>
      <c r="F19" s="91"/>
      <c r="G19" s="91"/>
      <c r="H19" s="91"/>
      <c r="I19" s="91"/>
      <c r="J19" s="91"/>
      <c r="K19" s="213"/>
      <c r="L19" s="213"/>
      <c r="M19" s="213"/>
      <c r="N19" s="214"/>
      <c r="O19" s="214"/>
      <c r="P19" s="91"/>
      <c r="Q19" s="91"/>
    </row>
    <row r="20" spans="1:17" s="93" customFormat="1" x14ac:dyDescent="0.35">
      <c r="A20" s="90"/>
      <c r="B20" s="91"/>
      <c r="C20" s="91"/>
      <c r="D20" s="91"/>
      <c r="E20" s="91"/>
      <c r="F20" s="91"/>
      <c r="G20" s="91"/>
      <c r="H20" s="91"/>
      <c r="I20" s="91"/>
      <c r="J20" s="91"/>
      <c r="K20" s="213"/>
      <c r="L20" s="213"/>
      <c r="M20" s="213"/>
      <c r="N20" s="214"/>
      <c r="O20" s="214"/>
      <c r="P20" s="91"/>
      <c r="Q20" s="91"/>
    </row>
    <row r="21" spans="1:17" s="93" customFormat="1" x14ac:dyDescent="0.35">
      <c r="A21" s="90"/>
      <c r="B21" s="91"/>
      <c r="C21" s="91"/>
      <c r="D21" s="91"/>
      <c r="E21" s="91"/>
      <c r="F21" s="91"/>
      <c r="G21" s="91"/>
      <c r="H21" s="91"/>
      <c r="I21" s="91"/>
      <c r="J21" s="91"/>
      <c r="K21" s="213"/>
      <c r="L21" s="213"/>
      <c r="M21" s="213"/>
      <c r="N21" s="214"/>
      <c r="O21" s="214"/>
      <c r="P21" s="91"/>
      <c r="Q21" s="91"/>
    </row>
    <row r="22" spans="1:17" s="93" customFormat="1" x14ac:dyDescent="0.35">
      <c r="A22" s="90"/>
      <c r="B22" s="91"/>
      <c r="C22" s="91"/>
      <c r="D22" s="91"/>
      <c r="E22" s="91"/>
      <c r="F22" s="91"/>
      <c r="G22" s="91"/>
      <c r="H22" s="91"/>
      <c r="I22" s="91"/>
      <c r="J22" s="91"/>
      <c r="K22" s="213"/>
      <c r="L22" s="213"/>
      <c r="M22" s="213"/>
      <c r="N22" s="214"/>
      <c r="O22" s="214"/>
      <c r="P22" s="91"/>
      <c r="Q22" s="91"/>
    </row>
    <row r="23" spans="1:17" s="93" customFormat="1" x14ac:dyDescent="0.35">
      <c r="A23" s="90"/>
      <c r="B23" s="91"/>
      <c r="C23" s="91"/>
      <c r="D23" s="91"/>
      <c r="E23" s="91"/>
      <c r="F23" s="91"/>
      <c r="G23" s="91"/>
      <c r="H23" s="91"/>
      <c r="I23" s="91"/>
      <c r="J23" s="91"/>
      <c r="K23" s="213"/>
      <c r="L23" s="213"/>
      <c r="M23" s="213"/>
      <c r="N23" s="214"/>
      <c r="O23" s="214"/>
      <c r="P23" s="91"/>
      <c r="Q23" s="91"/>
    </row>
    <row r="24" spans="1:17" s="93" customFormat="1" x14ac:dyDescent="0.35">
      <c r="A24" s="90"/>
      <c r="B24" s="91"/>
      <c r="C24" s="91"/>
      <c r="D24" s="91"/>
      <c r="E24" s="91"/>
      <c r="F24" s="91"/>
      <c r="G24" s="91"/>
      <c r="H24" s="91"/>
      <c r="I24" s="91"/>
      <c r="J24" s="91"/>
      <c r="K24" s="213"/>
      <c r="L24" s="213"/>
      <c r="M24" s="213"/>
      <c r="N24" s="214"/>
      <c r="O24" s="214"/>
      <c r="P24" s="91"/>
      <c r="Q24" s="91"/>
    </row>
    <row r="25" spans="1:17" s="93" customFormat="1" x14ac:dyDescent="0.35">
      <c r="A25" s="90"/>
      <c r="B25" s="91"/>
      <c r="C25" s="91"/>
      <c r="D25" s="91"/>
      <c r="E25" s="91"/>
      <c r="F25" s="91"/>
      <c r="G25" s="91"/>
      <c r="H25" s="91"/>
      <c r="I25" s="91"/>
      <c r="J25" s="91"/>
      <c r="K25" s="213"/>
      <c r="L25" s="213"/>
      <c r="M25" s="213"/>
      <c r="N25" s="214"/>
      <c r="O25" s="214"/>
      <c r="P25" s="91"/>
      <c r="Q25" s="91"/>
    </row>
    <row r="26" spans="1:17" s="93" customFormat="1" x14ac:dyDescent="0.35">
      <c r="A26" s="90"/>
      <c r="B26" s="91"/>
      <c r="C26" s="91"/>
      <c r="D26" s="91"/>
      <c r="E26" s="91"/>
      <c r="F26" s="91"/>
      <c r="G26" s="91"/>
      <c r="H26" s="91"/>
      <c r="I26" s="91"/>
      <c r="J26" s="91"/>
      <c r="K26" s="213"/>
      <c r="L26" s="213"/>
      <c r="M26" s="213"/>
      <c r="N26" s="214"/>
      <c r="O26" s="214"/>
      <c r="P26" s="91"/>
      <c r="Q26" s="91"/>
    </row>
    <row r="27" spans="1:17" s="93" customFormat="1" x14ac:dyDescent="0.35">
      <c r="A27" s="90"/>
      <c r="B27" s="91"/>
      <c r="C27" s="91"/>
      <c r="D27" s="91"/>
      <c r="E27" s="91"/>
      <c r="F27" s="91"/>
      <c r="G27" s="91"/>
      <c r="H27" s="91"/>
      <c r="I27" s="91"/>
      <c r="J27" s="91"/>
      <c r="K27" s="213"/>
      <c r="L27" s="213"/>
      <c r="M27" s="213"/>
      <c r="N27" s="214"/>
      <c r="O27" s="214"/>
      <c r="P27" s="91"/>
      <c r="Q27" s="91"/>
    </row>
    <row r="28" spans="1:17" s="93" customFormat="1" x14ac:dyDescent="0.35">
      <c r="A28" s="90"/>
      <c r="B28" s="91"/>
      <c r="C28" s="91"/>
      <c r="D28" s="91"/>
      <c r="E28" s="91"/>
      <c r="F28" s="91"/>
      <c r="G28" s="91"/>
      <c r="H28" s="91"/>
      <c r="I28" s="91"/>
      <c r="J28" s="91"/>
      <c r="K28" s="213"/>
      <c r="L28" s="213"/>
      <c r="M28" s="213"/>
      <c r="N28" s="214"/>
      <c r="O28" s="214"/>
      <c r="P28" s="91"/>
      <c r="Q28" s="91"/>
    </row>
    <row r="29" spans="1:17" s="93" customFormat="1" x14ac:dyDescent="0.35">
      <c r="A29" s="90"/>
      <c r="B29" s="91"/>
      <c r="C29" s="91"/>
      <c r="D29" s="91"/>
      <c r="E29" s="91"/>
      <c r="F29" s="91"/>
      <c r="G29" s="91"/>
      <c r="H29" s="91"/>
      <c r="I29" s="91"/>
      <c r="J29" s="91"/>
      <c r="K29" s="213"/>
      <c r="L29" s="213"/>
      <c r="M29" s="213"/>
      <c r="N29" s="214"/>
      <c r="O29" s="214"/>
      <c r="P29" s="91"/>
      <c r="Q29" s="91"/>
    </row>
    <row r="30" spans="1:17" s="93" customFormat="1" x14ac:dyDescent="0.35">
      <c r="A30" s="90"/>
      <c r="B30" s="91"/>
      <c r="C30" s="91"/>
      <c r="D30" s="91"/>
      <c r="E30" s="91"/>
      <c r="F30" s="91"/>
      <c r="G30" s="91"/>
      <c r="H30" s="91"/>
      <c r="I30" s="91"/>
      <c r="J30" s="91"/>
      <c r="K30" s="213"/>
      <c r="L30" s="213"/>
      <c r="M30" s="213"/>
      <c r="N30" s="214"/>
      <c r="O30" s="214"/>
      <c r="P30" s="91"/>
      <c r="Q30" s="91"/>
    </row>
    <row r="31" spans="1:17" s="93" customFormat="1" x14ac:dyDescent="0.35">
      <c r="A31" s="90"/>
      <c r="B31" s="91"/>
      <c r="C31" s="91"/>
      <c r="D31" s="91"/>
      <c r="E31" s="91"/>
      <c r="F31" s="91"/>
      <c r="G31" s="91"/>
      <c r="H31" s="91"/>
      <c r="I31" s="91"/>
      <c r="J31" s="91"/>
      <c r="K31" s="213"/>
      <c r="L31" s="213"/>
      <c r="M31" s="213"/>
      <c r="N31" s="214"/>
      <c r="O31" s="214"/>
      <c r="P31" s="91"/>
      <c r="Q31" s="91"/>
    </row>
    <row r="32" spans="1:17" s="93" customFormat="1" x14ac:dyDescent="0.35">
      <c r="A32" s="90"/>
      <c r="B32" s="91"/>
      <c r="C32" s="91"/>
      <c r="D32" s="91"/>
      <c r="E32" s="91"/>
      <c r="F32" s="91"/>
      <c r="G32" s="91"/>
      <c r="H32" s="91"/>
      <c r="I32" s="91"/>
      <c r="J32" s="91"/>
      <c r="K32" s="213"/>
      <c r="L32" s="213"/>
      <c r="M32" s="213"/>
      <c r="N32" s="214"/>
      <c r="O32" s="214"/>
      <c r="P32" s="91"/>
      <c r="Q32" s="91"/>
    </row>
    <row r="33" spans="1:17" s="93" customFormat="1" x14ac:dyDescent="0.35">
      <c r="A33" s="90"/>
      <c r="B33" s="91"/>
      <c r="C33" s="91"/>
      <c r="D33" s="91"/>
      <c r="E33" s="91"/>
      <c r="F33" s="91"/>
      <c r="G33" s="91"/>
      <c r="H33" s="91"/>
      <c r="I33" s="91"/>
      <c r="J33" s="91"/>
      <c r="K33" s="213"/>
      <c r="L33" s="213"/>
      <c r="M33" s="213"/>
      <c r="N33" s="214"/>
      <c r="O33" s="214"/>
      <c r="P33" s="91"/>
      <c r="Q33" s="91"/>
    </row>
    <row r="34" spans="1:17" s="93" customFormat="1" x14ac:dyDescent="0.35">
      <c r="A34" s="90"/>
      <c r="B34" s="91"/>
      <c r="C34" s="91"/>
      <c r="D34" s="91"/>
      <c r="E34" s="91"/>
      <c r="F34" s="91"/>
      <c r="G34" s="91"/>
      <c r="H34" s="91"/>
      <c r="I34" s="91"/>
      <c r="J34" s="91"/>
      <c r="K34" s="213"/>
      <c r="L34" s="213"/>
      <c r="M34" s="213"/>
      <c r="N34" s="214"/>
      <c r="O34" s="214"/>
      <c r="P34" s="91"/>
      <c r="Q34" s="91"/>
    </row>
    <row r="35" spans="1:17" s="93" customFormat="1" x14ac:dyDescent="0.35">
      <c r="A35" s="90"/>
      <c r="B35" s="91"/>
      <c r="C35" s="91"/>
      <c r="D35" s="91"/>
      <c r="E35" s="91"/>
      <c r="F35" s="91"/>
      <c r="G35" s="91"/>
      <c r="H35" s="91"/>
      <c r="I35" s="91"/>
      <c r="J35" s="91"/>
      <c r="K35" s="213"/>
      <c r="L35" s="213"/>
      <c r="M35" s="213"/>
      <c r="N35" s="214"/>
      <c r="O35" s="214"/>
      <c r="P35" s="91"/>
      <c r="Q35" s="91"/>
    </row>
    <row r="36" spans="1:17" s="93" customFormat="1" x14ac:dyDescent="0.35">
      <c r="A36" s="90"/>
      <c r="B36" s="91"/>
      <c r="C36" s="91"/>
      <c r="D36" s="91"/>
      <c r="E36" s="91"/>
      <c r="F36" s="91"/>
      <c r="G36" s="91"/>
      <c r="H36" s="91"/>
      <c r="I36" s="91"/>
      <c r="J36" s="91"/>
      <c r="K36" s="213"/>
      <c r="L36" s="213"/>
      <c r="M36" s="213"/>
      <c r="N36" s="214"/>
      <c r="O36" s="214"/>
      <c r="P36" s="91"/>
      <c r="Q36" s="91"/>
    </row>
    <row r="37" spans="1:17" s="93" customFormat="1" x14ac:dyDescent="0.35">
      <c r="A37" s="90"/>
      <c r="B37" s="91"/>
      <c r="C37" s="91"/>
      <c r="D37" s="91"/>
      <c r="E37" s="91"/>
      <c r="F37" s="91"/>
      <c r="G37" s="91"/>
      <c r="H37" s="91"/>
      <c r="I37" s="91"/>
      <c r="J37" s="91"/>
      <c r="K37" s="213"/>
      <c r="L37" s="213"/>
      <c r="M37" s="213"/>
      <c r="N37" s="214"/>
      <c r="O37" s="214"/>
      <c r="P37" s="91"/>
      <c r="Q37" s="91"/>
    </row>
    <row r="38" spans="1:17" s="93" customFormat="1" x14ac:dyDescent="0.35">
      <c r="A38" s="90"/>
      <c r="B38" s="91"/>
      <c r="C38" s="91"/>
      <c r="D38" s="91"/>
      <c r="E38" s="91"/>
      <c r="F38" s="91"/>
      <c r="G38" s="91"/>
      <c r="H38" s="91"/>
      <c r="I38" s="91"/>
      <c r="J38" s="91"/>
      <c r="K38" s="213"/>
      <c r="L38" s="213"/>
      <c r="M38" s="213"/>
      <c r="N38" s="214"/>
      <c r="O38" s="214"/>
      <c r="P38" s="91"/>
      <c r="Q38" s="91"/>
    </row>
    <row r="39" spans="1:17" s="93" customFormat="1" x14ac:dyDescent="0.35">
      <c r="A39" s="90"/>
      <c r="B39" s="91"/>
      <c r="C39" s="91"/>
      <c r="D39" s="91"/>
      <c r="E39" s="91"/>
      <c r="F39" s="91"/>
      <c r="G39" s="91"/>
      <c r="H39" s="91"/>
      <c r="I39" s="91"/>
      <c r="J39" s="91"/>
      <c r="K39" s="213"/>
      <c r="L39" s="213"/>
      <c r="M39" s="213"/>
      <c r="N39" s="214"/>
      <c r="O39" s="214"/>
      <c r="P39" s="91"/>
      <c r="Q39" s="91"/>
    </row>
    <row r="40" spans="1:17" s="93" customFormat="1" x14ac:dyDescent="0.35">
      <c r="A40" s="215"/>
      <c r="B40" s="216"/>
      <c r="C40" s="216"/>
      <c r="D40" s="216"/>
      <c r="E40" s="216"/>
      <c r="F40" s="216"/>
      <c r="G40" s="216"/>
      <c r="H40" s="216"/>
      <c r="I40" s="216"/>
      <c r="J40" s="216"/>
      <c r="K40" s="217"/>
      <c r="L40" s="217"/>
      <c r="M40" s="217"/>
      <c r="N40" s="216"/>
      <c r="O40" s="216"/>
      <c r="P40" s="91"/>
      <c r="Q40" s="91"/>
    </row>
    <row r="41" spans="1:17" s="93" customFormat="1" x14ac:dyDescent="0.35">
      <c r="A41" s="90"/>
      <c r="B41" s="91"/>
      <c r="C41" s="91"/>
      <c r="D41" s="91"/>
      <c r="E41" s="91"/>
      <c r="F41" s="91"/>
      <c r="G41" s="91"/>
      <c r="H41" s="91"/>
      <c r="I41" s="91"/>
      <c r="J41" s="91"/>
      <c r="K41" s="213"/>
      <c r="L41" s="213"/>
      <c r="M41" s="213"/>
      <c r="N41" s="214"/>
      <c r="O41" s="214"/>
      <c r="P41" s="91"/>
      <c r="Q41" s="91"/>
    </row>
    <row r="42" spans="1:17" s="93" customFormat="1" x14ac:dyDescent="0.35">
      <c r="A42" s="90"/>
      <c r="B42" s="91"/>
      <c r="C42" s="91"/>
      <c r="D42" s="91"/>
      <c r="E42" s="91"/>
      <c r="F42" s="91"/>
      <c r="G42" s="91"/>
      <c r="H42" s="91"/>
      <c r="I42" s="91"/>
      <c r="J42" s="91"/>
      <c r="K42" s="213"/>
      <c r="L42" s="213"/>
      <c r="M42" s="213"/>
      <c r="N42" s="214"/>
      <c r="O42" s="214"/>
      <c r="P42" s="91"/>
      <c r="Q42" s="91"/>
    </row>
    <row r="43" spans="1:17" s="93" customFormat="1" x14ac:dyDescent="0.35">
      <c r="A43" s="90"/>
      <c r="B43" s="91"/>
      <c r="C43" s="91"/>
      <c r="D43" s="91"/>
      <c r="E43" s="91"/>
      <c r="F43" s="91"/>
      <c r="G43" s="91"/>
      <c r="H43" s="91"/>
      <c r="I43" s="91"/>
      <c r="J43" s="91"/>
      <c r="K43" s="213"/>
      <c r="L43" s="213"/>
      <c r="M43" s="213"/>
      <c r="N43" s="214"/>
      <c r="O43" s="214"/>
      <c r="P43" s="91"/>
      <c r="Q43" s="91"/>
    </row>
    <row r="44" spans="1:17" s="93" customFormat="1" x14ac:dyDescent="0.35">
      <c r="A44" s="90"/>
      <c r="B44" s="91"/>
      <c r="C44" s="91"/>
      <c r="D44" s="91"/>
      <c r="E44" s="91"/>
      <c r="F44" s="91"/>
      <c r="G44" s="91"/>
      <c r="H44" s="91"/>
      <c r="I44" s="91"/>
      <c r="J44" s="91"/>
      <c r="K44" s="213"/>
      <c r="L44" s="213"/>
      <c r="M44" s="213"/>
      <c r="N44" s="214"/>
      <c r="O44" s="214"/>
      <c r="P44" s="91"/>
      <c r="Q44" s="91"/>
    </row>
    <row r="45" spans="1:17" s="93" customFormat="1" x14ac:dyDescent="0.35">
      <c r="A45" s="90"/>
      <c r="B45" s="91"/>
      <c r="C45" s="91"/>
      <c r="D45" s="91"/>
      <c r="E45" s="91"/>
      <c r="F45" s="91"/>
      <c r="G45" s="91"/>
      <c r="H45" s="91"/>
      <c r="I45" s="91"/>
      <c r="J45" s="91"/>
      <c r="K45" s="213"/>
      <c r="L45" s="213"/>
      <c r="M45" s="213"/>
      <c r="N45" s="214"/>
      <c r="O45" s="214"/>
      <c r="P45" s="91"/>
      <c r="Q45" s="91"/>
    </row>
    <row r="46" spans="1:17" s="93" customFormat="1" x14ac:dyDescent="0.35">
      <c r="A46" s="90"/>
      <c r="B46" s="91"/>
      <c r="C46" s="91"/>
      <c r="D46" s="91"/>
      <c r="E46" s="91"/>
      <c r="F46" s="91"/>
      <c r="G46" s="91"/>
      <c r="H46" s="91"/>
      <c r="I46" s="91"/>
      <c r="J46" s="91"/>
      <c r="K46" s="213"/>
      <c r="L46" s="213"/>
      <c r="M46" s="213"/>
      <c r="N46" s="214"/>
      <c r="O46" s="214"/>
      <c r="P46" s="91"/>
      <c r="Q46" s="91"/>
    </row>
    <row r="47" spans="1:17" s="93" customFormat="1" x14ac:dyDescent="0.35">
      <c r="A47" s="90"/>
      <c r="B47" s="91"/>
      <c r="C47" s="91"/>
      <c r="D47" s="91"/>
      <c r="E47" s="91"/>
      <c r="F47" s="91"/>
      <c r="G47" s="91"/>
      <c r="H47" s="91"/>
      <c r="I47" s="91"/>
      <c r="J47" s="91"/>
      <c r="K47" s="213"/>
      <c r="L47" s="213"/>
      <c r="M47" s="213"/>
      <c r="N47" s="214"/>
      <c r="O47" s="214"/>
      <c r="P47" s="91"/>
      <c r="Q47" s="91"/>
    </row>
    <row r="48" spans="1:17" s="93" customFormat="1" x14ac:dyDescent="0.35">
      <c r="A48" s="90"/>
      <c r="B48" s="91"/>
      <c r="C48" s="91"/>
      <c r="D48" s="91"/>
      <c r="E48" s="91"/>
      <c r="F48" s="91"/>
      <c r="G48" s="91"/>
      <c r="H48" s="91"/>
      <c r="I48" s="91"/>
      <c r="J48" s="91"/>
      <c r="K48" s="213"/>
      <c r="L48" s="213"/>
      <c r="M48" s="213"/>
      <c r="N48" s="214"/>
      <c r="O48" s="214"/>
      <c r="P48" s="91"/>
      <c r="Q48" s="91"/>
    </row>
    <row r="49" spans="1:17" s="93" customFormat="1" x14ac:dyDescent="0.35">
      <c r="A49" s="90"/>
      <c r="B49" s="91"/>
      <c r="C49" s="91"/>
      <c r="D49" s="91"/>
      <c r="E49" s="91"/>
      <c r="F49" s="91"/>
      <c r="G49" s="91"/>
      <c r="H49" s="91"/>
      <c r="I49" s="91"/>
      <c r="J49" s="91"/>
      <c r="K49" s="213"/>
      <c r="L49" s="213"/>
      <c r="M49" s="213"/>
      <c r="N49" s="214"/>
      <c r="O49" s="214"/>
      <c r="P49" s="91"/>
      <c r="Q49" s="91"/>
    </row>
    <row r="50" spans="1:17" s="93" customFormat="1" x14ac:dyDescent="0.35">
      <c r="A50" s="90"/>
      <c r="B50" s="91"/>
      <c r="C50" s="91"/>
      <c r="D50" s="91"/>
      <c r="E50" s="91"/>
      <c r="F50" s="91"/>
      <c r="G50" s="91"/>
      <c r="H50" s="91"/>
      <c r="I50" s="91"/>
      <c r="J50" s="91"/>
      <c r="K50" s="213"/>
      <c r="L50" s="213"/>
      <c r="M50" s="213"/>
      <c r="N50" s="214"/>
      <c r="O50" s="214"/>
      <c r="P50" s="91"/>
      <c r="Q50" s="91"/>
    </row>
    <row r="51" spans="1:17" s="93" customFormat="1" x14ac:dyDescent="0.35">
      <c r="A51" s="90"/>
      <c r="B51" s="91"/>
      <c r="C51" s="91"/>
      <c r="D51" s="91"/>
      <c r="E51" s="91"/>
      <c r="F51" s="91"/>
      <c r="G51" s="91"/>
      <c r="H51" s="91"/>
      <c r="I51" s="91"/>
      <c r="J51" s="91"/>
      <c r="K51" s="213"/>
      <c r="L51" s="213"/>
      <c r="M51" s="213"/>
      <c r="N51" s="214"/>
      <c r="O51" s="214"/>
      <c r="P51" s="91"/>
      <c r="Q51" s="91"/>
    </row>
    <row r="52" spans="1:17" s="93" customFormat="1" x14ac:dyDescent="0.35">
      <c r="A52" s="90"/>
      <c r="B52" s="91"/>
      <c r="C52" s="91"/>
      <c r="D52" s="91"/>
      <c r="E52" s="91"/>
      <c r="F52" s="91"/>
      <c r="G52" s="91"/>
      <c r="H52" s="91"/>
      <c r="I52" s="91"/>
      <c r="J52" s="91"/>
      <c r="K52" s="213"/>
      <c r="L52" s="213"/>
      <c r="M52" s="213"/>
      <c r="N52" s="214"/>
      <c r="O52" s="214"/>
      <c r="P52" s="91"/>
      <c r="Q52" s="91"/>
    </row>
    <row r="53" spans="1:17" s="93" customFormat="1" x14ac:dyDescent="0.35">
      <c r="A53" s="90"/>
      <c r="B53" s="91"/>
      <c r="C53" s="91"/>
      <c r="D53" s="91"/>
      <c r="E53" s="91"/>
      <c r="F53" s="91"/>
      <c r="G53" s="91"/>
      <c r="H53" s="91"/>
      <c r="I53" s="91"/>
      <c r="J53" s="91"/>
      <c r="K53" s="213"/>
      <c r="L53" s="213"/>
      <c r="M53" s="213"/>
      <c r="N53" s="214"/>
      <c r="O53" s="214"/>
      <c r="P53" s="91"/>
      <c r="Q53" s="91"/>
    </row>
    <row r="54" spans="1:17" s="93" customFormat="1" x14ac:dyDescent="0.35">
      <c r="A54" s="90"/>
      <c r="B54" s="91"/>
      <c r="C54" s="91"/>
      <c r="D54" s="91"/>
      <c r="E54" s="91"/>
      <c r="F54" s="91"/>
      <c r="G54" s="91"/>
      <c r="H54" s="91"/>
      <c r="I54" s="91"/>
      <c r="J54" s="91"/>
      <c r="K54" s="213"/>
      <c r="L54" s="213"/>
      <c r="M54" s="213"/>
      <c r="N54" s="214"/>
      <c r="O54" s="214"/>
      <c r="P54" s="91"/>
      <c r="Q54" s="91"/>
    </row>
    <row r="55" spans="1:17" s="93" customFormat="1" x14ac:dyDescent="0.35">
      <c r="A55" s="90"/>
      <c r="B55" s="91"/>
      <c r="C55" s="91"/>
      <c r="D55" s="91"/>
      <c r="E55" s="91"/>
      <c r="F55" s="91"/>
      <c r="G55" s="91"/>
      <c r="H55" s="91"/>
      <c r="I55" s="91"/>
      <c r="J55" s="91"/>
      <c r="K55" s="213"/>
      <c r="L55" s="213"/>
      <c r="M55" s="213"/>
      <c r="N55" s="214"/>
      <c r="O55" s="214"/>
      <c r="P55" s="91"/>
      <c r="Q55" s="91"/>
    </row>
    <row r="56" spans="1:17" s="93" customFormat="1" x14ac:dyDescent="0.35">
      <c r="A56" s="90"/>
      <c r="B56" s="91"/>
      <c r="C56" s="91"/>
      <c r="D56" s="91"/>
      <c r="E56" s="91"/>
      <c r="F56" s="91"/>
      <c r="G56" s="91"/>
      <c r="H56" s="91"/>
      <c r="I56" s="91"/>
      <c r="J56" s="91"/>
      <c r="K56" s="213"/>
      <c r="L56" s="213"/>
      <c r="M56" s="213"/>
      <c r="N56" s="214"/>
      <c r="O56" s="214"/>
      <c r="P56" s="91"/>
      <c r="Q56" s="91"/>
    </row>
    <row r="57" spans="1:17" s="93" customFormat="1" x14ac:dyDescent="0.35">
      <c r="A57" s="90"/>
      <c r="B57" s="91"/>
      <c r="C57" s="91"/>
      <c r="D57" s="91"/>
      <c r="E57" s="91"/>
      <c r="F57" s="91"/>
      <c r="G57" s="91"/>
      <c r="H57" s="91"/>
      <c r="I57" s="91"/>
      <c r="J57" s="91"/>
      <c r="K57" s="213"/>
      <c r="L57" s="213"/>
      <c r="M57" s="213"/>
      <c r="N57" s="214"/>
      <c r="O57" s="214"/>
      <c r="P57" s="91"/>
      <c r="Q57" s="91"/>
    </row>
    <row r="58" spans="1:17" s="93" customFormat="1" x14ac:dyDescent="0.35">
      <c r="A58" s="90"/>
      <c r="B58" s="91"/>
      <c r="C58" s="91"/>
      <c r="D58" s="91"/>
      <c r="E58" s="91"/>
      <c r="F58" s="91"/>
      <c r="G58" s="91"/>
      <c r="H58" s="91"/>
      <c r="I58" s="91"/>
      <c r="J58" s="91"/>
      <c r="K58" s="213"/>
      <c r="L58" s="213"/>
      <c r="M58" s="213"/>
      <c r="N58" s="214"/>
      <c r="O58" s="214"/>
      <c r="P58" s="91"/>
      <c r="Q58" s="91"/>
    </row>
    <row r="59" spans="1:17" s="93" customFormat="1" x14ac:dyDescent="0.35">
      <c r="A59" s="90"/>
      <c r="B59" s="91"/>
      <c r="C59" s="91"/>
      <c r="D59" s="91"/>
      <c r="E59" s="91"/>
      <c r="F59" s="91"/>
      <c r="G59" s="91"/>
      <c r="H59" s="91"/>
      <c r="I59" s="91"/>
      <c r="J59" s="91"/>
      <c r="K59" s="213"/>
      <c r="L59" s="213"/>
      <c r="M59" s="213"/>
      <c r="N59" s="214"/>
      <c r="O59" s="214"/>
      <c r="P59" s="91"/>
      <c r="Q59" s="91"/>
    </row>
    <row r="60" spans="1:17" s="93" customFormat="1" x14ac:dyDescent="0.35">
      <c r="A60" s="90"/>
      <c r="B60" s="91"/>
      <c r="C60" s="91"/>
      <c r="D60" s="91"/>
      <c r="E60" s="91"/>
      <c r="F60" s="91"/>
      <c r="G60" s="91"/>
      <c r="H60" s="91"/>
      <c r="I60" s="91"/>
      <c r="J60" s="91"/>
      <c r="K60" s="213"/>
      <c r="L60" s="213"/>
      <c r="M60" s="213"/>
      <c r="N60" s="214"/>
      <c r="O60" s="214"/>
      <c r="P60" s="91"/>
      <c r="Q60" s="91"/>
    </row>
    <row r="61" spans="1:17" s="93" customFormat="1" x14ac:dyDescent="0.35">
      <c r="A61" s="90"/>
      <c r="B61" s="91"/>
      <c r="C61" s="91"/>
      <c r="D61" s="91"/>
      <c r="E61" s="91"/>
      <c r="F61" s="91"/>
      <c r="G61" s="91"/>
      <c r="H61" s="91"/>
      <c r="I61" s="91"/>
      <c r="J61" s="91"/>
      <c r="K61" s="213"/>
      <c r="L61" s="213"/>
      <c r="M61" s="213"/>
      <c r="N61" s="214"/>
      <c r="O61" s="214"/>
      <c r="P61" s="91"/>
      <c r="Q61" s="91"/>
    </row>
    <row r="62" spans="1:17" s="93" customFormat="1" x14ac:dyDescent="0.35">
      <c r="A62" s="90"/>
      <c r="B62" s="91"/>
      <c r="C62" s="91"/>
      <c r="D62" s="91"/>
      <c r="E62" s="91"/>
      <c r="F62" s="91"/>
      <c r="G62" s="91"/>
      <c r="H62" s="91"/>
      <c r="I62" s="91"/>
      <c r="J62" s="91"/>
      <c r="K62" s="213"/>
      <c r="L62" s="213"/>
      <c r="M62" s="213"/>
      <c r="N62" s="214"/>
      <c r="O62" s="214"/>
      <c r="P62" s="91"/>
      <c r="Q62" s="91"/>
    </row>
    <row r="63" spans="1:17" s="93" customFormat="1" x14ac:dyDescent="0.35">
      <c r="A63" s="90"/>
      <c r="B63" s="91"/>
      <c r="C63" s="91"/>
      <c r="D63" s="91"/>
      <c r="E63" s="91"/>
      <c r="F63" s="91"/>
      <c r="G63" s="91"/>
      <c r="H63" s="91"/>
      <c r="I63" s="91"/>
      <c r="J63" s="91"/>
      <c r="K63" s="213"/>
      <c r="L63" s="213"/>
      <c r="M63" s="213"/>
      <c r="N63" s="214"/>
      <c r="O63" s="214"/>
      <c r="P63" s="91"/>
      <c r="Q63" s="91"/>
    </row>
    <row r="64" spans="1:17" s="93" customFormat="1" x14ac:dyDescent="0.35">
      <c r="A64" s="90"/>
      <c r="B64" s="91"/>
      <c r="C64" s="91"/>
      <c r="D64" s="91"/>
      <c r="E64" s="91"/>
      <c r="F64" s="91"/>
      <c r="G64" s="91"/>
      <c r="H64" s="91"/>
      <c r="I64" s="91"/>
      <c r="J64" s="91"/>
      <c r="K64" s="213"/>
      <c r="L64" s="213"/>
      <c r="M64" s="213"/>
      <c r="N64" s="214"/>
      <c r="O64" s="214"/>
      <c r="P64" s="91"/>
      <c r="Q64" s="91"/>
    </row>
    <row r="65" spans="1:17" s="93" customFormat="1" x14ac:dyDescent="0.35">
      <c r="A65" s="90"/>
      <c r="B65" s="91"/>
      <c r="C65" s="91"/>
      <c r="D65" s="91"/>
      <c r="E65" s="91"/>
      <c r="F65" s="91"/>
      <c r="G65" s="91"/>
      <c r="H65" s="91"/>
      <c r="I65" s="91"/>
      <c r="J65" s="91"/>
      <c r="K65" s="213"/>
      <c r="L65" s="213"/>
      <c r="M65" s="213"/>
      <c r="N65" s="214"/>
      <c r="O65" s="214"/>
      <c r="P65" s="91"/>
      <c r="Q65" s="91"/>
    </row>
    <row r="66" spans="1:17" s="93" customFormat="1" x14ac:dyDescent="0.35">
      <c r="A66" s="90"/>
      <c r="B66" s="91"/>
      <c r="C66" s="91"/>
      <c r="D66" s="91"/>
      <c r="E66" s="91"/>
      <c r="F66" s="91"/>
      <c r="G66" s="91"/>
      <c r="H66" s="91"/>
      <c r="I66" s="91"/>
      <c r="J66" s="91"/>
      <c r="K66" s="213"/>
      <c r="L66" s="213"/>
      <c r="M66" s="213"/>
      <c r="N66" s="214"/>
      <c r="O66" s="214"/>
      <c r="P66" s="91"/>
      <c r="Q66" s="91"/>
    </row>
    <row r="67" spans="1:17" s="93" customFormat="1" x14ac:dyDescent="0.35">
      <c r="A67" s="90"/>
      <c r="B67" s="91"/>
      <c r="C67" s="91"/>
      <c r="D67" s="91"/>
      <c r="E67" s="91"/>
      <c r="F67" s="91"/>
      <c r="G67" s="91"/>
      <c r="H67" s="91"/>
      <c r="I67" s="91"/>
      <c r="J67" s="91"/>
      <c r="K67" s="213"/>
      <c r="L67" s="213"/>
      <c r="M67" s="213"/>
      <c r="N67" s="214"/>
      <c r="O67" s="214"/>
      <c r="P67" s="91"/>
      <c r="Q67" s="91"/>
    </row>
    <row r="68" spans="1:17" s="93" customFormat="1" x14ac:dyDescent="0.35">
      <c r="A68" s="90"/>
      <c r="B68" s="91"/>
      <c r="C68" s="91"/>
      <c r="D68" s="91"/>
      <c r="E68" s="91"/>
      <c r="F68" s="91"/>
      <c r="G68" s="91"/>
      <c r="H68" s="91"/>
      <c r="I68" s="91"/>
      <c r="J68" s="91"/>
      <c r="K68" s="213"/>
      <c r="L68" s="213"/>
      <c r="M68" s="213"/>
      <c r="N68" s="214"/>
      <c r="O68" s="214"/>
      <c r="P68" s="91"/>
      <c r="Q68" s="91"/>
    </row>
    <row r="69" spans="1:17" s="93" customFormat="1" x14ac:dyDescent="0.35">
      <c r="A69" s="90"/>
      <c r="B69" s="91"/>
      <c r="C69" s="91"/>
      <c r="D69" s="91"/>
      <c r="E69" s="91"/>
      <c r="F69" s="91"/>
      <c r="G69" s="91"/>
      <c r="H69" s="91"/>
      <c r="I69" s="91"/>
      <c r="J69" s="91"/>
      <c r="K69" s="213"/>
      <c r="L69" s="213"/>
      <c r="M69" s="213"/>
      <c r="N69" s="214"/>
      <c r="O69" s="214"/>
      <c r="P69" s="91"/>
      <c r="Q69" s="91"/>
    </row>
    <row r="70" spans="1:17" s="93" customFormat="1" x14ac:dyDescent="0.35">
      <c r="A70" s="90"/>
      <c r="B70" s="91"/>
      <c r="C70" s="91"/>
      <c r="D70" s="91"/>
      <c r="E70" s="91"/>
      <c r="F70" s="91"/>
      <c r="G70" s="91"/>
      <c r="H70" s="91"/>
      <c r="I70" s="91"/>
      <c r="J70" s="91"/>
      <c r="K70" s="213"/>
      <c r="L70" s="213"/>
      <c r="M70" s="213"/>
      <c r="N70" s="214"/>
      <c r="O70" s="214"/>
      <c r="P70" s="91"/>
      <c r="Q70" s="91"/>
    </row>
    <row r="71" spans="1:17" s="93" customFormat="1" x14ac:dyDescent="0.35">
      <c r="A71" s="90"/>
      <c r="B71" s="91"/>
      <c r="C71" s="91"/>
      <c r="D71" s="91"/>
      <c r="E71" s="91"/>
      <c r="F71" s="91"/>
      <c r="G71" s="91"/>
      <c r="H71" s="91"/>
      <c r="I71" s="91"/>
      <c r="J71" s="91"/>
      <c r="K71" s="213"/>
      <c r="L71" s="213"/>
      <c r="M71" s="213"/>
      <c r="N71" s="214"/>
      <c r="O71" s="214"/>
      <c r="P71" s="91"/>
      <c r="Q71" s="91"/>
    </row>
    <row r="72" spans="1:17" s="93" customFormat="1" x14ac:dyDescent="0.35">
      <c r="A72" s="90"/>
      <c r="B72" s="91"/>
      <c r="C72" s="91"/>
      <c r="D72" s="91"/>
      <c r="E72" s="91"/>
      <c r="F72" s="91"/>
      <c r="G72" s="91"/>
      <c r="H72" s="91"/>
      <c r="I72" s="91"/>
      <c r="J72" s="91"/>
      <c r="K72" s="213"/>
      <c r="L72" s="213"/>
      <c r="M72" s="213"/>
      <c r="N72" s="214"/>
      <c r="O72" s="214"/>
      <c r="P72" s="91"/>
      <c r="Q72" s="91"/>
    </row>
    <row r="73" spans="1:17" s="93" customFormat="1" x14ac:dyDescent="0.35">
      <c r="A73" s="215"/>
      <c r="B73" s="216"/>
      <c r="C73" s="216"/>
      <c r="D73" s="216"/>
      <c r="E73" s="216"/>
      <c r="F73" s="216"/>
      <c r="G73" s="216"/>
      <c r="H73" s="216"/>
      <c r="I73" s="216"/>
      <c r="J73" s="216"/>
      <c r="K73" s="217"/>
      <c r="L73" s="217"/>
      <c r="M73" s="217"/>
      <c r="N73" s="216"/>
      <c r="O73" s="216"/>
      <c r="P73" s="91"/>
      <c r="Q73" s="91"/>
    </row>
    <row r="74" spans="1:17" s="93" customFormat="1" x14ac:dyDescent="0.35">
      <c r="A74" s="90"/>
      <c r="B74" s="91"/>
      <c r="C74" s="91"/>
      <c r="D74" s="91"/>
      <c r="E74" s="91"/>
      <c r="F74" s="91"/>
      <c r="G74" s="91"/>
      <c r="H74" s="91"/>
      <c r="I74" s="91"/>
      <c r="J74" s="91"/>
      <c r="K74" s="213"/>
      <c r="L74" s="213"/>
      <c r="M74" s="213"/>
      <c r="N74" s="214"/>
      <c r="O74" s="214"/>
      <c r="P74" s="91"/>
      <c r="Q74" s="91"/>
    </row>
    <row r="75" spans="1:17" s="93" customFormat="1" x14ac:dyDescent="0.35">
      <c r="A75" s="90"/>
      <c r="B75" s="91"/>
      <c r="C75" s="91"/>
      <c r="D75" s="91"/>
      <c r="E75" s="91"/>
      <c r="F75" s="91"/>
      <c r="G75" s="91"/>
      <c r="H75" s="91"/>
      <c r="I75" s="91"/>
      <c r="J75" s="91"/>
      <c r="K75" s="213"/>
      <c r="L75" s="213"/>
      <c r="M75" s="213"/>
      <c r="N75" s="214"/>
      <c r="O75" s="214"/>
      <c r="P75" s="91"/>
      <c r="Q75" s="91"/>
    </row>
    <row r="76" spans="1:17" s="93" customFormat="1" x14ac:dyDescent="0.35">
      <c r="A76" s="90"/>
      <c r="B76" s="91"/>
      <c r="C76" s="91"/>
      <c r="D76" s="91"/>
      <c r="E76" s="91"/>
      <c r="F76" s="91"/>
      <c r="G76" s="91"/>
      <c r="H76" s="91"/>
      <c r="I76" s="91"/>
      <c r="J76" s="91"/>
      <c r="K76" s="213"/>
      <c r="L76" s="213"/>
      <c r="M76" s="213"/>
      <c r="N76" s="214"/>
      <c r="O76" s="214"/>
      <c r="P76" s="91"/>
      <c r="Q76" s="91"/>
    </row>
    <row r="77" spans="1:17" s="93" customFormat="1" x14ac:dyDescent="0.35">
      <c r="A77" s="90"/>
      <c r="B77" s="91"/>
      <c r="C77" s="91"/>
      <c r="D77" s="91"/>
      <c r="E77" s="91"/>
      <c r="F77" s="91"/>
      <c r="G77" s="91"/>
      <c r="H77" s="91"/>
      <c r="I77" s="91"/>
      <c r="J77" s="91"/>
      <c r="K77" s="213"/>
      <c r="L77" s="213"/>
      <c r="M77" s="213"/>
      <c r="N77" s="214"/>
      <c r="O77" s="214"/>
      <c r="P77" s="91"/>
      <c r="Q77" s="91"/>
    </row>
    <row r="78" spans="1:17" s="93" customFormat="1" x14ac:dyDescent="0.35">
      <c r="A78" s="90"/>
      <c r="B78" s="91"/>
      <c r="C78" s="91"/>
      <c r="D78" s="91"/>
      <c r="E78" s="91"/>
      <c r="F78" s="91"/>
      <c r="G78" s="91"/>
      <c r="H78" s="91"/>
      <c r="I78" s="91"/>
      <c r="J78" s="91"/>
      <c r="K78" s="213"/>
      <c r="L78" s="213"/>
      <c r="M78" s="213"/>
      <c r="N78" s="214"/>
      <c r="O78" s="214"/>
      <c r="P78" s="91"/>
      <c r="Q78" s="91"/>
    </row>
    <row r="79" spans="1:17" s="93" customFormat="1" x14ac:dyDescent="0.35">
      <c r="A79" s="90"/>
      <c r="B79" s="91"/>
      <c r="C79" s="91"/>
      <c r="D79" s="91"/>
      <c r="E79" s="91"/>
      <c r="F79" s="91"/>
      <c r="G79" s="91"/>
      <c r="H79" s="91"/>
      <c r="I79" s="91"/>
      <c r="J79" s="91"/>
      <c r="K79" s="213"/>
      <c r="L79" s="213"/>
      <c r="M79" s="213"/>
      <c r="N79" s="214"/>
      <c r="O79" s="214"/>
      <c r="P79" s="91"/>
      <c r="Q79" s="91"/>
    </row>
    <row r="80" spans="1:17" s="93" customFormat="1" x14ac:dyDescent="0.35">
      <c r="A80" s="90"/>
      <c r="B80" s="91"/>
      <c r="C80" s="91"/>
      <c r="D80" s="91"/>
      <c r="E80" s="91"/>
      <c r="F80" s="91"/>
      <c r="G80" s="91"/>
      <c r="H80" s="91"/>
      <c r="I80" s="91"/>
      <c r="J80" s="91"/>
      <c r="K80" s="213"/>
      <c r="L80" s="213"/>
      <c r="M80" s="213"/>
      <c r="N80" s="214"/>
      <c r="O80" s="214"/>
      <c r="P80" s="91"/>
      <c r="Q80" s="91"/>
    </row>
    <row r="81" spans="1:17" s="93" customFormat="1" x14ac:dyDescent="0.35">
      <c r="A81" s="90"/>
      <c r="B81" s="91"/>
      <c r="C81" s="91"/>
      <c r="D81" s="91"/>
      <c r="E81" s="91"/>
      <c r="F81" s="91"/>
      <c r="G81" s="91"/>
      <c r="H81" s="91"/>
      <c r="I81" s="91"/>
      <c r="J81" s="91"/>
      <c r="K81" s="213"/>
      <c r="L81" s="213"/>
      <c r="M81" s="213"/>
      <c r="N81" s="214"/>
      <c r="O81" s="214"/>
      <c r="P81" s="91"/>
      <c r="Q81" s="91"/>
    </row>
    <row r="82" spans="1:17" s="93" customFormat="1" x14ac:dyDescent="0.35">
      <c r="A82" s="90"/>
      <c r="B82" s="91"/>
      <c r="C82" s="91"/>
      <c r="D82" s="91"/>
      <c r="E82" s="91"/>
      <c r="F82" s="91"/>
      <c r="G82" s="91"/>
      <c r="H82" s="91"/>
      <c r="I82" s="91"/>
      <c r="J82" s="91"/>
      <c r="K82" s="213"/>
      <c r="L82" s="213"/>
      <c r="M82" s="213"/>
      <c r="N82" s="214"/>
      <c r="O82" s="214"/>
      <c r="P82" s="91"/>
      <c r="Q82" s="91"/>
    </row>
    <row r="83" spans="1:17" s="93" customFormat="1" x14ac:dyDescent="0.35">
      <c r="A83" s="90"/>
      <c r="B83" s="91"/>
      <c r="C83" s="91"/>
      <c r="D83" s="91"/>
      <c r="E83" s="91"/>
      <c r="F83" s="91"/>
      <c r="G83" s="91"/>
      <c r="H83" s="91"/>
      <c r="I83" s="91"/>
      <c r="J83" s="91"/>
      <c r="K83" s="213"/>
      <c r="L83" s="213"/>
      <c r="M83" s="213"/>
      <c r="N83" s="214"/>
      <c r="O83" s="214"/>
      <c r="P83" s="91"/>
      <c r="Q83" s="91"/>
    </row>
    <row r="84" spans="1:17" s="93" customFormat="1" x14ac:dyDescent="0.35">
      <c r="A84" s="90"/>
      <c r="B84" s="91"/>
      <c r="C84" s="91"/>
      <c r="D84" s="91"/>
      <c r="E84" s="91"/>
      <c r="F84" s="91"/>
      <c r="G84" s="91"/>
      <c r="H84" s="91"/>
      <c r="I84" s="91"/>
      <c r="J84" s="91"/>
      <c r="K84" s="213"/>
      <c r="L84" s="213"/>
      <c r="M84" s="213"/>
      <c r="N84" s="214"/>
      <c r="O84" s="214"/>
      <c r="P84" s="91"/>
      <c r="Q84" s="91"/>
    </row>
    <row r="85" spans="1:17" s="93" customFormat="1" x14ac:dyDescent="0.35">
      <c r="A85" s="90"/>
      <c r="B85" s="91"/>
      <c r="C85" s="91"/>
      <c r="D85" s="91"/>
      <c r="E85" s="91"/>
      <c r="F85" s="91"/>
      <c r="G85" s="91"/>
      <c r="H85" s="91"/>
      <c r="I85" s="91"/>
      <c r="J85" s="91"/>
      <c r="K85" s="213"/>
      <c r="L85" s="213"/>
      <c r="M85" s="213"/>
      <c r="N85" s="214"/>
      <c r="O85" s="214"/>
      <c r="P85" s="91"/>
      <c r="Q85" s="91"/>
    </row>
    <row r="86" spans="1:17" s="93" customFormat="1" x14ac:dyDescent="0.35">
      <c r="A86" s="90"/>
      <c r="B86" s="91"/>
      <c r="C86" s="91"/>
      <c r="D86" s="91"/>
      <c r="E86" s="91"/>
      <c r="F86" s="91"/>
      <c r="G86" s="91"/>
      <c r="H86" s="91"/>
      <c r="I86" s="91"/>
      <c r="J86" s="91"/>
      <c r="K86" s="213"/>
      <c r="L86" s="213"/>
      <c r="M86" s="213"/>
      <c r="N86" s="214"/>
      <c r="O86" s="214"/>
      <c r="P86" s="91"/>
      <c r="Q86" s="91"/>
    </row>
    <row r="87" spans="1:17" s="93" customFormat="1" x14ac:dyDescent="0.35">
      <c r="A87" s="90"/>
      <c r="B87" s="91"/>
      <c r="C87" s="91"/>
      <c r="D87" s="91"/>
      <c r="E87" s="91"/>
      <c r="F87" s="91"/>
      <c r="G87" s="91"/>
      <c r="H87" s="91"/>
      <c r="I87" s="91"/>
      <c r="J87" s="91"/>
      <c r="K87" s="213"/>
      <c r="L87" s="213"/>
      <c r="M87" s="213"/>
      <c r="N87" s="214"/>
      <c r="O87" s="214"/>
      <c r="P87" s="91"/>
      <c r="Q87" s="91"/>
    </row>
    <row r="88" spans="1:17" s="93" customFormat="1" x14ac:dyDescent="0.35">
      <c r="A88" s="90"/>
      <c r="B88" s="91"/>
      <c r="C88" s="91"/>
      <c r="D88" s="91"/>
      <c r="E88" s="91"/>
      <c r="F88" s="91"/>
      <c r="G88" s="91"/>
      <c r="H88" s="91"/>
      <c r="I88" s="91"/>
      <c r="J88" s="91"/>
      <c r="K88" s="213"/>
      <c r="L88" s="213"/>
      <c r="M88" s="213"/>
      <c r="N88" s="214"/>
      <c r="O88" s="214"/>
      <c r="P88" s="91"/>
      <c r="Q88" s="91"/>
    </row>
    <row r="89" spans="1:17" s="93" customFormat="1" x14ac:dyDescent="0.35">
      <c r="A89" s="90"/>
      <c r="B89" s="91"/>
      <c r="C89" s="91"/>
      <c r="D89" s="91"/>
      <c r="E89" s="91"/>
      <c r="F89" s="91"/>
      <c r="G89" s="91"/>
      <c r="H89" s="91"/>
      <c r="I89" s="91"/>
      <c r="J89" s="91"/>
      <c r="K89" s="213"/>
      <c r="L89" s="213"/>
      <c r="M89" s="213"/>
      <c r="N89" s="214"/>
      <c r="O89" s="214"/>
      <c r="P89" s="91"/>
      <c r="Q89" s="91"/>
    </row>
    <row r="90" spans="1:17" s="93" customFormat="1" x14ac:dyDescent="0.35">
      <c r="A90" s="90"/>
      <c r="B90" s="91"/>
      <c r="C90" s="91"/>
      <c r="D90" s="91"/>
      <c r="E90" s="91"/>
      <c r="F90" s="91"/>
      <c r="G90" s="91"/>
      <c r="H90" s="91"/>
      <c r="I90" s="91"/>
      <c r="J90" s="91"/>
      <c r="K90" s="213"/>
      <c r="L90" s="213"/>
      <c r="M90" s="213"/>
      <c r="N90" s="214"/>
      <c r="O90" s="214"/>
      <c r="P90" s="91"/>
      <c r="Q90" s="91"/>
    </row>
    <row r="91" spans="1:17" s="93" customFormat="1" x14ac:dyDescent="0.35">
      <c r="A91" s="90"/>
      <c r="B91" s="91"/>
      <c r="C91" s="91"/>
      <c r="D91" s="91"/>
      <c r="E91" s="91"/>
      <c r="F91" s="91"/>
      <c r="G91" s="91"/>
      <c r="H91" s="91"/>
      <c r="I91" s="91"/>
      <c r="J91" s="91"/>
      <c r="K91" s="213"/>
      <c r="L91" s="213"/>
      <c r="M91" s="213"/>
      <c r="N91" s="214"/>
      <c r="O91" s="214"/>
      <c r="P91" s="91"/>
      <c r="Q91" s="91"/>
    </row>
    <row r="92" spans="1:17" s="93" customFormat="1" x14ac:dyDescent="0.35">
      <c r="A92" s="215"/>
      <c r="B92" s="216"/>
      <c r="C92" s="216"/>
      <c r="D92" s="216"/>
      <c r="E92" s="216"/>
      <c r="F92" s="216"/>
      <c r="G92" s="216"/>
      <c r="H92" s="216"/>
      <c r="I92" s="216"/>
      <c r="J92" s="216"/>
      <c r="K92" s="217"/>
      <c r="L92" s="217"/>
      <c r="M92" s="217"/>
      <c r="N92" s="216"/>
      <c r="O92" s="216"/>
      <c r="P92" s="91"/>
      <c r="Q92" s="91"/>
    </row>
    <row r="93" spans="1:17" s="93" customFormat="1" x14ac:dyDescent="0.35">
      <c r="A93" s="90"/>
      <c r="B93" s="91"/>
      <c r="C93" s="91"/>
      <c r="D93" s="91"/>
      <c r="E93" s="91"/>
      <c r="F93" s="91"/>
      <c r="G93" s="91"/>
      <c r="H93" s="91"/>
      <c r="I93" s="91"/>
      <c r="J93" s="91"/>
      <c r="K93" s="213"/>
      <c r="L93" s="213"/>
      <c r="M93" s="213"/>
      <c r="N93" s="214"/>
      <c r="O93" s="214"/>
      <c r="P93" s="91"/>
      <c r="Q93" s="91"/>
    </row>
    <row r="94" spans="1:17" s="93" customFormat="1" x14ac:dyDescent="0.35">
      <c r="A94" s="90"/>
      <c r="B94" s="91"/>
      <c r="C94" s="91"/>
      <c r="D94" s="91"/>
      <c r="E94" s="91"/>
      <c r="F94" s="91"/>
      <c r="G94" s="91"/>
      <c r="H94" s="91"/>
      <c r="I94" s="91"/>
      <c r="J94" s="91"/>
      <c r="K94" s="213"/>
      <c r="L94" s="213"/>
      <c r="M94" s="213"/>
      <c r="N94" s="214"/>
      <c r="O94" s="214"/>
      <c r="P94" s="91"/>
      <c r="Q94" s="91"/>
    </row>
    <row r="95" spans="1:17" s="93" customFormat="1" x14ac:dyDescent="0.35">
      <c r="A95" s="90"/>
      <c r="B95" s="91"/>
      <c r="C95" s="91"/>
      <c r="D95" s="91"/>
      <c r="E95" s="91"/>
      <c r="F95" s="91"/>
      <c r="G95" s="91"/>
      <c r="H95" s="91"/>
      <c r="I95" s="91"/>
      <c r="J95" s="91"/>
      <c r="K95" s="213"/>
      <c r="L95" s="213"/>
      <c r="M95" s="213"/>
      <c r="N95" s="214"/>
      <c r="O95" s="214"/>
      <c r="P95" s="91"/>
      <c r="Q95" s="91"/>
    </row>
    <row r="96" spans="1:17" s="93" customFormat="1" x14ac:dyDescent="0.35">
      <c r="A96" s="90"/>
      <c r="B96" s="91"/>
      <c r="C96" s="91"/>
      <c r="D96" s="91"/>
      <c r="E96" s="91"/>
      <c r="F96" s="91"/>
      <c r="G96" s="91"/>
      <c r="H96" s="91"/>
      <c r="I96" s="91"/>
      <c r="J96" s="91"/>
      <c r="K96" s="213"/>
      <c r="L96" s="213"/>
      <c r="M96" s="213"/>
      <c r="N96" s="214"/>
      <c r="O96" s="214"/>
      <c r="P96" s="91"/>
      <c r="Q96" s="91"/>
    </row>
    <row r="97" spans="1:17" s="93" customFormat="1" x14ac:dyDescent="0.35">
      <c r="A97" s="90"/>
      <c r="B97" s="91"/>
      <c r="C97" s="91"/>
      <c r="D97" s="91"/>
      <c r="E97" s="91"/>
      <c r="F97" s="91"/>
      <c r="G97" s="91"/>
      <c r="H97" s="91"/>
      <c r="I97" s="91"/>
      <c r="J97" s="91"/>
      <c r="K97" s="213"/>
      <c r="L97" s="213"/>
      <c r="M97" s="213"/>
      <c r="N97" s="214"/>
      <c r="O97" s="214"/>
      <c r="P97" s="91"/>
      <c r="Q97" s="91"/>
    </row>
    <row r="98" spans="1:17" s="93" customFormat="1" x14ac:dyDescent="0.35">
      <c r="A98" s="90"/>
      <c r="B98" s="91"/>
      <c r="C98" s="91"/>
      <c r="D98" s="91"/>
      <c r="E98" s="91"/>
      <c r="F98" s="91"/>
      <c r="G98" s="91"/>
      <c r="H98" s="91"/>
      <c r="I98" s="91"/>
      <c r="J98" s="91"/>
      <c r="K98" s="213"/>
      <c r="L98" s="213"/>
      <c r="M98" s="213"/>
      <c r="N98" s="214"/>
      <c r="O98" s="214"/>
      <c r="P98" s="91"/>
      <c r="Q98" s="91"/>
    </row>
    <row r="99" spans="1:17" s="93" customFormat="1" x14ac:dyDescent="0.35">
      <c r="A99" s="90"/>
      <c r="B99" s="91"/>
      <c r="C99" s="91"/>
      <c r="D99" s="91"/>
      <c r="E99" s="91"/>
      <c r="F99" s="91"/>
      <c r="G99" s="91"/>
      <c r="H99" s="91"/>
      <c r="I99" s="91"/>
      <c r="J99" s="91"/>
      <c r="K99" s="213"/>
      <c r="L99" s="213"/>
      <c r="M99" s="213"/>
      <c r="N99" s="214"/>
      <c r="O99" s="214"/>
      <c r="P99" s="91"/>
      <c r="Q99" s="91"/>
    </row>
    <row r="100" spans="1:17" s="93" customFormat="1" x14ac:dyDescent="0.35">
      <c r="A100" s="90"/>
      <c r="B100" s="91"/>
      <c r="C100" s="91"/>
      <c r="D100" s="91"/>
      <c r="E100" s="91"/>
      <c r="F100" s="91"/>
      <c r="G100" s="91"/>
      <c r="H100" s="91"/>
      <c r="I100" s="91"/>
      <c r="J100" s="91"/>
      <c r="K100" s="213"/>
      <c r="L100" s="213"/>
      <c r="M100" s="213"/>
      <c r="N100" s="214"/>
      <c r="O100" s="214"/>
      <c r="P100" s="91"/>
      <c r="Q100" s="91"/>
    </row>
    <row r="101" spans="1:17" s="93" customFormat="1" x14ac:dyDescent="0.35">
      <c r="A101" s="90"/>
      <c r="B101" s="91"/>
      <c r="C101" s="91"/>
      <c r="D101" s="91"/>
      <c r="E101" s="91"/>
      <c r="F101" s="91"/>
      <c r="G101" s="91"/>
      <c r="H101" s="91"/>
      <c r="I101" s="91"/>
      <c r="J101" s="91"/>
      <c r="K101" s="213"/>
      <c r="L101" s="213"/>
      <c r="M101" s="213"/>
      <c r="N101" s="214"/>
      <c r="O101" s="214"/>
      <c r="P101" s="91"/>
      <c r="Q101" s="91"/>
    </row>
    <row r="102" spans="1:17" s="93" customFormat="1" x14ac:dyDescent="0.35">
      <c r="A102" s="90"/>
      <c r="B102" s="91"/>
      <c r="C102" s="91"/>
      <c r="D102" s="91"/>
      <c r="E102" s="91"/>
      <c r="F102" s="91"/>
      <c r="G102" s="91"/>
      <c r="H102" s="91"/>
      <c r="I102" s="91"/>
      <c r="J102" s="91"/>
      <c r="K102" s="213"/>
      <c r="L102" s="213"/>
      <c r="M102" s="213"/>
      <c r="N102" s="214"/>
      <c r="O102" s="214"/>
      <c r="P102" s="91"/>
      <c r="Q102" s="91"/>
    </row>
    <row r="103" spans="1:17" s="93" customFormat="1" x14ac:dyDescent="0.35">
      <c r="A103" s="90"/>
      <c r="B103" s="91"/>
      <c r="C103" s="91"/>
      <c r="D103" s="91"/>
      <c r="E103" s="91"/>
      <c r="F103" s="91"/>
      <c r="G103" s="91"/>
      <c r="H103" s="91"/>
      <c r="I103" s="91"/>
      <c r="J103" s="91"/>
      <c r="K103" s="213"/>
      <c r="L103" s="213"/>
      <c r="M103" s="213"/>
      <c r="N103" s="214"/>
      <c r="O103" s="214"/>
      <c r="P103" s="91"/>
      <c r="Q103" s="91"/>
    </row>
    <row r="104" spans="1:17" s="93" customFormat="1" x14ac:dyDescent="0.35">
      <c r="A104" s="90"/>
      <c r="B104" s="91"/>
      <c r="C104" s="91"/>
      <c r="D104" s="91"/>
      <c r="E104" s="91"/>
      <c r="F104" s="91"/>
      <c r="G104" s="91"/>
      <c r="H104" s="91"/>
      <c r="I104" s="91"/>
      <c r="J104" s="91"/>
      <c r="K104" s="213"/>
      <c r="L104" s="213"/>
      <c r="M104" s="213"/>
      <c r="N104" s="214"/>
      <c r="O104" s="214"/>
      <c r="P104" s="91"/>
      <c r="Q104" s="91"/>
    </row>
    <row r="105" spans="1:17" s="93" customFormat="1" x14ac:dyDescent="0.35">
      <c r="A105" s="90"/>
      <c r="B105" s="91"/>
      <c r="C105" s="91"/>
      <c r="D105" s="91"/>
      <c r="E105" s="91"/>
      <c r="F105" s="91"/>
      <c r="G105" s="91"/>
      <c r="H105" s="91"/>
      <c r="I105" s="91"/>
      <c r="J105" s="91"/>
      <c r="K105" s="213"/>
      <c r="L105" s="213"/>
      <c r="M105" s="213"/>
      <c r="N105" s="214"/>
      <c r="O105" s="214"/>
      <c r="P105" s="91"/>
      <c r="Q105" s="91"/>
    </row>
    <row r="106" spans="1:17" s="93" customFormat="1" x14ac:dyDescent="0.35">
      <c r="A106" s="90"/>
      <c r="B106" s="91"/>
      <c r="C106" s="91"/>
      <c r="D106" s="91"/>
      <c r="E106" s="91"/>
      <c r="F106" s="91"/>
      <c r="G106" s="91"/>
      <c r="H106" s="91"/>
      <c r="I106" s="91"/>
      <c r="J106" s="91"/>
      <c r="K106" s="213"/>
      <c r="L106" s="213"/>
      <c r="M106" s="213"/>
      <c r="N106" s="214"/>
      <c r="O106" s="214"/>
      <c r="P106" s="91"/>
      <c r="Q106" s="91"/>
    </row>
    <row r="107" spans="1:17" s="93" customFormat="1" x14ac:dyDescent="0.35">
      <c r="A107" s="90"/>
      <c r="B107" s="91"/>
      <c r="C107" s="91"/>
      <c r="D107" s="91"/>
      <c r="E107" s="91"/>
      <c r="F107" s="91"/>
      <c r="G107" s="91"/>
      <c r="H107" s="91"/>
      <c r="I107" s="91"/>
      <c r="J107" s="91"/>
      <c r="K107" s="213"/>
      <c r="L107" s="213"/>
      <c r="M107" s="213"/>
      <c r="N107" s="214"/>
      <c r="O107" s="214"/>
      <c r="P107" s="91"/>
      <c r="Q107" s="91"/>
    </row>
    <row r="108" spans="1:17" s="93" customFormat="1" x14ac:dyDescent="0.35">
      <c r="A108" s="90"/>
      <c r="B108" s="91"/>
      <c r="C108" s="91"/>
      <c r="D108" s="91"/>
      <c r="E108" s="91"/>
      <c r="F108" s="91"/>
      <c r="G108" s="91"/>
      <c r="H108" s="91"/>
      <c r="I108" s="91"/>
      <c r="J108" s="91"/>
      <c r="K108" s="213"/>
      <c r="L108" s="213"/>
      <c r="M108" s="213"/>
      <c r="N108" s="214"/>
      <c r="O108" s="214"/>
      <c r="P108" s="91"/>
      <c r="Q108" s="91"/>
    </row>
    <row r="109" spans="1:17" s="93" customFormat="1" x14ac:dyDescent="0.35">
      <c r="A109" s="90"/>
      <c r="B109" s="91"/>
      <c r="C109" s="91"/>
      <c r="D109" s="91"/>
      <c r="E109" s="91"/>
      <c r="F109" s="91"/>
      <c r="G109" s="91"/>
      <c r="H109" s="91"/>
      <c r="I109" s="91"/>
      <c r="J109" s="91"/>
      <c r="K109" s="213"/>
      <c r="L109" s="213"/>
      <c r="M109" s="213"/>
      <c r="N109" s="214"/>
      <c r="O109" s="214"/>
      <c r="P109" s="91"/>
      <c r="Q109" s="91"/>
    </row>
    <row r="110" spans="1:17" s="93" customFormat="1" x14ac:dyDescent="0.35">
      <c r="A110" s="90"/>
      <c r="B110" s="91"/>
      <c r="C110" s="91"/>
      <c r="D110" s="91"/>
      <c r="E110" s="91"/>
      <c r="F110" s="91"/>
      <c r="G110" s="91"/>
      <c r="H110" s="91"/>
      <c r="I110" s="91"/>
      <c r="J110" s="91"/>
      <c r="K110" s="213"/>
      <c r="L110" s="213"/>
      <c r="M110" s="213"/>
      <c r="N110" s="214"/>
      <c r="O110" s="214"/>
      <c r="P110" s="91"/>
      <c r="Q110" s="91"/>
    </row>
    <row r="111" spans="1:17" s="93" customFormat="1" x14ac:dyDescent="0.35">
      <c r="A111" s="90"/>
      <c r="B111" s="91"/>
      <c r="C111" s="91"/>
      <c r="D111" s="91"/>
      <c r="E111" s="91"/>
      <c r="F111" s="91"/>
      <c r="G111" s="91"/>
      <c r="H111" s="91"/>
      <c r="I111" s="91"/>
      <c r="J111" s="91"/>
      <c r="K111" s="213"/>
      <c r="L111" s="213"/>
      <c r="M111" s="213"/>
      <c r="N111" s="214"/>
      <c r="O111" s="214"/>
      <c r="P111" s="91"/>
      <c r="Q111" s="91"/>
    </row>
    <row r="112" spans="1:17" s="93" customFormat="1" x14ac:dyDescent="0.35">
      <c r="A112" s="90"/>
      <c r="B112" s="91"/>
      <c r="C112" s="91"/>
      <c r="D112" s="91"/>
      <c r="E112" s="91"/>
      <c r="F112" s="91"/>
      <c r="G112" s="91"/>
      <c r="H112" s="91"/>
      <c r="I112" s="91"/>
      <c r="J112" s="91"/>
      <c r="K112" s="213"/>
      <c r="L112" s="213"/>
      <c r="M112" s="213"/>
      <c r="N112" s="214"/>
      <c r="O112" s="214"/>
      <c r="P112" s="91"/>
      <c r="Q112" s="91"/>
    </row>
    <row r="113" spans="1:17" s="93" customFormat="1" x14ac:dyDescent="0.35">
      <c r="A113" s="90"/>
      <c r="B113" s="91"/>
      <c r="C113" s="91"/>
      <c r="D113" s="91"/>
      <c r="E113" s="91"/>
      <c r="F113" s="91"/>
      <c r="G113" s="91"/>
      <c r="H113" s="91"/>
      <c r="I113" s="91"/>
      <c r="J113" s="91"/>
      <c r="K113" s="213"/>
      <c r="L113" s="213"/>
      <c r="M113" s="213"/>
      <c r="N113" s="214"/>
      <c r="O113" s="214"/>
      <c r="P113" s="91"/>
      <c r="Q113" s="91"/>
    </row>
    <row r="114" spans="1:17" s="93" customFormat="1" x14ac:dyDescent="0.35">
      <c r="A114" s="90"/>
      <c r="B114" s="91"/>
      <c r="C114" s="91"/>
      <c r="D114" s="91"/>
      <c r="E114" s="91"/>
      <c r="F114" s="91"/>
      <c r="G114" s="91"/>
      <c r="H114" s="91"/>
      <c r="I114" s="91"/>
      <c r="J114" s="91"/>
      <c r="K114" s="213"/>
      <c r="L114" s="213"/>
      <c r="M114" s="213"/>
      <c r="N114" s="214"/>
      <c r="O114" s="214"/>
      <c r="P114" s="91"/>
      <c r="Q114" s="91"/>
    </row>
    <row r="115" spans="1:17" s="93" customFormat="1" x14ac:dyDescent="0.35">
      <c r="A115" s="215"/>
      <c r="B115" s="216"/>
      <c r="C115" s="216"/>
      <c r="D115" s="216"/>
      <c r="E115" s="216"/>
      <c r="F115" s="216"/>
      <c r="G115" s="216"/>
      <c r="H115" s="216"/>
      <c r="I115" s="216"/>
      <c r="J115" s="216"/>
      <c r="K115" s="217"/>
      <c r="L115" s="217"/>
      <c r="M115" s="217"/>
      <c r="N115" s="216"/>
      <c r="O115" s="216"/>
      <c r="P115" s="91"/>
      <c r="Q115" s="91"/>
    </row>
    <row r="116" spans="1:17" s="93" customFormat="1" x14ac:dyDescent="0.35">
      <c r="A116" s="90"/>
      <c r="B116" s="91"/>
      <c r="C116" s="91"/>
      <c r="D116" s="91"/>
      <c r="E116" s="91"/>
      <c r="F116" s="91"/>
      <c r="G116" s="91"/>
      <c r="H116" s="91"/>
      <c r="I116" s="91"/>
      <c r="J116" s="91"/>
      <c r="K116" s="213"/>
      <c r="L116" s="213"/>
      <c r="M116" s="213"/>
      <c r="N116" s="214"/>
      <c r="O116" s="214"/>
      <c r="P116" s="91"/>
      <c r="Q116" s="91"/>
    </row>
    <row r="117" spans="1:17" s="93" customFormat="1" x14ac:dyDescent="0.35">
      <c r="A117" s="90"/>
      <c r="B117" s="91"/>
      <c r="C117" s="91"/>
      <c r="D117" s="91"/>
      <c r="E117" s="91"/>
      <c r="F117" s="91"/>
      <c r="G117" s="91"/>
      <c r="H117" s="91"/>
      <c r="I117" s="91"/>
      <c r="J117" s="91"/>
      <c r="K117" s="213"/>
      <c r="L117" s="213"/>
      <c r="M117" s="213"/>
      <c r="N117" s="214"/>
      <c r="O117" s="214"/>
      <c r="P117" s="91"/>
      <c r="Q117" s="91"/>
    </row>
    <row r="118" spans="1:17" s="93" customFormat="1" x14ac:dyDescent="0.35">
      <c r="A118" s="90"/>
      <c r="B118" s="91"/>
      <c r="C118" s="91"/>
      <c r="D118" s="91"/>
      <c r="E118" s="91"/>
      <c r="F118" s="91"/>
      <c r="G118" s="91"/>
      <c r="H118" s="91"/>
      <c r="I118" s="91"/>
      <c r="J118" s="91"/>
      <c r="K118" s="213"/>
      <c r="L118" s="213"/>
      <c r="M118" s="213"/>
      <c r="N118" s="214"/>
      <c r="O118" s="214"/>
      <c r="P118" s="91"/>
      <c r="Q118" s="91"/>
    </row>
    <row r="119" spans="1:17" s="93" customFormat="1" x14ac:dyDescent="0.35">
      <c r="A119" s="90"/>
      <c r="B119" s="91"/>
      <c r="C119" s="91"/>
      <c r="D119" s="91"/>
      <c r="E119" s="91"/>
      <c r="F119" s="91"/>
      <c r="G119" s="91"/>
      <c r="H119" s="91"/>
      <c r="I119" s="91"/>
      <c r="J119" s="91"/>
      <c r="K119" s="213"/>
      <c r="L119" s="213"/>
      <c r="M119" s="213"/>
      <c r="N119" s="214"/>
      <c r="O119" s="214"/>
      <c r="P119" s="91"/>
      <c r="Q119" s="91"/>
    </row>
    <row r="120" spans="1:17" s="93" customFormat="1" x14ac:dyDescent="0.35">
      <c r="A120" s="90"/>
      <c r="B120" s="91"/>
      <c r="C120" s="91"/>
      <c r="D120" s="91"/>
      <c r="E120" s="91"/>
      <c r="F120" s="91"/>
      <c r="G120" s="91"/>
      <c r="H120" s="91"/>
      <c r="I120" s="91"/>
      <c r="J120" s="91"/>
      <c r="K120" s="213"/>
      <c r="L120" s="213"/>
      <c r="M120" s="213"/>
      <c r="N120" s="214"/>
      <c r="O120" s="214"/>
      <c r="P120" s="91"/>
      <c r="Q120" s="91"/>
    </row>
    <row r="121" spans="1:17" s="93" customFormat="1" x14ac:dyDescent="0.35">
      <c r="A121" s="90"/>
      <c r="B121" s="91"/>
      <c r="C121" s="91"/>
      <c r="D121" s="91"/>
      <c r="E121" s="91"/>
      <c r="F121" s="91"/>
      <c r="G121" s="91"/>
      <c r="H121" s="91"/>
      <c r="I121" s="91"/>
      <c r="J121" s="91"/>
      <c r="K121" s="213"/>
      <c r="L121" s="213"/>
      <c r="M121" s="213"/>
      <c r="N121" s="214"/>
      <c r="O121" s="214"/>
      <c r="P121" s="91"/>
      <c r="Q121" s="91"/>
    </row>
    <row r="122" spans="1:17" s="93" customFormat="1" x14ac:dyDescent="0.35">
      <c r="A122" s="90"/>
      <c r="B122" s="91"/>
      <c r="C122" s="91"/>
      <c r="D122" s="91"/>
      <c r="E122" s="91"/>
      <c r="F122" s="91"/>
      <c r="G122" s="91"/>
      <c r="H122" s="91"/>
      <c r="I122" s="91"/>
      <c r="J122" s="91"/>
      <c r="K122" s="213"/>
      <c r="L122" s="213"/>
      <c r="M122" s="213"/>
      <c r="N122" s="214"/>
      <c r="O122" s="214"/>
      <c r="P122" s="91"/>
      <c r="Q122" s="91"/>
    </row>
    <row r="123" spans="1:17" s="93" customFormat="1" x14ac:dyDescent="0.35">
      <c r="A123" s="90"/>
      <c r="B123" s="91"/>
      <c r="C123" s="91"/>
      <c r="D123" s="91"/>
      <c r="E123" s="91"/>
      <c r="F123" s="91"/>
      <c r="G123" s="91"/>
      <c r="H123" s="91"/>
      <c r="I123" s="91"/>
      <c r="J123" s="91"/>
      <c r="K123" s="213"/>
      <c r="L123" s="213"/>
      <c r="M123" s="213"/>
      <c r="N123" s="214"/>
      <c r="O123" s="214"/>
      <c r="P123" s="91"/>
      <c r="Q123" s="91"/>
    </row>
    <row r="124" spans="1:17" s="93" customFormat="1" x14ac:dyDescent="0.35">
      <c r="A124" s="90"/>
      <c r="B124" s="91"/>
      <c r="C124" s="91"/>
      <c r="D124" s="91"/>
      <c r="E124" s="91"/>
      <c r="F124" s="91"/>
      <c r="G124" s="91"/>
      <c r="H124" s="91"/>
      <c r="I124" s="91"/>
      <c r="J124" s="91"/>
      <c r="K124" s="213"/>
      <c r="L124" s="213"/>
      <c r="M124" s="213"/>
      <c r="N124" s="214"/>
      <c r="O124" s="214"/>
      <c r="P124" s="91"/>
      <c r="Q124" s="91"/>
    </row>
    <row r="125" spans="1:17" s="93" customFormat="1" x14ac:dyDescent="0.35">
      <c r="A125" s="90"/>
      <c r="B125" s="91"/>
      <c r="C125" s="91"/>
      <c r="D125" s="91"/>
      <c r="E125" s="91"/>
      <c r="F125" s="91"/>
      <c r="G125" s="91"/>
      <c r="H125" s="91"/>
      <c r="I125" s="91"/>
      <c r="J125" s="91"/>
      <c r="K125" s="213"/>
      <c r="L125" s="213"/>
      <c r="M125" s="213"/>
      <c r="N125" s="214"/>
      <c r="O125" s="214"/>
      <c r="P125" s="91"/>
      <c r="Q125" s="91"/>
    </row>
    <row r="126" spans="1:17" s="93" customFormat="1" x14ac:dyDescent="0.35">
      <c r="A126" s="90"/>
      <c r="B126" s="91"/>
      <c r="C126" s="91"/>
      <c r="D126" s="91"/>
      <c r="E126" s="91"/>
      <c r="F126" s="91"/>
      <c r="G126" s="91"/>
      <c r="H126" s="91"/>
      <c r="I126" s="91"/>
      <c r="J126" s="91"/>
      <c r="K126" s="213"/>
      <c r="L126" s="213"/>
      <c r="M126" s="213"/>
      <c r="N126" s="214"/>
      <c r="O126" s="214"/>
      <c r="P126" s="91"/>
      <c r="Q126" s="91"/>
    </row>
    <row r="127" spans="1:17" s="93" customFormat="1" x14ac:dyDescent="0.35">
      <c r="A127" s="90"/>
      <c r="B127" s="91"/>
      <c r="C127" s="91"/>
      <c r="D127" s="91"/>
      <c r="E127" s="91"/>
      <c r="F127" s="91"/>
      <c r="G127" s="91"/>
      <c r="H127" s="91"/>
      <c r="I127" s="91"/>
      <c r="J127" s="91"/>
      <c r="K127" s="213"/>
      <c r="L127" s="213"/>
      <c r="M127" s="213"/>
      <c r="N127" s="214"/>
      <c r="O127" s="214"/>
      <c r="P127" s="91"/>
      <c r="Q127" s="91"/>
    </row>
    <row r="128" spans="1:17" s="93" customFormat="1" x14ac:dyDescent="0.35">
      <c r="A128" s="90"/>
      <c r="B128" s="91"/>
      <c r="C128" s="91"/>
      <c r="D128" s="91"/>
      <c r="E128" s="91"/>
      <c r="F128" s="91"/>
      <c r="G128" s="91"/>
      <c r="H128" s="91"/>
      <c r="I128" s="91"/>
      <c r="J128" s="91"/>
      <c r="K128" s="213"/>
      <c r="L128" s="213"/>
      <c r="M128" s="213"/>
      <c r="N128" s="214"/>
      <c r="O128" s="214"/>
      <c r="P128" s="91"/>
      <c r="Q128" s="91"/>
    </row>
    <row r="129" spans="1:17" s="93" customFormat="1" x14ac:dyDescent="0.35">
      <c r="A129" s="90"/>
      <c r="B129" s="91"/>
      <c r="C129" s="91"/>
      <c r="D129" s="91"/>
      <c r="E129" s="91"/>
      <c r="F129" s="91"/>
      <c r="G129" s="91"/>
      <c r="H129" s="91"/>
      <c r="I129" s="91"/>
      <c r="J129" s="91"/>
      <c r="K129" s="213"/>
      <c r="L129" s="213"/>
      <c r="M129" s="213"/>
      <c r="N129" s="214"/>
      <c r="O129" s="214"/>
      <c r="P129" s="91"/>
      <c r="Q129" s="91"/>
    </row>
    <row r="130" spans="1:17" s="93" customFormat="1" x14ac:dyDescent="0.35">
      <c r="A130" s="90"/>
      <c r="B130" s="91"/>
      <c r="C130" s="91"/>
      <c r="D130" s="91"/>
      <c r="E130" s="91"/>
      <c r="F130" s="91"/>
      <c r="G130" s="91"/>
      <c r="H130" s="91"/>
      <c r="I130" s="91"/>
      <c r="J130" s="91"/>
      <c r="K130" s="213"/>
      <c r="L130" s="213"/>
      <c r="M130" s="213"/>
      <c r="N130" s="214"/>
      <c r="O130" s="214"/>
      <c r="P130" s="91"/>
      <c r="Q130" s="91"/>
    </row>
    <row r="131" spans="1:17" s="93" customFormat="1" x14ac:dyDescent="0.35">
      <c r="A131" s="90"/>
      <c r="B131" s="91"/>
      <c r="C131" s="91"/>
      <c r="D131" s="91"/>
      <c r="E131" s="91"/>
      <c r="F131" s="91"/>
      <c r="G131" s="91"/>
      <c r="H131" s="91"/>
      <c r="I131" s="91"/>
      <c r="J131" s="91"/>
      <c r="K131" s="213"/>
      <c r="L131" s="213"/>
      <c r="M131" s="213"/>
      <c r="N131" s="214"/>
      <c r="O131" s="214"/>
      <c r="P131" s="91"/>
      <c r="Q131" s="91"/>
    </row>
    <row r="132" spans="1:17" s="93" customFormat="1" x14ac:dyDescent="0.35">
      <c r="A132" s="90"/>
      <c r="B132" s="91"/>
      <c r="C132" s="91"/>
      <c r="D132" s="91"/>
      <c r="E132" s="91"/>
      <c r="F132" s="91"/>
      <c r="G132" s="91"/>
      <c r="H132" s="91"/>
      <c r="I132" s="91"/>
      <c r="J132" s="91"/>
      <c r="K132" s="213"/>
      <c r="L132" s="213"/>
      <c r="M132" s="213"/>
      <c r="N132" s="214"/>
      <c r="O132" s="214"/>
      <c r="P132" s="91"/>
      <c r="Q132" s="91"/>
    </row>
    <row r="133" spans="1:17" s="93" customFormat="1" x14ac:dyDescent="0.35">
      <c r="A133" s="90"/>
      <c r="B133" s="91"/>
      <c r="C133" s="91"/>
      <c r="D133" s="91"/>
      <c r="E133" s="91"/>
      <c r="F133" s="91"/>
      <c r="G133" s="91"/>
      <c r="H133" s="91"/>
      <c r="I133" s="91"/>
      <c r="J133" s="91"/>
      <c r="K133" s="213"/>
      <c r="L133" s="213"/>
      <c r="M133" s="213"/>
      <c r="N133" s="214"/>
      <c r="O133" s="214"/>
      <c r="P133" s="91"/>
      <c r="Q133" s="91"/>
    </row>
    <row r="134" spans="1:17" s="93" customFormat="1" x14ac:dyDescent="0.35">
      <c r="A134" s="90"/>
      <c r="B134" s="91"/>
      <c r="C134" s="91"/>
      <c r="D134" s="91"/>
      <c r="E134" s="91"/>
      <c r="F134" s="91"/>
      <c r="G134" s="91"/>
      <c r="H134" s="91"/>
      <c r="I134" s="91"/>
      <c r="J134" s="91"/>
      <c r="K134" s="213"/>
      <c r="L134" s="213"/>
      <c r="M134" s="213"/>
      <c r="N134" s="214"/>
      <c r="O134" s="214"/>
      <c r="P134" s="91"/>
      <c r="Q134" s="91"/>
    </row>
    <row r="135" spans="1:17" s="93" customFormat="1" x14ac:dyDescent="0.35">
      <c r="A135" s="90"/>
      <c r="B135" s="91"/>
      <c r="C135" s="91"/>
      <c r="D135" s="91"/>
      <c r="E135" s="91"/>
      <c r="F135" s="91"/>
      <c r="G135" s="91"/>
      <c r="H135" s="91"/>
      <c r="I135" s="91"/>
      <c r="J135" s="91"/>
      <c r="K135" s="213"/>
      <c r="L135" s="213"/>
      <c r="M135" s="213"/>
      <c r="N135" s="214"/>
      <c r="O135" s="214"/>
      <c r="P135" s="91"/>
      <c r="Q135" s="91"/>
    </row>
    <row r="136" spans="1:17" s="93" customFormat="1" x14ac:dyDescent="0.35">
      <c r="A136" s="90"/>
      <c r="B136" s="91"/>
      <c r="C136" s="91"/>
      <c r="D136" s="91"/>
      <c r="E136" s="91"/>
      <c r="F136" s="91"/>
      <c r="G136" s="91"/>
      <c r="H136" s="91"/>
      <c r="I136" s="91"/>
      <c r="J136" s="91"/>
      <c r="K136" s="213"/>
      <c r="L136" s="213"/>
      <c r="M136" s="213"/>
      <c r="N136" s="214"/>
      <c r="O136" s="214"/>
      <c r="P136" s="91"/>
      <c r="Q136" s="91"/>
    </row>
    <row r="137" spans="1:17" s="93" customFormat="1" x14ac:dyDescent="0.35">
      <c r="A137" s="90"/>
      <c r="B137" s="91"/>
      <c r="C137" s="91"/>
      <c r="D137" s="91"/>
      <c r="E137" s="91"/>
      <c r="F137" s="91"/>
      <c r="G137" s="91"/>
      <c r="H137" s="91"/>
      <c r="I137" s="91"/>
      <c r="J137" s="91"/>
      <c r="K137" s="213"/>
      <c r="L137" s="213"/>
      <c r="M137" s="213"/>
      <c r="N137" s="214"/>
      <c r="O137" s="214"/>
      <c r="P137" s="91"/>
      <c r="Q137" s="91"/>
    </row>
    <row r="138" spans="1:17" s="93" customFormat="1" x14ac:dyDescent="0.35">
      <c r="A138" s="90"/>
      <c r="B138" s="91"/>
      <c r="C138" s="91"/>
      <c r="D138" s="91"/>
      <c r="E138" s="91"/>
      <c r="F138" s="91"/>
      <c r="G138" s="91"/>
      <c r="H138" s="91"/>
      <c r="I138" s="91"/>
      <c r="J138" s="91"/>
      <c r="K138" s="213"/>
      <c r="L138" s="213"/>
      <c r="M138" s="213"/>
      <c r="N138" s="214"/>
      <c r="O138" s="214"/>
      <c r="P138" s="91"/>
      <c r="Q138" s="91"/>
    </row>
    <row r="139" spans="1:17" s="93" customFormat="1" x14ac:dyDescent="0.35">
      <c r="A139" s="90"/>
      <c r="B139" s="91"/>
      <c r="C139" s="91"/>
      <c r="D139" s="91"/>
      <c r="E139" s="91"/>
      <c r="F139" s="91"/>
      <c r="G139" s="91"/>
      <c r="H139" s="91"/>
      <c r="I139" s="91"/>
      <c r="J139" s="91"/>
      <c r="K139" s="213"/>
      <c r="L139" s="213"/>
      <c r="M139" s="213"/>
      <c r="N139" s="214"/>
      <c r="O139" s="214"/>
      <c r="P139" s="91"/>
      <c r="Q139" s="91"/>
    </row>
    <row r="140" spans="1:17" s="93" customFormat="1" x14ac:dyDescent="0.35">
      <c r="A140" s="90"/>
      <c r="B140" s="91"/>
      <c r="C140" s="91"/>
      <c r="D140" s="91"/>
      <c r="E140" s="91"/>
      <c r="F140" s="91"/>
      <c r="G140" s="91"/>
      <c r="H140" s="91"/>
      <c r="I140" s="91"/>
      <c r="J140" s="91"/>
      <c r="K140" s="213"/>
      <c r="L140" s="213"/>
      <c r="M140" s="213"/>
      <c r="N140" s="214"/>
      <c r="O140" s="214"/>
      <c r="P140" s="91"/>
      <c r="Q140" s="91"/>
    </row>
    <row r="141" spans="1:17" s="93" customFormat="1" x14ac:dyDescent="0.35">
      <c r="A141" s="90"/>
      <c r="B141" s="91"/>
      <c r="C141" s="91"/>
      <c r="D141" s="91"/>
      <c r="E141" s="91"/>
      <c r="F141" s="91"/>
      <c r="G141" s="91"/>
      <c r="H141" s="91"/>
      <c r="I141" s="91"/>
      <c r="J141" s="91"/>
      <c r="K141" s="213"/>
      <c r="L141" s="213"/>
      <c r="M141" s="213"/>
      <c r="N141" s="214"/>
      <c r="O141" s="214"/>
      <c r="P141" s="91"/>
      <c r="Q141" s="91"/>
    </row>
    <row r="142" spans="1:17" s="93" customFormat="1" x14ac:dyDescent="0.35">
      <c r="A142" s="90"/>
      <c r="B142" s="91"/>
      <c r="C142" s="91"/>
      <c r="D142" s="91"/>
      <c r="E142" s="91"/>
      <c r="F142" s="91"/>
      <c r="G142" s="91"/>
      <c r="H142" s="91"/>
      <c r="I142" s="91"/>
      <c r="J142" s="91"/>
      <c r="K142" s="213"/>
      <c r="L142" s="213"/>
      <c r="M142" s="213"/>
      <c r="N142" s="214"/>
      <c r="O142" s="214"/>
      <c r="P142" s="91"/>
      <c r="Q142" s="91"/>
    </row>
    <row r="143" spans="1:17" s="93" customFormat="1" x14ac:dyDescent="0.35">
      <c r="A143" s="90"/>
      <c r="B143" s="91"/>
      <c r="C143" s="91"/>
      <c r="D143" s="91"/>
      <c r="E143" s="91"/>
      <c r="F143" s="91"/>
      <c r="G143" s="91"/>
      <c r="H143" s="91"/>
      <c r="I143" s="91"/>
      <c r="J143" s="91"/>
      <c r="K143" s="213"/>
      <c r="L143" s="213"/>
      <c r="M143" s="213"/>
      <c r="N143" s="214"/>
      <c r="O143" s="214"/>
      <c r="P143" s="91"/>
      <c r="Q143" s="91"/>
    </row>
    <row r="144" spans="1:17" s="93" customFormat="1" x14ac:dyDescent="0.35">
      <c r="A144" s="90"/>
      <c r="B144" s="91"/>
      <c r="C144" s="91"/>
      <c r="D144" s="91"/>
      <c r="E144" s="91"/>
      <c r="F144" s="91"/>
      <c r="G144" s="91"/>
      <c r="H144" s="91"/>
      <c r="I144" s="91"/>
      <c r="J144" s="91"/>
      <c r="K144" s="213"/>
      <c r="L144" s="213"/>
      <c r="M144" s="213"/>
      <c r="N144" s="214"/>
      <c r="O144" s="214"/>
      <c r="P144" s="91"/>
      <c r="Q144" s="91"/>
    </row>
    <row r="145" spans="1:17" s="93" customFormat="1" x14ac:dyDescent="0.35">
      <c r="A145" s="90"/>
      <c r="B145" s="91"/>
      <c r="C145" s="91"/>
      <c r="D145" s="91"/>
      <c r="E145" s="91"/>
      <c r="F145" s="91"/>
      <c r="G145" s="91"/>
      <c r="H145" s="91"/>
      <c r="I145" s="91"/>
      <c r="J145" s="91"/>
      <c r="K145" s="213"/>
      <c r="L145" s="213"/>
      <c r="M145" s="213"/>
      <c r="N145" s="214"/>
      <c r="O145" s="214"/>
      <c r="P145" s="91"/>
      <c r="Q145" s="91"/>
    </row>
    <row r="146" spans="1:17" s="93" customFormat="1" x14ac:dyDescent="0.35">
      <c r="A146" s="90"/>
      <c r="B146" s="91"/>
      <c r="C146" s="91"/>
      <c r="D146" s="91"/>
      <c r="E146" s="91"/>
      <c r="F146" s="91"/>
      <c r="G146" s="91"/>
      <c r="H146" s="91"/>
      <c r="I146" s="91"/>
      <c r="J146" s="91"/>
      <c r="K146" s="213"/>
      <c r="L146" s="213"/>
      <c r="M146" s="213"/>
      <c r="N146" s="214"/>
      <c r="O146" s="214"/>
      <c r="P146" s="91"/>
      <c r="Q146" s="91"/>
    </row>
    <row r="147" spans="1:17" s="93" customFormat="1" x14ac:dyDescent="0.35">
      <c r="A147" s="90"/>
      <c r="B147" s="91"/>
      <c r="C147" s="91"/>
      <c r="D147" s="91"/>
      <c r="E147" s="91"/>
      <c r="F147" s="91"/>
      <c r="G147" s="91"/>
      <c r="H147" s="91"/>
      <c r="I147" s="91"/>
      <c r="J147" s="91"/>
      <c r="K147" s="213"/>
      <c r="L147" s="213"/>
      <c r="M147" s="213"/>
      <c r="N147" s="214"/>
      <c r="O147" s="214"/>
      <c r="P147" s="91"/>
      <c r="Q147" s="91"/>
    </row>
    <row r="148" spans="1:17" s="93" customFormat="1" x14ac:dyDescent="0.35">
      <c r="A148" s="90"/>
      <c r="B148" s="91"/>
      <c r="C148" s="91"/>
      <c r="D148" s="91"/>
      <c r="E148" s="91"/>
      <c r="F148" s="91"/>
      <c r="G148" s="91"/>
      <c r="H148" s="91"/>
      <c r="I148" s="91"/>
      <c r="J148" s="91"/>
      <c r="K148" s="213"/>
      <c r="L148" s="213"/>
      <c r="M148" s="213"/>
      <c r="N148" s="214"/>
      <c r="O148" s="214"/>
      <c r="P148" s="91"/>
      <c r="Q148" s="91"/>
    </row>
    <row r="149" spans="1:17" s="93" customFormat="1" x14ac:dyDescent="0.35">
      <c r="A149" s="90"/>
      <c r="B149" s="91"/>
      <c r="C149" s="91"/>
      <c r="D149" s="91"/>
      <c r="E149" s="91"/>
      <c r="F149" s="91"/>
      <c r="G149" s="91"/>
      <c r="H149" s="91"/>
      <c r="I149" s="91"/>
      <c r="J149" s="91"/>
      <c r="K149" s="213"/>
      <c r="L149" s="213"/>
      <c r="M149" s="213"/>
      <c r="N149" s="214"/>
      <c r="O149" s="214"/>
      <c r="P149" s="91"/>
      <c r="Q149" s="91"/>
    </row>
    <row r="150" spans="1:17" s="93" customFormat="1" x14ac:dyDescent="0.35">
      <c r="A150" s="90"/>
      <c r="B150" s="91"/>
      <c r="C150" s="91"/>
      <c r="D150" s="91"/>
      <c r="E150" s="91"/>
      <c r="F150" s="91"/>
      <c r="G150" s="91"/>
      <c r="H150" s="91"/>
      <c r="I150" s="91"/>
      <c r="J150" s="91"/>
      <c r="K150" s="213"/>
      <c r="L150" s="213"/>
      <c r="M150" s="213"/>
      <c r="N150" s="214"/>
      <c r="O150" s="214"/>
      <c r="P150" s="91"/>
      <c r="Q150" s="91"/>
    </row>
    <row r="151" spans="1:17" s="93" customFormat="1" x14ac:dyDescent="0.35">
      <c r="A151" s="218"/>
      <c r="B151" s="219"/>
      <c r="C151" s="219"/>
      <c r="D151" s="219"/>
      <c r="E151" s="219"/>
      <c r="F151" s="219"/>
      <c r="G151" s="219"/>
      <c r="H151" s="219"/>
      <c r="I151" s="219"/>
      <c r="J151" s="219"/>
      <c r="K151" s="217"/>
      <c r="L151" s="217"/>
      <c r="M151" s="217"/>
      <c r="N151" s="216"/>
      <c r="O151" s="216"/>
      <c r="P151" s="91"/>
      <c r="Q151" s="91"/>
    </row>
    <row r="152" spans="1:17" s="93" customFormat="1" x14ac:dyDescent="0.35">
      <c r="A152" s="212"/>
      <c r="B152" s="91"/>
      <c r="C152" s="91"/>
      <c r="D152" s="91"/>
      <c r="E152" s="91"/>
      <c r="F152" s="91"/>
      <c r="G152" s="91"/>
      <c r="H152" s="91"/>
      <c r="I152" s="91"/>
      <c r="J152" s="91"/>
      <c r="K152" s="213"/>
      <c r="L152" s="213"/>
      <c r="M152" s="213"/>
      <c r="N152" s="214"/>
      <c r="O152" s="214"/>
      <c r="P152" s="91"/>
      <c r="Q152" s="91"/>
    </row>
    <row r="153" spans="1:17" s="93" customFormat="1" x14ac:dyDescent="0.35">
      <c r="A153" s="90"/>
      <c r="B153" s="91"/>
      <c r="C153" s="91"/>
      <c r="D153" s="91"/>
      <c r="E153" s="91"/>
      <c r="F153" s="91"/>
      <c r="G153" s="91"/>
      <c r="H153" s="91"/>
      <c r="I153" s="91"/>
      <c r="J153" s="91"/>
      <c r="K153" s="213"/>
      <c r="L153" s="213"/>
      <c r="M153" s="213"/>
      <c r="N153" s="214"/>
      <c r="O153" s="214"/>
      <c r="P153" s="91"/>
      <c r="Q153" s="91"/>
    </row>
    <row r="154" spans="1:17" s="93" customFormat="1" x14ac:dyDescent="0.35">
      <c r="A154" s="90"/>
      <c r="B154" s="91"/>
      <c r="C154" s="91"/>
      <c r="D154" s="91"/>
      <c r="E154" s="91"/>
      <c r="F154" s="91"/>
      <c r="G154" s="91"/>
      <c r="H154" s="91"/>
      <c r="I154" s="91"/>
      <c r="J154" s="91"/>
      <c r="K154" s="213"/>
      <c r="L154" s="213"/>
      <c r="M154" s="213"/>
      <c r="N154" s="214"/>
      <c r="O154" s="214"/>
      <c r="P154" s="91"/>
      <c r="Q154" s="91"/>
    </row>
    <row r="155" spans="1:17" s="93" customFormat="1" x14ac:dyDescent="0.35">
      <c r="A155" s="90"/>
      <c r="B155" s="91"/>
      <c r="C155" s="91"/>
      <c r="D155" s="91"/>
      <c r="E155" s="91"/>
      <c r="F155" s="91"/>
      <c r="G155" s="91"/>
      <c r="H155" s="91"/>
      <c r="I155" s="91"/>
      <c r="J155" s="91"/>
      <c r="K155" s="213"/>
      <c r="L155" s="213"/>
      <c r="M155" s="213"/>
      <c r="N155" s="214"/>
      <c r="O155" s="214"/>
      <c r="P155" s="91"/>
      <c r="Q155" s="91"/>
    </row>
    <row r="156" spans="1:17" s="93" customFormat="1" x14ac:dyDescent="0.35">
      <c r="A156" s="90"/>
      <c r="B156" s="91"/>
      <c r="C156" s="91"/>
      <c r="D156" s="91"/>
      <c r="E156" s="91"/>
      <c r="F156" s="91"/>
      <c r="G156" s="91"/>
      <c r="H156" s="91"/>
      <c r="I156" s="91"/>
      <c r="J156" s="91"/>
      <c r="K156" s="213"/>
      <c r="L156" s="213"/>
      <c r="M156" s="213"/>
      <c r="N156" s="214"/>
      <c r="O156" s="214"/>
      <c r="P156" s="91"/>
      <c r="Q156" s="91"/>
    </row>
    <row r="157" spans="1:17" s="93" customFormat="1" x14ac:dyDescent="0.35">
      <c r="A157" s="90"/>
      <c r="B157" s="91"/>
      <c r="C157" s="91"/>
      <c r="D157" s="91"/>
      <c r="E157" s="91"/>
      <c r="F157" s="91"/>
      <c r="G157" s="91"/>
      <c r="H157" s="91"/>
      <c r="I157" s="91"/>
      <c r="J157" s="91"/>
      <c r="K157" s="213"/>
      <c r="L157" s="213"/>
      <c r="M157" s="213"/>
      <c r="N157" s="214"/>
      <c r="O157" s="214"/>
      <c r="P157" s="91"/>
      <c r="Q157" s="91"/>
    </row>
    <row r="158" spans="1:17" s="93" customFormat="1" x14ac:dyDescent="0.35">
      <c r="A158" s="90"/>
      <c r="B158" s="91"/>
      <c r="C158" s="91"/>
      <c r="D158" s="91"/>
      <c r="E158" s="91"/>
      <c r="F158" s="91"/>
      <c r="G158" s="91"/>
      <c r="H158" s="91"/>
      <c r="I158" s="91"/>
      <c r="J158" s="91"/>
      <c r="K158" s="213"/>
      <c r="L158" s="213"/>
      <c r="M158" s="213"/>
      <c r="N158" s="214"/>
      <c r="O158" s="214"/>
      <c r="P158" s="91"/>
      <c r="Q158" s="91"/>
    </row>
    <row r="159" spans="1:17" s="93" customFormat="1" x14ac:dyDescent="0.35">
      <c r="A159" s="90"/>
      <c r="B159" s="91"/>
      <c r="C159" s="91"/>
      <c r="D159" s="91"/>
      <c r="E159" s="91"/>
      <c r="F159" s="91"/>
      <c r="G159" s="91"/>
      <c r="H159" s="91"/>
      <c r="I159" s="91"/>
      <c r="J159" s="91"/>
      <c r="K159" s="213"/>
      <c r="L159" s="213"/>
      <c r="M159" s="213"/>
      <c r="N159" s="214"/>
      <c r="O159" s="214"/>
      <c r="P159" s="91"/>
      <c r="Q159" s="91"/>
    </row>
    <row r="160" spans="1:17" s="93" customFormat="1" x14ac:dyDescent="0.35">
      <c r="A160" s="90"/>
      <c r="B160" s="91"/>
      <c r="C160" s="91"/>
      <c r="D160" s="91"/>
      <c r="E160" s="91"/>
      <c r="F160" s="91"/>
      <c r="G160" s="91"/>
      <c r="H160" s="91"/>
      <c r="I160" s="91"/>
      <c r="J160" s="91"/>
      <c r="K160" s="213"/>
      <c r="L160" s="213"/>
      <c r="M160" s="213"/>
      <c r="N160" s="214"/>
      <c r="O160" s="214"/>
      <c r="P160" s="91"/>
      <c r="Q160" s="91"/>
    </row>
    <row r="161" spans="1:17" s="93" customFormat="1" x14ac:dyDescent="0.35">
      <c r="A161" s="90"/>
      <c r="B161" s="91"/>
      <c r="C161" s="91"/>
      <c r="D161" s="91"/>
      <c r="E161" s="91"/>
      <c r="F161" s="91"/>
      <c r="G161" s="91"/>
      <c r="H161" s="91"/>
      <c r="I161" s="91"/>
      <c r="J161" s="91"/>
      <c r="K161" s="94"/>
      <c r="L161" s="94"/>
      <c r="M161" s="94"/>
      <c r="N161" s="91"/>
      <c r="O161" s="91"/>
      <c r="P161" s="91"/>
      <c r="Q161" s="91"/>
    </row>
    <row r="162" spans="1:17" s="93" customFormat="1" x14ac:dyDescent="0.35">
      <c r="A162" s="90"/>
      <c r="B162" s="91"/>
      <c r="C162" s="91"/>
      <c r="D162" s="91"/>
      <c r="E162" s="91"/>
      <c r="F162" s="91"/>
      <c r="G162" s="91"/>
      <c r="H162" s="91"/>
      <c r="I162" s="91"/>
      <c r="J162" s="91"/>
      <c r="K162" s="94"/>
      <c r="L162" s="94"/>
      <c r="M162" s="94"/>
      <c r="N162" s="91"/>
      <c r="O162" s="91"/>
      <c r="P162" s="91"/>
      <c r="Q162" s="91"/>
    </row>
    <row r="163" spans="1:17" s="93" customFormat="1" x14ac:dyDescent="0.35">
      <c r="A163" s="90"/>
      <c r="B163" s="91"/>
      <c r="C163" s="91"/>
      <c r="D163" s="91"/>
      <c r="E163" s="91"/>
      <c r="F163" s="91"/>
      <c r="G163" s="91"/>
      <c r="H163" s="91"/>
      <c r="I163" s="91"/>
      <c r="J163" s="91"/>
      <c r="K163" s="94"/>
      <c r="L163" s="94"/>
      <c r="M163" s="94"/>
      <c r="N163" s="91"/>
      <c r="O163" s="91"/>
      <c r="P163" s="91"/>
      <c r="Q163" s="91"/>
    </row>
    <row r="164" spans="1:17" s="93" customFormat="1" x14ac:dyDescent="0.35">
      <c r="A164" s="90"/>
      <c r="B164" s="91"/>
      <c r="C164" s="91"/>
      <c r="D164" s="91"/>
      <c r="E164" s="91"/>
      <c r="F164" s="91"/>
      <c r="G164" s="91"/>
      <c r="H164" s="91"/>
      <c r="I164" s="91"/>
      <c r="J164" s="91"/>
      <c r="K164" s="94"/>
      <c r="L164" s="94"/>
      <c r="M164" s="94"/>
      <c r="N164" s="91"/>
      <c r="O164" s="91"/>
      <c r="P164" s="91"/>
      <c r="Q164" s="91"/>
    </row>
    <row r="165" spans="1:17" s="93" customFormat="1" x14ac:dyDescent="0.35">
      <c r="A165" s="90"/>
      <c r="B165" s="91"/>
      <c r="C165" s="91"/>
      <c r="D165" s="91"/>
      <c r="E165" s="91"/>
      <c r="F165" s="91"/>
      <c r="G165" s="91"/>
      <c r="H165" s="91"/>
      <c r="I165" s="91"/>
      <c r="J165" s="91"/>
      <c r="K165" s="94"/>
      <c r="L165" s="94"/>
      <c r="M165" s="94"/>
      <c r="N165" s="91"/>
      <c r="O165" s="91"/>
      <c r="P165" s="91"/>
      <c r="Q165" s="91"/>
    </row>
    <row r="166" spans="1:17" s="93" customFormat="1" x14ac:dyDescent="0.35">
      <c r="A166" s="90"/>
      <c r="B166" s="91"/>
      <c r="C166" s="91"/>
      <c r="D166" s="91"/>
      <c r="E166" s="91"/>
      <c r="F166" s="91"/>
      <c r="G166" s="91"/>
      <c r="H166" s="91"/>
      <c r="I166" s="91"/>
      <c r="J166" s="91"/>
      <c r="K166" s="94"/>
      <c r="L166" s="94"/>
      <c r="M166" s="94"/>
      <c r="N166" s="91"/>
      <c r="O166" s="91"/>
      <c r="P166" s="91"/>
      <c r="Q166" s="91"/>
    </row>
    <row r="167" spans="1:17" s="93" customFormat="1" x14ac:dyDescent="0.35">
      <c r="A167" s="90"/>
      <c r="B167" s="91"/>
      <c r="C167" s="91"/>
      <c r="D167" s="91"/>
      <c r="E167" s="91"/>
      <c r="F167" s="91"/>
      <c r="G167" s="91"/>
      <c r="H167" s="91"/>
      <c r="I167" s="91"/>
      <c r="J167" s="91"/>
      <c r="K167" s="94"/>
      <c r="L167" s="94"/>
      <c r="M167" s="94"/>
      <c r="N167" s="91"/>
      <c r="O167" s="91"/>
      <c r="P167" s="91"/>
      <c r="Q167" s="91"/>
    </row>
    <row r="168" spans="1:17" s="93" customFormat="1" x14ac:dyDescent="0.35">
      <c r="A168" s="90"/>
      <c r="B168" s="91"/>
      <c r="C168" s="91"/>
      <c r="D168" s="91"/>
      <c r="E168" s="91"/>
      <c r="F168" s="91"/>
      <c r="G168" s="91"/>
      <c r="H168" s="91"/>
      <c r="I168" s="91"/>
      <c r="J168" s="91"/>
      <c r="K168" s="94"/>
      <c r="L168" s="94"/>
      <c r="M168" s="94"/>
      <c r="N168" s="91"/>
      <c r="O168" s="91"/>
      <c r="P168" s="91"/>
      <c r="Q168" s="91"/>
    </row>
    <row r="169" spans="1:17" s="93" customFormat="1" x14ac:dyDescent="0.35">
      <c r="A169" s="90"/>
      <c r="B169" s="91"/>
      <c r="C169" s="91"/>
      <c r="D169" s="91"/>
      <c r="E169" s="91"/>
      <c r="F169" s="91"/>
      <c r="G169" s="91"/>
      <c r="H169" s="91"/>
      <c r="I169" s="91"/>
      <c r="J169" s="91"/>
      <c r="K169" s="94"/>
      <c r="L169" s="94"/>
      <c r="M169" s="94"/>
      <c r="N169" s="91"/>
      <c r="O169" s="91"/>
      <c r="P169" s="91"/>
      <c r="Q169" s="91"/>
    </row>
    <row r="170" spans="1:17" s="93" customFormat="1" x14ac:dyDescent="0.35">
      <c r="A170" s="90"/>
      <c r="B170" s="91"/>
      <c r="C170" s="91"/>
      <c r="D170" s="91"/>
      <c r="E170" s="91"/>
      <c r="F170" s="91"/>
      <c r="G170" s="91"/>
      <c r="H170" s="91"/>
      <c r="I170" s="91"/>
      <c r="J170" s="91"/>
      <c r="K170" s="94"/>
      <c r="L170" s="94"/>
      <c r="M170" s="94"/>
      <c r="N170" s="91"/>
      <c r="O170" s="91"/>
      <c r="P170" s="91"/>
      <c r="Q170" s="91"/>
    </row>
    <row r="171" spans="1:17" x14ac:dyDescent="0.35">
      <c r="A171" s="90"/>
      <c r="B171" s="91"/>
      <c r="C171" s="91"/>
      <c r="D171" s="91"/>
      <c r="E171" s="91"/>
      <c r="F171" s="91"/>
      <c r="G171" s="91"/>
      <c r="H171" s="91"/>
      <c r="I171" s="91"/>
      <c r="J171" s="91"/>
      <c r="K171" s="94"/>
      <c r="L171" s="94"/>
      <c r="M171" s="94"/>
      <c r="N171" s="91"/>
      <c r="O171" s="91"/>
      <c r="P171" s="91"/>
      <c r="Q171" s="91"/>
    </row>
    <row r="172" spans="1:17" x14ac:dyDescent="0.35">
      <c r="A172" s="90"/>
      <c r="B172" s="91"/>
      <c r="C172" s="91"/>
      <c r="D172" s="91"/>
      <c r="E172" s="91"/>
      <c r="F172" s="91"/>
      <c r="G172" s="91"/>
      <c r="H172" s="91"/>
      <c r="I172" s="91"/>
      <c r="J172" s="91"/>
      <c r="K172" s="94"/>
      <c r="L172" s="94"/>
      <c r="M172" s="94"/>
      <c r="N172" s="91"/>
      <c r="O172" s="91"/>
      <c r="P172" s="91"/>
      <c r="Q172" s="91"/>
    </row>
    <row r="173" spans="1:17" x14ac:dyDescent="0.35">
      <c r="A173" s="90"/>
      <c r="B173" s="91"/>
      <c r="C173" s="91"/>
      <c r="D173" s="91"/>
      <c r="E173" s="91"/>
      <c r="F173" s="91"/>
      <c r="G173" s="91"/>
      <c r="H173" s="91"/>
      <c r="I173" s="91"/>
      <c r="J173" s="91"/>
      <c r="K173" s="94"/>
      <c r="L173" s="94"/>
      <c r="M173" s="94"/>
      <c r="N173" s="91"/>
      <c r="O173" s="91"/>
      <c r="P173" s="91"/>
      <c r="Q173" s="91"/>
    </row>
    <row r="174" spans="1:17" x14ac:dyDescent="0.35">
      <c r="A174" s="90"/>
      <c r="B174" s="91"/>
      <c r="C174" s="91"/>
      <c r="D174" s="91"/>
      <c r="E174" s="91"/>
      <c r="F174" s="91"/>
      <c r="G174" s="91"/>
      <c r="H174" s="91"/>
      <c r="I174" s="91"/>
      <c r="J174" s="91"/>
      <c r="K174" s="94"/>
      <c r="L174" s="94"/>
      <c r="M174" s="94"/>
      <c r="N174" s="91"/>
      <c r="O174" s="91"/>
      <c r="P174" s="91"/>
      <c r="Q174" s="91"/>
    </row>
    <row r="175" spans="1:17" x14ac:dyDescent="0.35">
      <c r="A175" s="90"/>
      <c r="B175" s="91"/>
      <c r="C175" s="91"/>
      <c r="D175" s="91"/>
      <c r="E175" s="91"/>
      <c r="F175" s="91"/>
      <c r="G175" s="91"/>
      <c r="H175" s="91"/>
      <c r="I175" s="91"/>
      <c r="J175" s="91"/>
      <c r="K175" s="94"/>
      <c r="L175" s="94"/>
      <c r="M175" s="94"/>
      <c r="N175" s="91"/>
      <c r="O175" s="91"/>
      <c r="P175" s="91"/>
      <c r="Q175" s="91"/>
    </row>
    <row r="176" spans="1:17" x14ac:dyDescent="0.35">
      <c r="A176" s="90"/>
      <c r="B176" s="91"/>
      <c r="C176" s="91"/>
      <c r="D176" s="91"/>
      <c r="E176" s="91"/>
      <c r="F176" s="91"/>
      <c r="G176" s="91"/>
      <c r="H176" s="91"/>
      <c r="I176" s="91"/>
      <c r="J176" s="91"/>
      <c r="K176" s="94"/>
      <c r="L176" s="94"/>
      <c r="M176" s="94"/>
      <c r="N176" s="91"/>
      <c r="O176" s="91"/>
      <c r="P176" s="91"/>
      <c r="Q176" s="91"/>
    </row>
    <row r="177" spans="1:17" x14ac:dyDescent="0.35">
      <c r="A177" s="90"/>
      <c r="B177" s="91"/>
      <c r="C177" s="91"/>
      <c r="D177" s="91"/>
      <c r="E177" s="91"/>
      <c r="F177" s="91"/>
      <c r="G177" s="91"/>
      <c r="H177" s="91"/>
      <c r="I177" s="91"/>
      <c r="J177" s="91"/>
      <c r="K177" s="91"/>
      <c r="L177" s="91"/>
      <c r="M177" s="91"/>
      <c r="N177" s="91"/>
      <c r="O177" s="91"/>
      <c r="P177" s="91"/>
      <c r="Q177" s="91"/>
    </row>
    <row r="178" spans="1:17" x14ac:dyDescent="0.35">
      <c r="A178" s="90"/>
      <c r="B178" s="91"/>
      <c r="C178" s="91"/>
      <c r="D178" s="91"/>
      <c r="E178" s="91"/>
      <c r="F178" s="91"/>
      <c r="G178" s="91"/>
      <c r="H178" s="91"/>
      <c r="I178" s="91"/>
      <c r="J178" s="91"/>
      <c r="K178" s="91"/>
      <c r="L178" s="91"/>
      <c r="M178" s="91"/>
      <c r="N178" s="91"/>
      <c r="O178" s="91"/>
      <c r="P178" s="91"/>
      <c r="Q178" s="91"/>
    </row>
    <row r="179" spans="1:17" x14ac:dyDescent="0.35">
      <c r="A179" s="90"/>
      <c r="B179" s="91"/>
      <c r="C179" s="91"/>
      <c r="D179" s="91"/>
      <c r="E179" s="91"/>
      <c r="F179" s="91"/>
      <c r="G179" s="91"/>
      <c r="H179" s="91"/>
      <c r="I179" s="91"/>
      <c r="J179" s="91"/>
      <c r="K179" s="91"/>
      <c r="L179" s="91"/>
      <c r="M179" s="91"/>
      <c r="N179" s="91"/>
      <c r="O179" s="91"/>
      <c r="P179" s="91"/>
      <c r="Q179" s="91"/>
    </row>
    <row r="180" spans="1:17" x14ac:dyDescent="0.35">
      <c r="A180" s="90"/>
      <c r="B180" s="91"/>
      <c r="C180" s="91"/>
      <c r="D180" s="91"/>
      <c r="E180" s="91"/>
      <c r="F180" s="91"/>
      <c r="G180" s="91"/>
      <c r="H180" s="91"/>
      <c r="I180" s="91"/>
      <c r="J180" s="91"/>
      <c r="K180" s="91"/>
      <c r="L180" s="91"/>
      <c r="M180" s="91"/>
      <c r="N180" s="91"/>
      <c r="O180" s="91"/>
      <c r="P180" s="91"/>
      <c r="Q180" s="91"/>
    </row>
    <row r="181" spans="1:17" x14ac:dyDescent="0.35">
      <c r="A181" s="90"/>
      <c r="B181" s="91"/>
      <c r="C181" s="91"/>
      <c r="D181" s="91"/>
      <c r="E181" s="91"/>
      <c r="F181" s="91"/>
      <c r="G181" s="91"/>
      <c r="H181" s="91"/>
      <c r="I181" s="91"/>
      <c r="J181" s="91"/>
      <c r="K181" s="91"/>
      <c r="L181" s="91"/>
      <c r="M181" s="91"/>
      <c r="N181" s="91"/>
      <c r="O181" s="91"/>
      <c r="P181" s="91"/>
      <c r="Q181" s="91"/>
    </row>
    <row r="182" spans="1:17" x14ac:dyDescent="0.35">
      <c r="A182" s="90"/>
      <c r="B182" s="91"/>
      <c r="C182" s="91"/>
      <c r="D182" s="91"/>
      <c r="E182" s="91"/>
      <c r="F182" s="91"/>
      <c r="G182" s="91"/>
      <c r="H182" s="91"/>
      <c r="I182" s="91"/>
      <c r="J182" s="91"/>
      <c r="K182" s="91"/>
      <c r="L182" s="91"/>
      <c r="M182" s="91"/>
      <c r="N182" s="91"/>
      <c r="O182" s="91"/>
      <c r="P182" s="91"/>
      <c r="Q182" s="91"/>
    </row>
    <row r="183" spans="1:17" x14ac:dyDescent="0.35">
      <c r="A183" s="90"/>
      <c r="B183" s="91"/>
      <c r="C183" s="91"/>
      <c r="D183" s="91"/>
      <c r="E183" s="91"/>
      <c r="F183" s="91"/>
      <c r="G183" s="91"/>
      <c r="H183" s="91"/>
      <c r="I183" s="91"/>
      <c r="J183" s="91"/>
      <c r="K183" s="91"/>
      <c r="L183" s="91"/>
      <c r="M183" s="91"/>
      <c r="N183" s="91"/>
      <c r="O183" s="91"/>
      <c r="P183" s="91"/>
      <c r="Q183" s="91"/>
    </row>
    <row r="184" spans="1:17" x14ac:dyDescent="0.35">
      <c r="A184" s="90"/>
      <c r="B184" s="91"/>
      <c r="C184" s="91"/>
      <c r="D184" s="91"/>
      <c r="E184" s="91"/>
      <c r="F184" s="91"/>
      <c r="G184" s="91"/>
      <c r="H184" s="91"/>
      <c r="I184" s="91"/>
      <c r="J184" s="91"/>
      <c r="K184" s="91"/>
      <c r="L184" s="91"/>
      <c r="M184" s="91"/>
      <c r="N184" s="91"/>
      <c r="O184" s="91"/>
      <c r="P184" s="91"/>
      <c r="Q184" s="91"/>
    </row>
    <row r="185" spans="1:17" x14ac:dyDescent="0.35">
      <c r="A185" s="90"/>
      <c r="B185" s="91"/>
      <c r="C185" s="91"/>
      <c r="D185" s="91"/>
      <c r="E185" s="91"/>
      <c r="F185" s="91"/>
      <c r="G185" s="91"/>
      <c r="H185" s="91"/>
      <c r="I185" s="91"/>
      <c r="J185" s="91"/>
      <c r="K185" s="91"/>
      <c r="L185" s="91"/>
      <c r="M185" s="91"/>
      <c r="N185" s="91"/>
      <c r="O185" s="91"/>
      <c r="P185" s="91"/>
      <c r="Q185" s="91"/>
    </row>
    <row r="186" spans="1:17" x14ac:dyDescent="0.35">
      <c r="A186" s="90"/>
      <c r="B186" s="91"/>
      <c r="C186" s="91"/>
      <c r="D186" s="91"/>
      <c r="E186" s="91"/>
      <c r="F186" s="91"/>
      <c r="G186" s="91"/>
      <c r="H186" s="91"/>
      <c r="I186" s="91"/>
      <c r="J186" s="91"/>
      <c r="K186" s="91"/>
      <c r="L186" s="91"/>
      <c r="M186" s="91"/>
      <c r="N186" s="91"/>
      <c r="O186" s="91"/>
      <c r="P186" s="91"/>
      <c r="Q186" s="91"/>
    </row>
    <row r="187" spans="1:17" x14ac:dyDescent="0.35">
      <c r="A187" s="90"/>
      <c r="B187" s="91"/>
      <c r="C187" s="91"/>
      <c r="D187" s="91"/>
      <c r="E187" s="91"/>
      <c r="F187" s="91"/>
      <c r="G187" s="91"/>
      <c r="H187" s="91"/>
      <c r="I187" s="91"/>
      <c r="J187" s="91"/>
      <c r="K187" s="91"/>
      <c r="L187" s="91"/>
      <c r="M187" s="91"/>
      <c r="N187" s="91"/>
      <c r="O187" s="91"/>
      <c r="P187" s="91"/>
      <c r="Q187" s="91"/>
    </row>
    <row r="188" spans="1:17" x14ac:dyDescent="0.35">
      <c r="A188" s="90"/>
      <c r="B188" s="91"/>
      <c r="C188" s="91"/>
      <c r="D188" s="91"/>
      <c r="E188" s="91"/>
      <c r="F188" s="91"/>
      <c r="G188" s="91"/>
      <c r="H188" s="91"/>
      <c r="I188" s="91"/>
      <c r="J188" s="91"/>
      <c r="K188" s="91"/>
      <c r="L188" s="91"/>
      <c r="M188" s="91"/>
      <c r="N188" s="91"/>
      <c r="O188" s="91"/>
    </row>
    <row r="189" spans="1:17" x14ac:dyDescent="0.35">
      <c r="A189" s="90"/>
      <c r="B189" s="91"/>
      <c r="C189" s="91"/>
      <c r="D189" s="91"/>
      <c r="E189" s="91"/>
      <c r="F189" s="91"/>
      <c r="G189" s="91"/>
      <c r="H189" s="91"/>
      <c r="I189" s="91"/>
      <c r="J189" s="91"/>
      <c r="K189" s="91"/>
      <c r="L189" s="91"/>
      <c r="M189" s="91"/>
      <c r="N189" s="91"/>
      <c r="O189" s="91"/>
    </row>
    <row r="190" spans="1:17" x14ac:dyDescent="0.35">
      <c r="A190" s="90"/>
      <c r="B190" s="91"/>
      <c r="C190" s="91"/>
      <c r="D190" s="91"/>
      <c r="E190" s="91"/>
      <c r="F190" s="91"/>
      <c r="G190" s="91"/>
      <c r="H190" s="91"/>
      <c r="I190" s="91"/>
      <c r="J190" s="91"/>
      <c r="K190" s="91"/>
      <c r="L190" s="91"/>
      <c r="M190" s="91"/>
      <c r="N190" s="91"/>
      <c r="O190" s="91"/>
    </row>
    <row r="191" spans="1:17" x14ac:dyDescent="0.35">
      <c r="A191" s="90"/>
      <c r="B191" s="91"/>
      <c r="C191" s="91"/>
      <c r="D191" s="91"/>
      <c r="E191" s="91"/>
      <c r="F191" s="91"/>
      <c r="G191" s="91"/>
      <c r="H191" s="91"/>
      <c r="I191" s="91"/>
      <c r="J191" s="91"/>
      <c r="K191" s="91"/>
      <c r="L191" s="91"/>
      <c r="M191" s="91"/>
      <c r="N191" s="91"/>
      <c r="O191" s="91"/>
    </row>
    <row r="192" spans="1:17" x14ac:dyDescent="0.35">
      <c r="A192" s="90"/>
      <c r="B192" s="91"/>
      <c r="C192" s="91"/>
      <c r="D192" s="91"/>
      <c r="E192" s="91"/>
      <c r="F192" s="91"/>
      <c r="G192" s="91"/>
      <c r="H192" s="91"/>
      <c r="I192" s="91"/>
      <c r="J192" s="91"/>
      <c r="K192" s="91"/>
      <c r="L192" s="91"/>
      <c r="M192" s="91"/>
      <c r="N192" s="91"/>
      <c r="O192" s="91"/>
    </row>
    <row r="193" spans="1:15" x14ac:dyDescent="0.35">
      <c r="A193" s="90"/>
      <c r="B193" s="91"/>
      <c r="C193" s="91"/>
      <c r="D193" s="91"/>
      <c r="E193" s="91"/>
      <c r="F193" s="91"/>
      <c r="G193" s="91"/>
      <c r="H193" s="91"/>
      <c r="I193" s="91"/>
      <c r="J193" s="91"/>
      <c r="K193" s="91"/>
      <c r="L193" s="91"/>
      <c r="M193" s="91"/>
      <c r="N193" s="91"/>
      <c r="O193" s="91"/>
    </row>
    <row r="194" spans="1:15" x14ac:dyDescent="0.35">
      <c r="A194" s="90"/>
      <c r="B194" s="91"/>
      <c r="C194" s="91"/>
      <c r="D194" s="91"/>
      <c r="E194" s="91"/>
      <c r="F194" s="91"/>
      <c r="G194" s="91"/>
      <c r="H194" s="91"/>
      <c r="I194" s="91"/>
      <c r="J194" s="91"/>
      <c r="K194" s="91"/>
      <c r="L194" s="91"/>
      <c r="M194" s="91"/>
      <c r="N194" s="91"/>
      <c r="O194" s="91"/>
    </row>
    <row r="195" spans="1:15" x14ac:dyDescent="0.35">
      <c r="A195" s="90"/>
      <c r="B195" s="91"/>
      <c r="C195" s="91"/>
      <c r="D195" s="91"/>
      <c r="E195" s="91"/>
      <c r="F195" s="91"/>
      <c r="G195" s="91"/>
      <c r="H195" s="91"/>
      <c r="I195" s="91"/>
      <c r="J195" s="91"/>
      <c r="K195" s="91"/>
      <c r="L195" s="91"/>
      <c r="M195" s="91"/>
      <c r="N195" s="91"/>
      <c r="O195" s="91"/>
    </row>
    <row r="196" spans="1:15" x14ac:dyDescent="0.35">
      <c r="A196" s="90"/>
      <c r="B196" s="91"/>
      <c r="C196" s="91"/>
      <c r="D196" s="91"/>
      <c r="E196" s="91"/>
      <c r="F196" s="91"/>
      <c r="G196" s="91"/>
      <c r="H196" s="91"/>
      <c r="I196" s="91"/>
      <c r="J196" s="91"/>
      <c r="K196" s="91"/>
      <c r="L196" s="91"/>
      <c r="M196" s="91"/>
      <c r="N196" s="91"/>
      <c r="O196" s="91"/>
    </row>
    <row r="197" spans="1:15" x14ac:dyDescent="0.35">
      <c r="A197" s="90"/>
      <c r="B197" s="91"/>
      <c r="C197" s="91"/>
      <c r="D197" s="91"/>
      <c r="E197" s="91"/>
      <c r="F197" s="91"/>
      <c r="G197" s="91"/>
      <c r="H197" s="91"/>
      <c r="I197" s="91"/>
      <c r="J197" s="91"/>
      <c r="K197" s="91"/>
      <c r="L197" s="91"/>
      <c r="M197" s="91"/>
      <c r="N197" s="91"/>
      <c r="O197" s="91"/>
    </row>
    <row r="198" spans="1:15" x14ac:dyDescent="0.35">
      <c r="A198" s="90"/>
      <c r="B198" s="91"/>
      <c r="C198" s="91"/>
      <c r="D198" s="91"/>
      <c r="E198" s="91"/>
      <c r="F198" s="91"/>
      <c r="G198" s="91"/>
      <c r="H198" s="91"/>
      <c r="I198" s="91"/>
      <c r="J198" s="91"/>
      <c r="K198" s="91"/>
      <c r="L198" s="91"/>
      <c r="M198" s="91"/>
      <c r="N198" s="91"/>
      <c r="O198" s="91"/>
    </row>
    <row r="199" spans="1:15" x14ac:dyDescent="0.35">
      <c r="A199" s="90"/>
      <c r="B199" s="91"/>
      <c r="C199" s="91"/>
      <c r="D199" s="91"/>
      <c r="E199" s="91"/>
      <c r="F199" s="91"/>
      <c r="G199" s="91"/>
      <c r="H199" s="91"/>
      <c r="I199" s="91"/>
      <c r="J199" s="91"/>
      <c r="K199" s="91"/>
      <c r="L199" s="91"/>
      <c r="M199" s="91"/>
      <c r="N199" s="91"/>
      <c r="O199" s="91"/>
    </row>
    <row r="200" spans="1:15" x14ac:dyDescent="0.35">
      <c r="A200" s="90"/>
      <c r="B200" s="91"/>
      <c r="C200" s="91"/>
      <c r="D200" s="91"/>
      <c r="E200" s="91"/>
      <c r="F200" s="91"/>
      <c r="G200" s="91"/>
      <c r="H200" s="91"/>
      <c r="I200" s="91"/>
      <c r="J200" s="91"/>
      <c r="K200" s="91"/>
      <c r="L200" s="91"/>
      <c r="M200" s="91"/>
      <c r="N200" s="91"/>
      <c r="O200" s="91"/>
    </row>
    <row r="201" spans="1:15" x14ac:dyDescent="0.35">
      <c r="A201" s="90"/>
      <c r="B201" s="91"/>
      <c r="C201" s="91"/>
      <c r="D201" s="91"/>
      <c r="E201" s="91"/>
      <c r="F201" s="91"/>
      <c r="G201" s="91"/>
      <c r="H201" s="91"/>
      <c r="I201" s="91"/>
      <c r="J201" s="91"/>
      <c r="K201" s="91"/>
      <c r="L201" s="91"/>
      <c r="M201" s="91"/>
      <c r="N201" s="91"/>
      <c r="O201" s="91"/>
    </row>
    <row r="202" spans="1:15" x14ac:dyDescent="0.35">
      <c r="A202" s="90"/>
      <c r="B202" s="91"/>
      <c r="C202" s="91"/>
      <c r="D202" s="91"/>
      <c r="E202" s="91"/>
      <c r="F202" s="91"/>
      <c r="G202" s="91"/>
      <c r="H202" s="91"/>
      <c r="I202" s="91"/>
      <c r="J202" s="91"/>
      <c r="K202" s="91"/>
      <c r="L202" s="91"/>
      <c r="M202" s="91"/>
      <c r="N202" s="91"/>
      <c r="O202" s="91"/>
    </row>
    <row r="203" spans="1:15" x14ac:dyDescent="0.35">
      <c r="A203" s="90"/>
      <c r="B203" s="91"/>
      <c r="C203" s="91"/>
      <c r="D203" s="91"/>
      <c r="E203" s="91"/>
      <c r="F203" s="91"/>
      <c r="G203" s="91"/>
      <c r="H203" s="91"/>
      <c r="I203" s="91"/>
      <c r="J203" s="91"/>
      <c r="K203" s="91"/>
      <c r="L203" s="91"/>
      <c r="M203" s="91"/>
      <c r="N203" s="91"/>
      <c r="O203" s="91"/>
    </row>
    <row r="204" spans="1:15" x14ac:dyDescent="0.35">
      <c r="A204" s="90"/>
      <c r="B204" s="91"/>
      <c r="C204" s="91"/>
      <c r="D204" s="91"/>
      <c r="E204" s="91"/>
      <c r="F204" s="91"/>
      <c r="G204" s="91"/>
      <c r="H204" s="91"/>
      <c r="I204" s="91"/>
      <c r="J204" s="91"/>
      <c r="K204" s="91"/>
      <c r="L204" s="91"/>
      <c r="M204" s="91"/>
      <c r="N204" s="91"/>
      <c r="O204" s="91"/>
    </row>
    <row r="205" spans="1:15" x14ac:dyDescent="0.35">
      <c r="A205" s="90"/>
      <c r="B205" s="91"/>
      <c r="C205" s="91"/>
      <c r="D205" s="91"/>
      <c r="E205" s="91"/>
      <c r="F205" s="91"/>
      <c r="G205" s="91"/>
      <c r="H205" s="91"/>
      <c r="I205" s="91"/>
      <c r="J205" s="91"/>
      <c r="K205" s="91"/>
      <c r="L205" s="91"/>
      <c r="M205" s="91"/>
      <c r="N205" s="91"/>
      <c r="O205" s="91"/>
    </row>
    <row r="207" spans="1:15" x14ac:dyDescent="0.35">
      <c r="A207" s="92"/>
    </row>
    <row r="208" spans="1:15" x14ac:dyDescent="0.35">
      <c r="A208" s="92"/>
    </row>
    <row r="209" spans="1:1" x14ac:dyDescent="0.35">
      <c r="A209" s="92"/>
    </row>
    <row r="210" spans="1:1" x14ac:dyDescent="0.35">
      <c r="A210" s="92"/>
    </row>
    <row r="211" spans="1:1" x14ac:dyDescent="0.35">
      <c r="A211" s="92"/>
    </row>
    <row r="212" spans="1:1" x14ac:dyDescent="0.35">
      <c r="A212" s="92"/>
    </row>
    <row r="213" spans="1:1" x14ac:dyDescent="0.35">
      <c r="A213" s="92"/>
    </row>
    <row r="214" spans="1:1" x14ac:dyDescent="0.35">
      <c r="A214" s="92"/>
    </row>
    <row r="215" spans="1:1" x14ac:dyDescent="0.35">
      <c r="A215" s="92"/>
    </row>
    <row r="216" spans="1:1" x14ac:dyDescent="0.35">
      <c r="A216" s="92"/>
    </row>
  </sheetData>
  <conditionalFormatting sqref="B5:Q150 P151:Q187 B151:O205">
    <cfRule type="cellIs" dxfId="0" priority="1" stopIfTrue="1" operator="equal">
      <formula>0</formula>
    </cfRule>
  </conditionalFormatting>
  <conditionalFormatting sqref="B5:J176">
    <cfRule type="cellIs" priority="2" stopIfTrue="1" operator="equal">
      <formula>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90"/>
  <sheetViews>
    <sheetView workbookViewId="0">
      <selection activeCell="O33" sqref="O33"/>
    </sheetView>
  </sheetViews>
  <sheetFormatPr defaultRowHeight="12.5" x14ac:dyDescent="0.25"/>
  <cols>
    <col min="1" max="1" width="22.81640625" customWidth="1"/>
  </cols>
  <sheetData>
    <row r="1" spans="1:11" x14ac:dyDescent="0.25">
      <c r="I1" s="1"/>
      <c r="K1" s="1"/>
    </row>
    <row r="2" spans="1:11" x14ac:dyDescent="0.25">
      <c r="A2" s="1"/>
    </row>
    <row r="190" spans="6:8" x14ac:dyDescent="0.25">
      <c r="F190" s="1"/>
      <c r="G190" s="1"/>
      <c r="H190" s="1"/>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26"/>
  <sheetViews>
    <sheetView workbookViewId="0">
      <selection activeCell="A5" sqref="A5"/>
    </sheetView>
  </sheetViews>
  <sheetFormatPr defaultRowHeight="12.5" x14ac:dyDescent="0.25"/>
  <sheetData>
    <row r="1" spans="1:5" x14ac:dyDescent="0.25">
      <c r="A1" t="s">
        <v>211</v>
      </c>
      <c r="B1" s="1" t="s">
        <v>213</v>
      </c>
      <c r="C1" t="s">
        <v>195</v>
      </c>
    </row>
    <row r="2" spans="1:5" x14ac:dyDescent="0.25">
      <c r="A2" s="1" t="s">
        <v>237</v>
      </c>
      <c r="B2" s="1" t="str">
        <f>"Company A "&amp;country&amp;" uses funds from Company A "&amp;IF(country="United States","UK","USA")&amp;" to invest in Company B Canada"</f>
        <v>Company A Australia uses funds from Company A USA to invest in Company B Canada</v>
      </c>
      <c r="C2" s="1" t="e">
        <f>"Entreprise"&amp;CHAR(160)&amp;"A"&amp;CHAR(160)&amp;countryFr&amp;" utilise des fonds de Entreprise"&amp;CHAR(160)&amp;"A"&amp;CHAR(160)&amp;IF(country="United States","RU","USA")&amp;" pour investir dans Entreprise"&amp;CHAR(160)&amp;"B"&amp;CHAR(160)&amp;"Canada"</f>
        <v>#N/A</v>
      </c>
      <c r="E2" s="1"/>
    </row>
    <row r="3" spans="1:5" x14ac:dyDescent="0.25">
      <c r="A3" t="s">
        <v>19</v>
      </c>
      <c r="B3" s="1" t="s">
        <v>212</v>
      </c>
      <c r="C3" s="1" t="str">
        <f>"CSL"&amp;CHAR(160)&amp;"Biotech"&amp;CHAR(160)&amp;"Australia utilise des fonds de CSL"&amp;CHAR(160)&amp;"USA pour investir dans CSL"&amp;CHAR(160)&amp;"Canada"</f>
        <v>CSL Biotech Australia utilise des fonds de CSL USA pour investir dans CSL Canada</v>
      </c>
    </row>
    <row r="4" spans="1:5" x14ac:dyDescent="0.25">
      <c r="A4" s="1" t="s">
        <v>6</v>
      </c>
      <c r="B4" s="1" t="s">
        <v>214</v>
      </c>
      <c r="C4" s="1" t="str">
        <f>"Vale"&amp;CHAR(160)&amp;"Mining"&amp;CHAR(160)&amp;"Brésil utilise des fonds de Vale"&amp;CHAR(160)&amp;"Mining"&amp;CHAR(160)&amp;"USA pour investir dans Vale"&amp;CHAR(160)&amp;"Mining"&amp;CHAR(160)&amp;"Canada"</f>
        <v>Vale Mining Brésil utilise des fonds de Vale Mining USA pour investir dans Vale Mining Canada</v>
      </c>
    </row>
    <row r="5" spans="1:5" x14ac:dyDescent="0.25">
      <c r="A5" s="1" t="s">
        <v>7</v>
      </c>
      <c r="B5" s="1" t="s">
        <v>215</v>
      </c>
      <c r="C5" s="1" t="str">
        <f>"Sociedad"&amp;CHAR(160)&amp;"Punta"&amp;CHAR(160)&amp;"del"&amp;CHAR(160)&amp;"Cobre"&amp;CHAR(160)&amp;"Chile utilise des fonds de Sociedad"&amp;CHAR(160)&amp;"Punta"&amp;CHAR(160)&amp;"del"&amp;CHAR(160)&amp;"Cobre"&amp;CHAR(160)&amp;"USA pour investir dans Sociedad"&amp;CHAR(160)&amp;"Punta"&amp;CHAR(160)&amp;"del"&amp;CHAR(160)&amp;"Cobre"&amp;CHAR(160)&amp;"Canada"</f>
        <v>Sociedad Punta del Cobre Chile utilise des fonds de Sociedad Punta del Cobre USA pour investir dans Sociedad Punta del Cobre Canada</v>
      </c>
    </row>
    <row r="6" spans="1:5" x14ac:dyDescent="0.25">
      <c r="A6" s="1" t="s">
        <v>28</v>
      </c>
      <c r="B6" s="1" t="s">
        <v>216</v>
      </c>
      <c r="C6" s="1" t="str">
        <f>"la"&amp;CHAR(160)&amp;"Banque"&amp;CHAR(160)&amp;"de"&amp;CHAR(160)&amp;"Chine en Chine utilise des fonds de la"&amp;CHAR(160)&amp;"Banque"&amp;CHAR(160)&amp;"de"&amp;CHAR(160)&amp;"Chine aux États-Unis pour investir dans la"&amp;CHAR(160)&amp;"Banque"&amp;CHAR(160)&amp;"de"&amp;CHAR(160)&amp;"Chine au Canada"</f>
        <v>la Banque de Chine en Chine utilise des fonds de la Banque de Chine aux États-Unis pour investir dans la Banque de Chine au Canada</v>
      </c>
    </row>
    <row r="7" spans="1:5" x14ac:dyDescent="0.25">
      <c r="A7" s="1" t="s">
        <v>8</v>
      </c>
      <c r="B7" s="1" t="s">
        <v>217</v>
      </c>
      <c r="C7" s="1" t="str">
        <f>"Michelin"&amp;CHAR(160)&amp;"France utilise des fonds de Michelin"&amp;CHAR(160)&amp;"USA pour investir dans Michelin"&amp;CHAR(160)&amp;"Canada"</f>
        <v>Michelin France utilise des fonds de Michelin USA pour investir dans Michelin Canada</v>
      </c>
    </row>
    <row r="8" spans="1:5" x14ac:dyDescent="0.25">
      <c r="A8" s="1" t="s">
        <v>9</v>
      </c>
      <c r="B8" s="1" t="s">
        <v>218</v>
      </c>
      <c r="C8" s="1" t="str">
        <f>"Adidas"&amp;CHAR(160)&amp;"Allemagne utilise des fonds d’Adidas"&amp;CHAR(160)&amp;"USA pour investir dans Adidas"&amp;CHAR(160)&amp;"Canada"</f>
        <v>Adidas Allemagne utilise des fonds d’Adidas USA pour investir dans Adidas Canada</v>
      </c>
    </row>
    <row r="9" spans="1:5" x14ac:dyDescent="0.25">
      <c r="A9" s="1" t="s">
        <v>20</v>
      </c>
      <c r="B9" s="1" t="s">
        <v>219</v>
      </c>
      <c r="C9" s="1" t="str">
        <f>"la"&amp;CHAR(160)&amp;"Banque"&amp;CHAR(160)&amp;"de"&amp;CHAR(160)&amp;"Chine Hong Kong utilise des fonds de la"&amp;CHAR(160)&amp;"Banque"&amp;CHAR(160)&amp;"de"&amp;CHAR(160)&amp;"Chine aux États-Unis pour investir dans la"&amp;CHAR(160)&amp;"Banque"&amp;CHAR(160)&amp;"de"&amp;CHAR(160)&amp;"Chine au Canada"</f>
        <v>la Banque de Chine Hong Kong utilise des fonds de la Banque de Chine aux États-Unis pour investir dans la Banque de Chine au Canada</v>
      </c>
    </row>
    <row r="10" spans="1:5" x14ac:dyDescent="0.25">
      <c r="A10" s="1" t="s">
        <v>21</v>
      </c>
      <c r="B10" s="1" t="s">
        <v>220</v>
      </c>
      <c r="C10" s="1" t="str">
        <f>"ICICI"&amp;CHAR(160)&amp;"Bank India utilise des fonds d’ICICI"&amp;CHAR(160)&amp;"Bank USA pour investir dans la"&amp;CHAR(160)&amp;"Banque"&amp;CHAR(160)&amp;"ICICI au Canada"</f>
        <v>ICICI Bank India utilise des fonds d’ICICI Bank USA pour investir dans la Banque ICICI au Canada</v>
      </c>
    </row>
    <row r="11" spans="1:5" x14ac:dyDescent="0.25">
      <c r="A11" s="1" t="s">
        <v>10</v>
      </c>
      <c r="B11" s="1" t="s">
        <v>221</v>
      </c>
      <c r="C11" s="1" t="str">
        <f>"Klir"&amp;CHAR(160)&amp;"Irlande utilise des fonds de Klir"&amp;CHAR(160)&amp;"USA pour investir dans Klir"&amp;CHAR(160)&amp;"Canada"</f>
        <v>Klir Irlande utilise des fonds de Klir USA pour investir dans Klir Canada</v>
      </c>
    </row>
    <row r="12" spans="1:5" x14ac:dyDescent="0.25">
      <c r="A12" s="1" t="s">
        <v>11</v>
      </c>
      <c r="B12" s="1" t="s">
        <v>222</v>
      </c>
      <c r="C12" s="1" t="str">
        <f>"Ferrero"&amp;CHAR(160)&amp;"Italie utilise des fonds de Ferrero"&amp;CHAR(160)&amp;"USA pour investir dans Ferrero"&amp;CHAR(160)&amp;"Canada"</f>
        <v>Ferrero Italie utilise des fonds de Ferrero USA pour investir dans Ferrero Canada</v>
      </c>
    </row>
    <row r="13" spans="1:5" x14ac:dyDescent="0.25">
      <c r="A13" s="1" t="s">
        <v>22</v>
      </c>
      <c r="B13" s="1" t="s">
        <v>223</v>
      </c>
      <c r="C13" s="1" t="str">
        <f>"Toyota"&amp;CHAR(160)&amp;"Japon utilise des fonds de Toyota"&amp;CHAR(160)&amp;"USA pour investir dans Toyota"&amp;CHAR(160)&amp;"Canada"</f>
        <v>Toyota Japon utilise des fonds de Toyota USA pour investir dans Toyota Canada</v>
      </c>
    </row>
    <row r="14" spans="1:5" x14ac:dyDescent="0.25">
      <c r="A14" s="1" t="s">
        <v>12</v>
      </c>
      <c r="B14" s="1" t="s">
        <v>224</v>
      </c>
      <c r="C14" s="1" t="s">
        <v>348</v>
      </c>
    </row>
    <row r="15" spans="1:5" x14ac:dyDescent="0.25">
      <c r="A15" s="1" t="s">
        <v>4</v>
      </c>
      <c r="B15" s="1" t="s">
        <v>225</v>
      </c>
      <c r="C15" s="1" t="str">
        <f>"Industrias"&amp;CHAR(160)&amp;"CH"&amp;CHAR(160)&amp;"Mexico utilise des fonds d’Industrias"&amp;CHAR(160)&amp;"CH"&amp;CHAR(160)&amp;"USA pour investir dans Industrias"&amp;CHAR(160)&amp;"CH"&amp;CHAR(160)&amp;"Canada"</f>
        <v>Industrias CH Mexico utilise des fonds d’Industrias CH USA pour investir dans Industrias CH Canada</v>
      </c>
    </row>
    <row r="16" spans="1:5" x14ac:dyDescent="0.25">
      <c r="A16" s="1" t="s">
        <v>13</v>
      </c>
      <c r="B16" s="1" t="s">
        <v>226</v>
      </c>
      <c r="C16" s="1" t="str">
        <f>"Heineken"&amp;CHAR(160)&amp;"Pays-Bas utilise des fonds de Heineken"&amp;CHAR(160)&amp;"USA pour investir dans Heineken"&amp;CHAR(160)&amp;"Canada"</f>
        <v>Heineken Pays-Bas utilise des fonds de Heineken USA pour investir dans Heineken Canada</v>
      </c>
    </row>
    <row r="17" spans="1:3" x14ac:dyDescent="0.25">
      <c r="A17" s="1" t="s">
        <v>14</v>
      </c>
      <c r="B17" s="1" t="s">
        <v>227</v>
      </c>
      <c r="C17" s="1" t="str">
        <f>"Skaland"&amp;CHAR(160)&amp;"Graphite"&amp;CHAR(160)&amp;"AS de la Norvège utilise des fonds de Skaland"&amp;CHAR(160)&amp;"Graphite"&amp;CHAR(160)&amp;"AS des États-Unis pour investir dans Skaland"&amp;CHAR(160)&amp;"Graphite"&amp;CHAR(160)&amp;"AS Canada"</f>
        <v>Skaland Graphite AS de la Norvège utilise des fonds de Skaland Graphite AS des États-Unis pour investir dans Skaland Graphite AS Canada</v>
      </c>
    </row>
    <row r="18" spans="1:3" x14ac:dyDescent="0.25">
      <c r="A18" s="1" t="s">
        <v>23</v>
      </c>
      <c r="B18" s="1" t="s">
        <v>228</v>
      </c>
      <c r="C18" s="1" t="str">
        <f>"United"&amp;CHAR(160)&amp;"Overseas"&amp;CHAR(160)&amp;"Bank"&amp;CHAR(160)&amp;"[UOB] à Singapour utilise des fonds d’UOB aux États-Unis pour investir dans UOB au Canada"</f>
        <v>United Overseas Bank [UOB] à Singapour utilise des fonds d’UOB aux États-Unis pour investir dans UOB au Canada</v>
      </c>
    </row>
    <row r="19" spans="1:3" x14ac:dyDescent="0.25">
      <c r="A19" s="1" t="s">
        <v>24</v>
      </c>
      <c r="B19" s="1" t="s">
        <v>229</v>
      </c>
      <c r="C19" s="1" t="str">
        <f>"Hyundai"&amp;CHAR(160)&amp;"South"&amp;CHAR(160)&amp;"Korea utilise des fonds de Hyundai"&amp;CHAR(160)&amp;"USA pour investir dans Hyundai"&amp;CHAR(160)&amp;"Canada"</f>
        <v>Hyundai South Korea utilise des fonds de Hyundai USA pour investir dans Hyundai Canada</v>
      </c>
    </row>
    <row r="20" spans="1:3" x14ac:dyDescent="0.25">
      <c r="A20" s="1" t="s">
        <v>15</v>
      </c>
      <c r="B20" s="1" t="s">
        <v>230</v>
      </c>
      <c r="C20" s="1" t="str">
        <f>"Ferrovial"&amp;CHAR(160)&amp;"Espagne utilise des fonds de Ferrovial"&amp;CHAR(160)&amp;"USA pour investir dans Ferrovial"&amp;CHAR(160)&amp;"Canada"</f>
        <v>Ferrovial Espagne utilise des fonds de Ferrovial USA pour investir dans Ferrovial Canada</v>
      </c>
    </row>
    <row r="21" spans="1:3" x14ac:dyDescent="0.25">
      <c r="A21" s="1" t="s">
        <v>16</v>
      </c>
      <c r="B21" s="1" t="s">
        <v>231</v>
      </c>
      <c r="C21" s="1" t="str">
        <f>"H&amp;M"&amp;CHAR(160)&amp;"Suède utilise des fonds de H&amp;M"&amp;CHAR(160)&amp;"USA pour investir dans H&amp;M"&amp;CHAR(160)&amp;"Canada"</f>
        <v>H&amp;M Suède utilise des fonds de H&amp;M USA pour investir dans H&amp;M Canada</v>
      </c>
    </row>
    <row r="22" spans="1:3" x14ac:dyDescent="0.25">
      <c r="A22" s="1" t="s">
        <v>17</v>
      </c>
      <c r="B22" s="1" t="s">
        <v>232</v>
      </c>
      <c r="C22" s="1" t="s">
        <v>349</v>
      </c>
    </row>
    <row r="23" spans="1:3" x14ac:dyDescent="0.25">
      <c r="A23" s="1" t="s">
        <v>25</v>
      </c>
      <c r="B23" s="1" t="s">
        <v>233</v>
      </c>
      <c r="C23" s="1" t="str">
        <f>"Wistron"&amp;CHAR(160)&amp;"de"&amp;CHAR(160)&amp;"Taïwan, en Chine, utilise des fonds de Wistron"&amp;CHAR(160)&amp;"USA pour investir dans Wistron"&amp;CHAR(160)&amp;"Canada"</f>
        <v>Wistron de Taïwan, en Chine, utilise des fonds de Wistron USA pour investir dans Wistron Canada</v>
      </c>
    </row>
    <row r="24" spans="1:3" x14ac:dyDescent="0.25">
      <c r="A24" s="1" t="s">
        <v>26</v>
      </c>
      <c r="B24" s="1" t="s">
        <v>234</v>
      </c>
      <c r="C24" s="1" t="str">
        <f>"Emirates"&amp;CHAR(160)&amp;"Group aux É.A.U. utilise des fonds d’Emirates"&amp;CHAR(160)&amp;"Group USA pour investir dans Emirates"&amp;CHAR(160)&amp;"Group Canada"</f>
        <v>Emirates Group aux É.A.U. utilise des fonds d’Emirates Group USA pour investir dans Emirates Group Canada</v>
      </c>
    </row>
    <row r="25" spans="1:3" x14ac:dyDescent="0.25">
      <c r="A25" s="1" t="s">
        <v>18</v>
      </c>
      <c r="B25" s="1" t="s">
        <v>235</v>
      </c>
      <c r="C25" s="1" t="str">
        <f>"BP"&amp;CHAR(160)&amp;"R.-U. utilise des fonds de BP"&amp;CHAR(160)&amp;"É.-U. pour investir dans BP"&amp;CHAR(160)&amp;"Canada"</f>
        <v>BP R.-U. utilise des fonds de BP É.-U. pour investir dans BP Canada</v>
      </c>
    </row>
    <row r="26" spans="1:3" x14ac:dyDescent="0.25">
      <c r="A26" s="1" t="s">
        <v>5</v>
      </c>
      <c r="B26" s="1" t="s">
        <v>236</v>
      </c>
      <c r="C26" s="1" t="str">
        <f>"Ford"&amp;CHAR(160)&amp;"USA utilise des fonds de Ford"&amp;CHAR(160)&amp;"Mexique pour investir dans Ford"&amp;CHAR(160)&amp;"Canada"</f>
        <v>Ford USA utilise des fonds de Ford Mexique pour investir dans Ford Canada</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78</vt:i4>
      </vt:variant>
    </vt:vector>
  </HeadingPairs>
  <TitlesOfParts>
    <vt:vector size="103" baseType="lpstr">
      <vt:lpstr>Details</vt:lpstr>
      <vt:lpstr>Graph</vt:lpstr>
      <vt:lpstr>Graph (2)</vt:lpstr>
      <vt:lpstr>Industry</vt:lpstr>
      <vt:lpstr>MNEs</vt:lpstr>
      <vt:lpstr>Data -&gt;</vt:lpstr>
      <vt:lpstr>FDI IIC-All</vt:lpstr>
      <vt:lpstr>FDI UIC-All</vt:lpstr>
      <vt:lpstr>CDIA IIC-All</vt:lpstr>
      <vt:lpstr>CDIA UIC-All</vt:lpstr>
      <vt:lpstr>PANEL</vt:lpstr>
      <vt:lpstr>Industry Data</vt:lpstr>
      <vt:lpstr>AMNE Data</vt:lpstr>
      <vt:lpstr>AMNE Enterprises</vt:lpstr>
      <vt:lpstr>AMNE Jobs</vt:lpstr>
      <vt:lpstr>AMNE GDP</vt:lpstr>
      <vt:lpstr>AMNE Revenues</vt:lpstr>
      <vt:lpstr>AMNE Imports</vt:lpstr>
      <vt:lpstr>AMNE Exports</vt:lpstr>
      <vt:lpstr>CMNE Employees</vt:lpstr>
      <vt:lpstr>CMNE Assets</vt:lpstr>
      <vt:lpstr>CMNE Liabilities</vt:lpstr>
      <vt:lpstr>CMNE Sales</vt:lpstr>
      <vt:lpstr>Countries</vt:lpstr>
      <vt:lpstr>Example Companies</vt:lpstr>
      <vt:lpstr>adjective</vt:lpstr>
      <vt:lpstr>adjectiveFr</vt:lpstr>
      <vt:lpstr>adjectiveFrPlural</vt:lpstr>
      <vt:lpstr>amne</vt:lpstr>
      <vt:lpstr>amne_col</vt:lpstr>
      <vt:lpstr>amne_row</vt:lpstr>
      <vt:lpstr>amneEnterprises</vt:lpstr>
      <vt:lpstr>amneEnterprises_col</vt:lpstr>
      <vt:lpstr>amneEnterprises_row</vt:lpstr>
      <vt:lpstr>amneExports</vt:lpstr>
      <vt:lpstr>amneExports_col</vt:lpstr>
      <vt:lpstr>amneExports_row</vt:lpstr>
      <vt:lpstr>amneGDP</vt:lpstr>
      <vt:lpstr>amneGDP_col</vt:lpstr>
      <vt:lpstr>amneGDP_row</vt:lpstr>
      <vt:lpstr>amneImports</vt:lpstr>
      <vt:lpstr>amneImports_col</vt:lpstr>
      <vt:lpstr>amneImports_row</vt:lpstr>
      <vt:lpstr>amneJobs</vt:lpstr>
      <vt:lpstr>amneJobs_col</vt:lpstr>
      <vt:lpstr>amneJobs_row</vt:lpstr>
      <vt:lpstr>amneRevenues</vt:lpstr>
      <vt:lpstr>amneRevenues_col</vt:lpstr>
      <vt:lpstr>amneRevenues_row</vt:lpstr>
      <vt:lpstr>CDIA_IIC</vt:lpstr>
      <vt:lpstr>CDIA_IIC_col</vt:lpstr>
      <vt:lpstr>CDIA_IIC_ID</vt:lpstr>
      <vt:lpstr>CDIA_IIC_row</vt:lpstr>
      <vt:lpstr>CDIA_UIC</vt:lpstr>
      <vt:lpstr>CDIA_UIC_col</vt:lpstr>
      <vt:lpstr>CDIA_UIC_row</vt:lpstr>
      <vt:lpstr>CMNEassets</vt:lpstr>
      <vt:lpstr>CMNEassets_col</vt:lpstr>
      <vt:lpstr>CMNEassets_row</vt:lpstr>
      <vt:lpstr>CMNEemployees</vt:lpstr>
      <vt:lpstr>CMNEemployees_col</vt:lpstr>
      <vt:lpstr>CMNEemployees_row</vt:lpstr>
      <vt:lpstr>CMNEliabilities</vt:lpstr>
      <vt:lpstr>CMNEliabilities_col</vt:lpstr>
      <vt:lpstr>CMNEliabilities_row</vt:lpstr>
      <vt:lpstr>CMNEsales</vt:lpstr>
      <vt:lpstr>CMNEsales_col</vt:lpstr>
      <vt:lpstr>CMNEsales_row</vt:lpstr>
      <vt:lpstr>continent</vt:lpstr>
      <vt:lpstr>continentAdjective</vt:lpstr>
      <vt:lpstr>continentAdjectiveFr</vt:lpstr>
      <vt:lpstr>continentAdjectiveFrPlural</vt:lpstr>
      <vt:lpstr>continentFeminin</vt:lpstr>
      <vt:lpstr>continentFemininPlural</vt:lpstr>
      <vt:lpstr>continentFr</vt:lpstr>
      <vt:lpstr>countries</vt:lpstr>
      <vt:lpstr>countries_col</vt:lpstr>
      <vt:lpstr>countries_row</vt:lpstr>
      <vt:lpstr>country</vt:lpstr>
      <vt:lpstr>countryFr</vt:lpstr>
      <vt:lpstr>FDI_IIC</vt:lpstr>
      <vt:lpstr>FDI_IIC_col</vt:lpstr>
      <vt:lpstr>FDI_IIC_ev</vt:lpstr>
      <vt:lpstr>FDI_IIC_ID</vt:lpstr>
      <vt:lpstr>FDI_IIC_row</vt:lpstr>
      <vt:lpstr>FDI_UIC</vt:lpstr>
      <vt:lpstr>FDI_UIC_col</vt:lpstr>
      <vt:lpstr>FDI_UIC_ID</vt:lpstr>
      <vt:lpstr>FDI_UIC_row</vt:lpstr>
      <vt:lpstr>feminin</vt:lpstr>
      <vt:lpstr>femininPlural</vt:lpstr>
      <vt:lpstr>industry</vt:lpstr>
      <vt:lpstr>industry_col</vt:lpstr>
      <vt:lpstr>industry_row</vt:lpstr>
      <vt:lpstr>prefix</vt:lpstr>
      <vt:lpstr>prefixContinent</vt:lpstr>
      <vt:lpstr>prefixContinentFr</vt:lpstr>
      <vt:lpstr>prefixContinentFr2</vt:lpstr>
      <vt:lpstr>prefixContinentFr3</vt:lpstr>
      <vt:lpstr>prefixFr</vt:lpstr>
      <vt:lpstr>prefixFr2</vt:lpstr>
      <vt:lpstr>prefixFr3</vt:lpstr>
      <vt:lpstr>twoCharts</vt:lpstr>
    </vt:vector>
  </TitlesOfParts>
  <Manager/>
  <Company>Industry Canada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Direct Investment Database</dc:title>
  <dc:subject>Direct Investment Positions, Flows, M&amp;A etc...</dc:subject>
  <dc:creator>Arif Mahmud</dc:creator>
  <cp:keywords/>
  <dc:description/>
  <cp:lastModifiedBy>Morency, Samuel -XEI</cp:lastModifiedBy>
  <cp:revision/>
  <cp:lastPrinted>2022-05-03T17:43:04Z</cp:lastPrinted>
  <dcterms:created xsi:type="dcterms:W3CDTF">2002-05-14T15:38:42Z</dcterms:created>
  <dcterms:modified xsi:type="dcterms:W3CDTF">2023-01-18T13:27:29Z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ies>
</file>